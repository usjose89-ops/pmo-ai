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rontel-my.sharepoint.com/personal/jose_contuliano_stn_saesa_cl/Documents/1-2026 Construccion/MEL/SE O’Higgins/0-Carpeta_Compartida/MEL_SE OHIGGINS/12.Gestion_Interna_STN/01_Panel_Interno/"/>
    </mc:Choice>
  </mc:AlternateContent>
  <xr:revisionPtr revIDLastSave="272" documentId="8_{3927999D-A4DB-49E8-A525-32B70DB5090C}" xr6:coauthVersionLast="47" xr6:coauthVersionMax="47" xr10:uidLastSave="{EDF5E4C3-6BD4-4D10-8B6A-9D832DE81A72}"/>
  <bookViews>
    <workbookView xWindow="-110" yWindow="-110" windowWidth="19420" windowHeight="11500" tabRatio="868" activeTab="2" xr2:uid="{00000000-000D-0000-FFFF-FFFF00000000}"/>
  </bookViews>
  <sheets>
    <sheet name="Dashboard_Ejecutivo" sheetId="1" r:id="rId1"/>
    <sheet name="Resumen_Control_Costos" sheetId="2" r:id="rId2"/>
    <sheet name="Control_Presupuesto" sheetId="3" r:id="rId3"/>
    <sheet name="Costos_Extracontables" sheetId="4" r:id="rId4"/>
    <sheet name="RRHH_Control" sheetId="5" r:id="rId5"/>
    <sheet name="HDR_Matriz" sheetId="6" r:id="rId6"/>
    <sheet name="Organigrama " sheetId="7" r:id="rId7"/>
    <sheet name="Listas" sheetId="8" r:id="rId8"/>
    <sheet name="Carpeta de Arranque_STN" sheetId="9" r:id="rId9"/>
    <sheet name="Detalle Compromisos" sheetId="10" r:id="rId10"/>
    <sheet name="PlanificaciónBase" sheetId="11" r:id="rId11"/>
    <sheet name="PlanificaciónRev02.06" sheetId="21" r:id="rId12"/>
    <sheet name="Kanban" sheetId="12" r:id="rId13"/>
    <sheet name="Curva_S_Avance" sheetId="13" r:id="rId14"/>
    <sheet name="CartaGantt" sheetId="14" r:id="rId15"/>
    <sheet name="Equipos_y_Flota" sheetId="15" r:id="rId16"/>
    <sheet name="RACI" sheetId="16" r:id="rId17"/>
    <sheet name="Matriz de Riesgos" sheetId="17" r:id="rId18"/>
    <sheet name="6. Contratos Servicios" sheetId="18" r:id="rId19"/>
    <sheet name="EPP-Ropa" sheetId="19" r:id="rId20"/>
    <sheet name="Proceso Vehículos" sheetId="20" r:id="rId21"/>
  </sheets>
  <definedNames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urrent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256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20" hidden="1">'Proceso Vehículos'!$B$3:$AB$31</definedName>
    <definedName name="_xlnm._FilterDatabase" localSheetId="4" hidden="1">RRHH_Control!$A$1:$AN$19</definedName>
    <definedName name="_gl1" localSheetId="18" hidden="1">{#N/A,#N/A,FALSE,"Total_OC015";#N/A,#N/A,FALSE,"ADMIN";#N/A,#N/A,FALSE,"PROCES";#N/A,#N/A,FALSE,"mecan";#N/A,#N/A,FALSE,"civil";#N/A,#N/A,FALSE,"CAÑER";#N/A,#N/A,FALSE,"ELEC";#N/A,#N/A,FALSE,"INSTR"}</definedName>
    <definedName name="_gl1" localSheetId="8" hidden="1">{#N/A,#N/A,FALSE,"Total_OC015";#N/A,#N/A,FALSE,"ADMIN";#N/A,#N/A,FALSE,"PROCES";#N/A,#N/A,FALSE,"mecan";#N/A,#N/A,FALSE,"civil";#N/A,#N/A,FALSE,"CAÑER";#N/A,#N/A,FALSE,"ELEC";#N/A,#N/A,FALSE,"INSTR"}</definedName>
    <definedName name="_gl1" localSheetId="19" hidden="1">{#N/A,#N/A,FALSE,"Total_OC015";#N/A,#N/A,FALSE,"ADMIN";#N/A,#N/A,FALSE,"PROCES";#N/A,#N/A,FALSE,"mecan";#N/A,#N/A,FALSE,"civil";#N/A,#N/A,FALSE,"CAÑER";#N/A,#N/A,FALSE,"ELEC";#N/A,#N/A,FALSE,"INSTR"}</definedName>
    <definedName name="_gl1" localSheetId="2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jy5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k1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18" hidden="1">{"FlujoGastos",#N/A,FALSE,"Base";"FlujoGastos",#N/A,FALSE,"Buzón Tren";"FlujoGastos",#N/A,FALSE,"Buzón Camión";"FlujoGastos",#N/A,FALSE,"LHD Camión";"FlujoGastos",#N/A,FALSE,"Cámara Camión"}</definedName>
    <definedName name="_kk2" localSheetId="8" hidden="1">{"FlujoGastos",#N/A,FALSE,"Base";"FlujoGastos",#N/A,FALSE,"Buzón Tren";"FlujoGastos",#N/A,FALSE,"Buzón Camión";"FlujoGastos",#N/A,FALSE,"LHD Camión";"FlujoGastos",#N/A,FALSE,"Cámara Camión"}</definedName>
    <definedName name="_kk2" localSheetId="19" hidden="1">{"FlujoGastos",#N/A,FALSE,"Base";"FlujoGastos",#N/A,FALSE,"Buzón Tren";"FlujoGastos",#N/A,FALSE,"Buzón Camión";"FlujoGastos",#N/A,FALSE,"LHD Camión";"FlujoGastos",#N/A,FALSE,"Cámara Camión"}</definedName>
    <definedName name="_kk2" localSheetId="2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18" hidden="1">{"desarrollo",#N/A,FALSE,"Cámara Camión";"resumen",#N/A,FALSE,"Cámara Camión";"eqprod",#N/A,FALSE,"Cámara Camión"}</definedName>
    <definedName name="_kk4" localSheetId="8" hidden="1">{"desarrollo",#N/A,FALSE,"Cámara Camión";"resumen",#N/A,FALSE,"Cámara Camión";"eqprod",#N/A,FALSE,"Cámara Camión"}</definedName>
    <definedName name="_kk4" localSheetId="19" hidden="1">{"desarrollo",#N/A,FALSE,"Cámara Camión";"resumen",#N/A,FALSE,"Cámara Camión";"eqprod",#N/A,FALSE,"Cámara Camión"}</definedName>
    <definedName name="_kk4" localSheetId="2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M2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p1" localSheetId="18" hidden="1">{#N/A,#N/A,FALSE,"Costos_Elem_Hid";#N/A,#N/A,FALSE,"Costos_Elem_Hid";#N/A,#N/A,FALSE,"Costos_Elem_Hid"}</definedName>
    <definedName name="_pp1" localSheetId="8" hidden="1">{#N/A,#N/A,FALSE,"Costos_Elem_Hid";#N/A,#N/A,FALSE,"Costos_Elem_Hid";#N/A,#N/A,FALSE,"Costos_Elem_Hid"}</definedName>
    <definedName name="_pp1" localSheetId="19" hidden="1">{#N/A,#N/A,FALSE,"Costos_Elem_Hid";#N/A,#N/A,FALSE,"Costos_Elem_Hid";#N/A,#N/A,FALSE,"Costos_Elem_Hid"}</definedName>
    <definedName name="_pp1" localSheetId="20" hidden="1">{#N/A,#N/A,FALSE,"Costos_Elem_Hid";#N/A,#N/A,FALSE,"Costos_Elem_Hid";#N/A,#N/A,FALSE,"Costos_Elem_Hid"}</definedName>
    <definedName name="_pp1" hidden="1">{#N/A,#N/A,FALSE,"Costos_Elem_Hid";#N/A,#N/A,FALSE,"Costos_Elem_Hid";#N/A,#N/A,FALSE,"Costos_Elem_Hid"}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yl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wrn1" localSheetId="18" hidden="1">{#N/A,#N/A,TRUE,"Est. de Fact.";#N/A,#N/A,TRUE,"Capitulo 19";#N/A,#N/A,TRUE,"Proyecto P855"}</definedName>
    <definedName name="_wrn1" localSheetId="8" hidden="1">{#N/A,#N/A,TRUE,"Est. de Fact.";#N/A,#N/A,TRUE,"Capitulo 19";#N/A,#N/A,TRUE,"Proyecto P855"}</definedName>
    <definedName name="_wrn1" localSheetId="19" hidden="1">{#N/A,#N/A,TRUE,"Est. de Fact.";#N/A,#N/A,TRUE,"Capitulo 19";#N/A,#N/A,TRUE,"Proyecto P855"}</definedName>
    <definedName name="_wrn1" localSheetId="2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zx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8" hidden="1">{"CI+GG(BASE)",#N/A,FALSE,"CI+GG(BASE)";"GG",#N/A,FALSE,"CI+GG(BASE)";"CI",#N/A,FALSE,"CI+GG(BASE)"}</definedName>
    <definedName name="A" localSheetId="8" hidden="1">{"CI+GG(BASE)",#N/A,FALSE,"CI+GG(BASE)";"GG",#N/A,FALSE,"CI+GG(BASE)";"CI",#N/A,FALSE,"CI+GG(BASE)"}</definedName>
    <definedName name="A" localSheetId="19" hidden="1">{"CI+GG(BASE)",#N/A,FALSE,"CI+GG(BASE)";"GG",#N/A,FALSE,"CI+GG(BASE)";"CI",#N/A,FALSE,"CI+GG(BASE)"}</definedName>
    <definedName name="A" localSheetId="20" hidden="1">{"CI+GG(BASE)",#N/A,FALSE,"CI+GG(BASE)";"GG",#N/A,FALSE,"CI+GG(BASE)";"CI",#N/A,FALSE,"CI+GG(BASE)"}</definedName>
    <definedName name="A" hidden="1">{"CI+GG(BASE)",#N/A,FALSE,"CI+GG(BASE)";"GG",#N/A,FALSE,"CI+GG(BASE)";"CI",#N/A,FALSE,"CI+GG(BASE)"}</definedName>
    <definedName name="A02M310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localSheetId="18" hidden="1">{#N/A,#N/A,FALSE,"Total_OC015";#N/A,#N/A,FALSE,"ADMIN";#N/A,#N/A,FALSE,"PROCES";#N/A,#N/A,FALSE,"mecan";#N/A,#N/A,FALSE,"civil";#N/A,#N/A,FALSE,"CAÑER";#N/A,#N/A,FALSE,"ELEC";#N/A,#N/A,FALSE,"INSTR"}</definedName>
    <definedName name="A03M406" localSheetId="8" hidden="1">{#N/A,#N/A,FALSE,"Total_OC015";#N/A,#N/A,FALSE,"ADMIN";#N/A,#N/A,FALSE,"PROCES";#N/A,#N/A,FALSE,"mecan";#N/A,#N/A,FALSE,"civil";#N/A,#N/A,FALSE,"CAÑER";#N/A,#N/A,FALSE,"ELEC";#N/A,#N/A,FALSE,"INSTR"}</definedName>
    <definedName name="A03M406" localSheetId="19" hidden="1">{#N/A,#N/A,FALSE,"Total_OC015";#N/A,#N/A,FALSE,"ADMIN";#N/A,#N/A,FALSE,"PROCES";#N/A,#N/A,FALSE,"mecan";#N/A,#N/A,FALSE,"civil";#N/A,#N/A,FALSE,"CAÑER";#N/A,#N/A,FALSE,"ELEC";#N/A,#N/A,FALSE,"INSTR"}</definedName>
    <definedName name="A03M406" localSheetId="20" hidden="1">{#N/A,#N/A,FALSE,"Total_OC015";#N/A,#N/A,FALSE,"ADMIN";#N/A,#N/A,FALSE,"PROCES";#N/A,#N/A,FALSE,"mecan";#N/A,#N/A,FALSE,"civil";#N/A,#N/A,FALSE,"CAÑER";#N/A,#N/A,FALSE,"ELEC";#N/A,#N/A,FALSE,"INSTR"}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" localSheetId="18" hidden="1">{#N/A,#N/A,FALSE,"summary";#N/A,#N/A,FALSE,"SumGraph"}</definedName>
    <definedName name="aaaa" localSheetId="8" hidden="1">{#N/A,#N/A,FALSE,"summary";#N/A,#N/A,FALSE,"SumGraph"}</definedName>
    <definedName name="aaaa" localSheetId="19" hidden="1">{#N/A,#N/A,FALSE,"summary";#N/A,#N/A,FALSE,"SumGraph"}</definedName>
    <definedName name="aaaa" localSheetId="20" hidden="1">{#N/A,#N/A,FALSE,"summary";#N/A,#N/A,FALSE,"SumGraph"}</definedName>
    <definedName name="aaaa" hidden="1">{#N/A,#N/A,FALSE,"summary";#N/A,#N/A,FALSE,"SumGraph"}</definedName>
    <definedName name="AAAAA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sds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b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localSheetId="18" hidden="1">{#N/A,#N/A,TRUE,"Costos_Subg_Hid"}</definedName>
    <definedName name="abababa" localSheetId="8" hidden="1">{#N/A,#N/A,TRUE,"Costos_Subg_Hid"}</definedName>
    <definedName name="abababa" localSheetId="19" hidden="1">{#N/A,#N/A,TRUE,"Costos_Subg_Hid"}</definedName>
    <definedName name="abababa" localSheetId="20" hidden="1">{#N/A,#N/A,TRUE,"Costos_Subg_Hid"}</definedName>
    <definedName name="abababa" hidden="1">{#N/A,#N/A,TRUE,"Costos_Subg_Hid"}</definedName>
    <definedName name="ABC" localSheetId="18" hidden="1">{#N/A,#N/A,FALSE,"Total_OC015";#N/A,#N/A,FALSE,"ADMIN";#N/A,#N/A,FALSE,"PROCES";#N/A,#N/A,FALSE,"mecan";#N/A,#N/A,FALSE,"civil";#N/A,#N/A,FALSE,"CAÑER";#N/A,#N/A,FALSE,"ELEC";#N/A,#N/A,FALSE,"INSTR"}</definedName>
    <definedName name="ABC" localSheetId="8" hidden="1">{#N/A,#N/A,FALSE,"Total_OC015";#N/A,#N/A,FALSE,"ADMIN";#N/A,#N/A,FALSE,"PROCES";#N/A,#N/A,FALSE,"mecan";#N/A,#N/A,FALSE,"civil";#N/A,#N/A,FALSE,"CAÑER";#N/A,#N/A,FALSE,"ELEC";#N/A,#N/A,FALSE,"INSTR"}</definedName>
    <definedName name="ABC" localSheetId="19" hidden="1">{#N/A,#N/A,FALSE,"Total_OC015";#N/A,#N/A,FALSE,"ADMIN";#N/A,#N/A,FALSE,"PROCES";#N/A,#N/A,FALSE,"mecan";#N/A,#N/A,FALSE,"civil";#N/A,#N/A,FALSE,"CAÑER";#N/A,#N/A,FALSE,"ELEC";#N/A,#N/A,FALSE,"INSTR"}</definedName>
    <definedName name="ABC" localSheetId="2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acac" localSheetId="18" hidden="1">{#N/A,#N/A,FALSE,"Costos_Elem_Hid";#N/A,#N/A,FALSE,"Costos_Elem_Hid";#N/A,#N/A,FALSE,"Costos_Elem_Hid"}</definedName>
    <definedName name="acacac" localSheetId="8" hidden="1">{#N/A,#N/A,FALSE,"Costos_Elem_Hid";#N/A,#N/A,FALSE,"Costos_Elem_Hid";#N/A,#N/A,FALSE,"Costos_Elem_Hid"}</definedName>
    <definedName name="acacac" localSheetId="19" hidden="1">{#N/A,#N/A,FALSE,"Costos_Elem_Hid";#N/A,#N/A,FALSE,"Costos_Elem_Hid";#N/A,#N/A,FALSE,"Costos_Elem_Hid"}</definedName>
    <definedName name="acacac" localSheetId="20" hidden="1">{#N/A,#N/A,FALSE,"Costos_Elem_Hid";#N/A,#N/A,FALSE,"Costos_Elem_Hid";#N/A,#N/A,FALSE,"Costos_Elem_Hid"}</definedName>
    <definedName name="acacac" hidden="1">{#N/A,#N/A,FALSE,"Costos_Elem_Hid";#N/A,#N/A,FALSE,"Costos_Elem_Hid";#N/A,#N/A,FALSE,"Costos_Elem_Hid"}</definedName>
    <definedName name="ad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localSheetId="18" hidden="1">{#N/A,#N/A,FALSE,"Costos_Elem_Hid";#N/A,#N/A,FALSE,"Costos_Elem_Hid";#N/A,#N/A,FALSE,"Costos_Elem_Hid"}</definedName>
    <definedName name="adadadad" localSheetId="8" hidden="1">{#N/A,#N/A,FALSE,"Costos_Elem_Hid";#N/A,#N/A,FALSE,"Costos_Elem_Hid";#N/A,#N/A,FALSE,"Costos_Elem_Hid"}</definedName>
    <definedName name="adadadad" localSheetId="19" hidden="1">{#N/A,#N/A,FALSE,"Costos_Elem_Hid";#N/A,#N/A,FALSE,"Costos_Elem_Hid";#N/A,#N/A,FALSE,"Costos_Elem_Hid"}</definedName>
    <definedName name="adadadad" localSheetId="20" hidden="1">{#N/A,#N/A,FALSE,"Costos_Elem_Hid";#N/A,#N/A,FALSE,"Costos_Elem_Hid";#N/A,#N/A,FALSE,"Costos_Elem_Hid"}</definedName>
    <definedName name="adadadad" hidden="1">{#N/A,#N/A,FALSE,"Costos_Elem_Hid";#N/A,#N/A,FALSE,"Costos_Elem_Hid";#N/A,#N/A,FALSE,"Costos_Elem_Hid"}</definedName>
    <definedName name="ada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" localSheetId="18" hidden="1">{#N/A,#N/A,FALSE,"Costos_Elem_Hid";#N/A,#N/A,FALSE,"Costos_Elem_Hid";#N/A,#N/A,FALSE,"Costos_Elem_Hid"}</definedName>
    <definedName name="adsd" localSheetId="8" hidden="1">{#N/A,#N/A,FALSE,"Costos_Elem_Hid";#N/A,#N/A,FALSE,"Costos_Elem_Hid";#N/A,#N/A,FALSE,"Costos_Elem_Hid"}</definedName>
    <definedName name="adsd" localSheetId="19" hidden="1">{#N/A,#N/A,FALSE,"Costos_Elem_Hid";#N/A,#N/A,FALSE,"Costos_Elem_Hid";#N/A,#N/A,FALSE,"Costos_Elem_Hid"}</definedName>
    <definedName name="adsd" localSheetId="20" hidden="1">{#N/A,#N/A,FALSE,"Costos_Elem_Hid";#N/A,#N/A,FALSE,"Costos_Elem_Hid";#N/A,#N/A,FALSE,"Costos_Elem_Hid"}</definedName>
    <definedName name="adsd" hidden="1">{#N/A,#N/A,FALSE,"Costos_Elem_Hid";#N/A,#N/A,FALSE,"Costos_Elem_Hid";#N/A,#N/A,FALSE,"Costos_Elem_Hid"}</definedName>
    <definedName name="adsd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ec" localSheetId="18" hidden="1">{#N/A,#N/A,FALSE,"summary";#N/A,#N/A,FALSE,"SumGraph"}</definedName>
    <definedName name="aec" localSheetId="8" hidden="1">{#N/A,#N/A,FALSE,"summary";#N/A,#N/A,FALSE,"SumGraph"}</definedName>
    <definedName name="aec" localSheetId="19" hidden="1">{#N/A,#N/A,FALSE,"summary";#N/A,#N/A,FALSE,"SumGraph"}</definedName>
    <definedName name="aec" localSheetId="20" hidden="1">{#N/A,#N/A,FALSE,"summary";#N/A,#N/A,FALSE,"SumGraph"}</definedName>
    <definedName name="aec" hidden="1">{#N/A,#N/A,FALSE,"summary";#N/A,#N/A,FALSE,"SumGraph"}</definedName>
    <definedName name="a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afafafa" localSheetId="18" hidden="1">{#N/A,#N/A,FALSE,"Costos_Elem_Hid";#N/A,#N/A,FALSE,"Costos_Elem_Hid";#N/A,#N/A,FALSE,"Costos_Elem_Hid"}</definedName>
    <definedName name="afafafafa" localSheetId="8" hidden="1">{#N/A,#N/A,FALSE,"Costos_Elem_Hid";#N/A,#N/A,FALSE,"Costos_Elem_Hid";#N/A,#N/A,FALSE,"Costos_Elem_Hid"}</definedName>
    <definedName name="afafafafa" localSheetId="19" hidden="1">{#N/A,#N/A,FALSE,"Costos_Elem_Hid";#N/A,#N/A,FALSE,"Costos_Elem_Hid";#N/A,#N/A,FALSE,"Costos_Elem_Hid"}</definedName>
    <definedName name="afafafafa" localSheetId="20" hidden="1">{#N/A,#N/A,FALSE,"Costos_Elem_Hid";#N/A,#N/A,FALSE,"Costos_Elem_Hid";#N/A,#N/A,FALSE,"Costos_Elem_Hid"}</definedName>
    <definedName name="afafafafa" hidden="1">{#N/A,#N/A,FALSE,"Costos_Elem_Hid";#N/A,#N/A,FALSE,"Costos_Elem_Hid";#N/A,#N/A,FALSE,"Costos_Elem_Hid"}</definedName>
    <definedName name="ag" localSheetId="18" hidden="1">{#N/A,#N/A,FALSE,"PXP-TOTAL Modif";"vis2",#N/A,FALSE,"PXP-AÑO";"Vis1",#N/A,FALSE,"PXP-AÑO"}</definedName>
    <definedName name="ag" localSheetId="8" hidden="1">{#N/A,#N/A,FALSE,"PXP-TOTAL Modif";"vis2",#N/A,FALSE,"PXP-AÑO";"Vis1",#N/A,FALSE,"PXP-AÑO"}</definedName>
    <definedName name="ag" localSheetId="19" hidden="1">{#N/A,#N/A,FALSE,"PXP-TOTAL Modif";"vis2",#N/A,FALSE,"PXP-AÑO";"Vis1",#N/A,FALSE,"PXP-AÑO"}</definedName>
    <definedName name="ag" localSheetId="2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agagag" localSheetId="18" hidden="1">{#N/A,#N/A,FALSE,"Costos_Elem_Hid";#N/A,#N/A,FALSE,"Costos_Elem_Hid";#N/A,#N/A,FALSE,"Costos_Elem_Hid"}</definedName>
    <definedName name="agagagag" localSheetId="8" hidden="1">{#N/A,#N/A,FALSE,"Costos_Elem_Hid";#N/A,#N/A,FALSE,"Costos_Elem_Hid";#N/A,#N/A,FALSE,"Costos_Elem_Hid"}</definedName>
    <definedName name="agagagag" localSheetId="19" hidden="1">{#N/A,#N/A,FALSE,"Costos_Elem_Hid";#N/A,#N/A,FALSE,"Costos_Elem_Hid";#N/A,#N/A,FALSE,"Costos_Elem_Hid"}</definedName>
    <definedName name="agagagag" localSheetId="20" hidden="1">{#N/A,#N/A,FALSE,"Costos_Elem_Hid";#N/A,#N/A,FALSE,"Costos_Elem_Hid";#N/A,#N/A,FALSE,"Costos_Elem_Hid"}</definedName>
    <definedName name="agagagag" hidden="1">{#N/A,#N/A,FALSE,"Costos_Elem_Hid";#N/A,#N/A,FALSE,"Costos_Elem_Hid";#N/A,#N/A,FALSE,"Costos_Elem_Hid"}</definedName>
    <definedName name="agu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localSheetId="18" hidden="1">{#N/A,#N/A,FALSE,"Costos_Elem_Hid";#N/A,#N/A,FALSE,"Costos_Elem_Hid";#N/A,#N/A,FALSE,"Costos_Elem_Hid"}</definedName>
    <definedName name="ahahahah" localSheetId="8" hidden="1">{#N/A,#N/A,FALSE,"Costos_Elem_Hid";#N/A,#N/A,FALSE,"Costos_Elem_Hid";#N/A,#N/A,FALSE,"Costos_Elem_Hid"}</definedName>
    <definedName name="ahahahah" localSheetId="19" hidden="1">{#N/A,#N/A,FALSE,"Costos_Elem_Hid";#N/A,#N/A,FALSE,"Costos_Elem_Hid";#N/A,#N/A,FALSE,"Costos_Elem_Hid"}</definedName>
    <definedName name="ahahahah" localSheetId="20" hidden="1">{#N/A,#N/A,FALSE,"Costos_Elem_Hid";#N/A,#N/A,FALSE,"Costos_Elem_Hid";#N/A,#N/A,FALSE,"Costos_Elem_Hid"}</definedName>
    <definedName name="ahahahah" hidden="1">{#N/A,#N/A,FALSE,"Costos_Elem_Hid";#N/A,#N/A,FALSE,"Costos_Elem_Hid";#N/A,#N/A,FALSE,"Costos_Elem_Hid"}</definedName>
    <definedName name="ajajajaj" localSheetId="18" hidden="1">{#N/A,#N/A,TRUE,"Costos_Subg_Hid"}</definedName>
    <definedName name="ajajajaj" localSheetId="8" hidden="1">{#N/A,#N/A,TRUE,"Costos_Subg_Hid"}</definedName>
    <definedName name="ajajajaj" localSheetId="19" hidden="1">{#N/A,#N/A,TRUE,"Costos_Subg_Hid"}</definedName>
    <definedName name="ajajajaj" localSheetId="20" hidden="1">{#N/A,#N/A,TRUE,"Costos_Subg_Hid"}</definedName>
    <definedName name="ajajajaj" hidden="1">{#N/A,#N/A,TRUE,"Costos_Subg_Hid"}</definedName>
    <definedName name="akakakak" localSheetId="18" hidden="1">{#N/A,#N/A,FALSE,"Costos_Elem_Hid";#N/A,#N/A,FALSE,"Costos_Elem_Hid";#N/A,#N/A,FALSE,"Costos_Elem_Hid"}</definedName>
    <definedName name="akakakak" localSheetId="8" hidden="1">{#N/A,#N/A,FALSE,"Costos_Elem_Hid";#N/A,#N/A,FALSE,"Costos_Elem_Hid";#N/A,#N/A,FALSE,"Costos_Elem_Hid"}</definedName>
    <definedName name="akakakak" localSheetId="19" hidden="1">{#N/A,#N/A,FALSE,"Costos_Elem_Hid";#N/A,#N/A,FALSE,"Costos_Elem_Hid";#N/A,#N/A,FALSE,"Costos_Elem_Hid"}</definedName>
    <definedName name="akakakak" localSheetId="20" hidden="1">{#N/A,#N/A,FALSE,"Costos_Elem_Hid";#N/A,#N/A,FALSE,"Costos_Elem_Hid";#N/A,#N/A,FALSE,"Costos_Elem_Hid"}</definedName>
    <definedName name="akakakak" hidden="1">{#N/A,#N/A,FALSE,"Costos_Elem_Hid";#N/A,#N/A,FALSE,"Costos_Elem_Hid";#N/A,#N/A,FALSE,"Costos_Elem_Hid"}</definedName>
    <definedName name="alalalal" localSheetId="18" hidden="1">{#N/A,#N/A,FALSE,"Costos_Elem_Hid";#N/A,#N/A,FALSE,"Costos_Elem_Hid";#N/A,#N/A,FALSE,"Costos_Elem_Hid"}</definedName>
    <definedName name="alalalal" localSheetId="8" hidden="1">{#N/A,#N/A,FALSE,"Costos_Elem_Hid";#N/A,#N/A,FALSE,"Costos_Elem_Hid";#N/A,#N/A,FALSE,"Costos_Elem_Hid"}</definedName>
    <definedName name="alalalal" localSheetId="19" hidden="1">{#N/A,#N/A,FALSE,"Costos_Elem_Hid";#N/A,#N/A,FALSE,"Costos_Elem_Hid";#N/A,#N/A,FALSE,"Costos_Elem_Hid"}</definedName>
    <definedName name="alalalal" localSheetId="20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ex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t.2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mamama" localSheetId="18" hidden="1">{#N/A,#N/A,FALSE,"Costos_Elem_Hid";#N/A,#N/A,FALSE,"Costos_Elem_Hid";#N/A,#N/A,FALSE,"Costos_Elem_Hid"}</definedName>
    <definedName name="amamamama" localSheetId="8" hidden="1">{#N/A,#N/A,FALSE,"Costos_Elem_Hid";#N/A,#N/A,FALSE,"Costos_Elem_Hid";#N/A,#N/A,FALSE,"Costos_Elem_Hid"}</definedName>
    <definedName name="amamamama" localSheetId="19" hidden="1">{#N/A,#N/A,FALSE,"Costos_Elem_Hid";#N/A,#N/A,FALSE,"Costos_Elem_Hid";#N/A,#N/A,FALSE,"Costos_Elem_Hid"}</definedName>
    <definedName name="amamamama" localSheetId="20" hidden="1">{#N/A,#N/A,FALSE,"Costos_Elem_Hid";#N/A,#N/A,FALSE,"Costos_Elem_Hid";#N/A,#N/A,FALSE,"Costos_Elem_Hid"}</definedName>
    <definedName name="amamamama" hidden="1">{#N/A,#N/A,FALSE,"Costos_Elem_Hid";#N/A,#N/A,FALSE,"Costos_Elem_Hid";#N/A,#N/A,FALSE,"Costos_Elem_Hid"}</definedName>
    <definedName name="ama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localSheetId="18" hidden="1">{"MO(BASE)",#N/A,FALSE,"MO(BASE)";"MO(BASE)1",#N/A,FALSE,"MO(BASE)";"MO(BASE)2",#N/A,FALSE,"MO(BASE)"}</definedName>
    <definedName name="amor" localSheetId="8" hidden="1">{"MO(BASE)",#N/A,FALSE,"MO(BASE)";"MO(BASE)1",#N/A,FALSE,"MO(BASE)";"MO(BASE)2",#N/A,FALSE,"MO(BASE)"}</definedName>
    <definedName name="amor" localSheetId="19" hidden="1">{"MO(BASE)",#N/A,FALSE,"MO(BASE)";"MO(BASE)1",#N/A,FALSE,"MO(BASE)";"MO(BASE)2",#N/A,FALSE,"MO(BASE)"}</definedName>
    <definedName name="amor" localSheetId="2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nananan" localSheetId="18" hidden="1">{#N/A,#N/A,FALSE,"Costos_Elem_Hid";#N/A,#N/A,FALSE,"Costos_Elem_Hid";#N/A,#N/A,FALSE,"Costos_Elem_Hid"}</definedName>
    <definedName name="anananan" localSheetId="8" hidden="1">{#N/A,#N/A,FALSE,"Costos_Elem_Hid";#N/A,#N/A,FALSE,"Costos_Elem_Hid";#N/A,#N/A,FALSE,"Costos_Elem_Hid"}</definedName>
    <definedName name="anananan" localSheetId="19" hidden="1">{#N/A,#N/A,FALSE,"Costos_Elem_Hid";#N/A,#N/A,FALSE,"Costos_Elem_Hid";#N/A,#N/A,FALSE,"Costos_Elem_Hid"}</definedName>
    <definedName name="anananan" localSheetId="20" hidden="1">{#N/A,#N/A,FALSE,"Costos_Elem_Hid";#N/A,#N/A,FALSE,"Costos_Elem_Hid";#N/A,#N/A,FALSE,"Costos_Elem_Hid"}</definedName>
    <definedName name="anananan" hidden="1">{#N/A,#N/A,FALSE,"Costos_Elem_Hid";#N/A,#N/A,FALSE,"Costos_Elem_Hid";#N/A,#N/A,FALSE,"Costos_Elem_Hid"}</definedName>
    <definedName name="Andene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hidden="1">1</definedName>
    <definedName name="ANTEC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" localSheetId="1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qaqaqa" localSheetId="18" hidden="1">{#N/A,#N/A,TRUE,"Costos_Subg_Hid"}</definedName>
    <definedName name="aqaqaqa" localSheetId="8" hidden="1">{#N/A,#N/A,TRUE,"Costos_Subg_Hid"}</definedName>
    <definedName name="aqaqaqa" localSheetId="19" hidden="1">{#N/A,#N/A,TRUE,"Costos_Subg_Hid"}</definedName>
    <definedName name="aqaqaqa" localSheetId="20" hidden="1">{#N/A,#N/A,TRUE,"Costos_Subg_Hid"}</definedName>
    <definedName name="aqaqaqa" hidden="1">{#N/A,#N/A,TRUE,"Costos_Subg_Hid"}</definedName>
    <definedName name="_xlnm.Print_Area" localSheetId="6">'Organigrama '!$B$2:$AE$30</definedName>
    <definedName name="A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localSheetId="18" hidden="1">{#N/A,#N/A,FALSE,"Costos_Elem_Hid";#N/A,#N/A,FALSE,"Costos_Elem_Hid";#N/A,#N/A,FALSE,"Costos_Elem_Hid"}</definedName>
    <definedName name="asas" localSheetId="8" hidden="1">{#N/A,#N/A,FALSE,"Costos_Elem_Hid";#N/A,#N/A,FALSE,"Costos_Elem_Hid";#N/A,#N/A,FALSE,"Costos_Elem_Hid"}</definedName>
    <definedName name="asas" localSheetId="19" hidden="1">{#N/A,#N/A,FALSE,"Costos_Elem_Hid";#N/A,#N/A,FALSE,"Costos_Elem_Hid";#N/A,#N/A,FALSE,"Costos_Elem_Hid"}</definedName>
    <definedName name="asas" localSheetId="20" hidden="1">{#N/A,#N/A,FALSE,"Costos_Elem_Hid";#N/A,#N/A,FALSE,"Costos_Elem_Hid";#N/A,#N/A,FALSE,"Costos_Elem_Hid"}</definedName>
    <definedName name="asas" hidden="1">{#N/A,#N/A,FALSE,"Costos_Elem_Hid";#N/A,#N/A,FALSE,"Costos_Elem_Hid";#N/A,#N/A,FALSE,"Costos_Elem_Hid"}</definedName>
    <definedName name="asasas" localSheetId="18" hidden="1">{"Sin detalle",#N/A,FALSE,"Flujo (redondeado)"}</definedName>
    <definedName name="asasas" localSheetId="8" hidden="1">{"Sin detalle",#N/A,FALSE,"Flujo (redondeado)"}</definedName>
    <definedName name="asasas" localSheetId="19" hidden="1">{"Sin detalle",#N/A,FALSE,"Flujo (redondeado)"}</definedName>
    <definedName name="asasas" localSheetId="20" hidden="1">{"Sin detalle",#N/A,FALSE,"Flujo (redondeado)"}</definedName>
    <definedName name="asasas" hidden="1">{"Sin detalle",#N/A,FALSE,"Flujo (redondeado)"}</definedName>
    <definedName name="asasasas" localSheetId="18" hidden="1">{#N/A,#N/A,FALSE,"Costos_Elem_Hid";#N/A,#N/A,FALSE,"Costos_Elem_Hid";#N/A,#N/A,FALSE,"Costos_Elem_Hid"}</definedName>
    <definedName name="asasasas" localSheetId="8" hidden="1">{#N/A,#N/A,FALSE,"Costos_Elem_Hid";#N/A,#N/A,FALSE,"Costos_Elem_Hid";#N/A,#N/A,FALSE,"Costos_Elem_Hid"}</definedName>
    <definedName name="asasasas" localSheetId="19" hidden="1">{#N/A,#N/A,FALSE,"Costos_Elem_Hid";#N/A,#N/A,FALSE,"Costos_Elem_Hid";#N/A,#N/A,FALSE,"Costos_Elem_Hid"}</definedName>
    <definedName name="asasasas" localSheetId="20" hidden="1">{#N/A,#N/A,FALSE,"Costos_Elem_Hid";#N/A,#N/A,FALSE,"Costos_Elem_Hid";#N/A,#N/A,FALSE,"Costos_Elem_Hid"}</definedName>
    <definedName name="asasasas" hidden="1">{#N/A,#N/A,FALSE,"Costos_Elem_Hid";#N/A,#N/A,FALSE,"Costos_Elem_Hid";#N/A,#N/A,FALSE,"Costos_Elem_Hid"}</definedName>
    <definedName name="asd" localSheetId="18" hidden="1">{#N/A,#N/A,FALSE,"Costos_Elem_Hid";#N/A,#N/A,FALSE,"Costos_Elem_Hid";#N/A,#N/A,FALSE,"Costos_Elem_Hid"}</definedName>
    <definedName name="asd" localSheetId="8" hidden="1">{#N/A,#N/A,FALSE,"Costos_Elem_Hid";#N/A,#N/A,FALSE,"Costos_Elem_Hid";#N/A,#N/A,FALSE,"Costos_Elem_Hid"}</definedName>
    <definedName name="asd" localSheetId="19" hidden="1">{#N/A,#N/A,FALSE,"Costos_Elem_Hid";#N/A,#N/A,FALSE,"Costos_Elem_Hid";#N/A,#N/A,FALSE,"Costos_Elem_Hid"}</definedName>
    <definedName name="asd" localSheetId="20" hidden="1">{#N/A,#N/A,FALSE,"Costos_Elem_Hid";#N/A,#N/A,FALSE,"Costos_Elem_Hid";#N/A,#N/A,FALSE,"Costos_Elem_Hid"}</definedName>
    <definedName name="asd" hidden="1">{#N/A,#N/A,FALSE,"Costos_Elem_Hid";#N/A,#N/A,FALSE,"Costos_Elem_Hid";#N/A,#N/A,FALSE,"Costos_Elem_Hid"}</definedName>
    <definedName name="assvdsvdsdsv" localSheetId="18" hidden="1">{"desarrollo",#N/A,FALSE,"LHD Camión";"eqdllo",#N/A,FALSE,"LHD Camión";"eqprod",#N/A,FALSE,"LHD Camión";"Resumen",#N/A,FALSE,"LHD Camión"}</definedName>
    <definedName name="assvdsvdsdsv" localSheetId="8" hidden="1">{"desarrollo",#N/A,FALSE,"LHD Camión";"eqdllo",#N/A,FALSE,"LHD Camión";"eqprod",#N/A,FALSE,"LHD Camión";"Resumen",#N/A,FALSE,"LHD Camión"}</definedName>
    <definedName name="assvdsvdsdsv" localSheetId="19" hidden="1">{"desarrollo",#N/A,FALSE,"LHD Camión";"eqdllo",#N/A,FALSE,"LHD Camión";"eqprod",#N/A,FALSE,"LHD Camión";"Resumen",#N/A,FALSE,"LHD Camión"}</definedName>
    <definedName name="assvdsvdsdsv" localSheetId="2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vance" localSheetId="18" hidden="1">{"MO(BASE)",#N/A,FALSE,"MO(BASE)";"MO(BASE)1",#N/A,FALSE,"MO(BASE)";"MO(BASE)2",#N/A,FALSE,"MO(BASE)"}</definedName>
    <definedName name="avance" localSheetId="8" hidden="1">{"MO(BASE)",#N/A,FALSE,"MO(BASE)";"MO(BASE)1",#N/A,FALSE,"MO(BASE)";"MO(BASE)2",#N/A,FALSE,"MO(BASE)"}</definedName>
    <definedName name="avance" localSheetId="19" hidden="1">{"MO(BASE)",#N/A,FALSE,"MO(BASE)";"MO(BASE)1",#N/A,FALSE,"MO(BASE)";"MO(BASE)2",#N/A,FALSE,"MO(BASE)"}</definedName>
    <definedName name="avance" localSheetId="20" hidden="1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vav" localSheetId="18" hidden="1">{#N/A,#N/A,FALSE,"Costos_Elem_Hid";#N/A,#N/A,FALSE,"Costos_Elem_Hid";#N/A,#N/A,FALSE,"Costos_Elem_Hid"}</definedName>
    <definedName name="avavav" localSheetId="8" hidden="1">{#N/A,#N/A,FALSE,"Costos_Elem_Hid";#N/A,#N/A,FALSE,"Costos_Elem_Hid";#N/A,#N/A,FALSE,"Costos_Elem_Hid"}</definedName>
    <definedName name="avavav" localSheetId="19" hidden="1">{#N/A,#N/A,FALSE,"Costos_Elem_Hid";#N/A,#N/A,FALSE,"Costos_Elem_Hid";#N/A,#N/A,FALSE,"Costos_Elem_Hid"}</definedName>
    <definedName name="avavav" localSheetId="20" hidden="1">{#N/A,#N/A,FALSE,"Costos_Elem_Hid";#N/A,#N/A,FALSE,"Costos_Elem_Hid";#N/A,#N/A,FALSE,"Costos_Elem_Hid"}</definedName>
    <definedName name="avavav" hidden="1">{#N/A,#N/A,FALSE,"Costos_Elem_Hid";#N/A,#N/A,FALSE,"Costos_Elem_Hid";#N/A,#N/A,FALSE,"Costos_Elem_Hid"}</definedName>
    <definedName name="avc" localSheetId="18" hidden="1">{#N/A,#N/A,FALSE,"Total_OC015";#N/A,#N/A,FALSE,"ADMIN";#N/A,#N/A,FALSE,"PROCES";#N/A,#N/A,FALSE,"mecan";#N/A,#N/A,FALSE,"civil";#N/A,#N/A,FALSE,"CAÑER";#N/A,#N/A,FALSE,"ELEC";#N/A,#N/A,FALSE,"INSTR"}</definedName>
    <definedName name="avc" localSheetId="8" hidden="1">{#N/A,#N/A,FALSE,"Total_OC015";#N/A,#N/A,FALSE,"ADMIN";#N/A,#N/A,FALSE,"PROCES";#N/A,#N/A,FALSE,"mecan";#N/A,#N/A,FALSE,"civil";#N/A,#N/A,FALSE,"CAÑER";#N/A,#N/A,FALSE,"ELEC";#N/A,#N/A,FALSE,"INSTR"}</definedName>
    <definedName name="avc" localSheetId="19" hidden="1">{#N/A,#N/A,FALSE,"Total_OC015";#N/A,#N/A,FALSE,"ADMIN";#N/A,#N/A,FALSE,"PROCES";#N/A,#N/A,FALSE,"mecan";#N/A,#N/A,FALSE,"civil";#N/A,#N/A,FALSE,"CAÑER";#N/A,#N/A,FALSE,"ELEC";#N/A,#N/A,FALSE,"INSTR"}</definedName>
    <definedName name="avc" localSheetId="2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wawawaw" localSheetId="18" hidden="1">{#N/A,#N/A,FALSE,"Costos_Elem_Hid";#N/A,#N/A,FALSE,"Costos_Elem_Hid";#N/A,#N/A,FALSE,"Costos_Elem_Hid"}</definedName>
    <definedName name="awawawaw" localSheetId="8" hidden="1">{#N/A,#N/A,FALSE,"Costos_Elem_Hid";#N/A,#N/A,FALSE,"Costos_Elem_Hid";#N/A,#N/A,FALSE,"Costos_Elem_Hid"}</definedName>
    <definedName name="awawawaw" localSheetId="19" hidden="1">{#N/A,#N/A,FALSE,"Costos_Elem_Hid";#N/A,#N/A,FALSE,"Costos_Elem_Hid";#N/A,#N/A,FALSE,"Costos_Elem_Hid"}</definedName>
    <definedName name="awawawaw" localSheetId="20" hidden="1">{#N/A,#N/A,FALSE,"Costos_Elem_Hid";#N/A,#N/A,FALSE,"Costos_Elem_Hid";#N/A,#N/A,FALSE,"Costos_Elem_Hid"}</definedName>
    <definedName name="awawawaw" hidden="1">{#N/A,#N/A,FALSE,"Costos_Elem_Hid";#N/A,#N/A,FALSE,"Costos_Elem_Hid";#N/A,#N/A,FALSE,"Costos_Elem_Hid"}</definedName>
    <definedName name="axaxax" localSheetId="18" hidden="1">{"'Hoja3'!$F$5"}</definedName>
    <definedName name="axaxax" localSheetId="8" hidden="1">{"'Hoja3'!$F$5"}</definedName>
    <definedName name="axaxax" localSheetId="19" hidden="1">{"'Hoja3'!$F$5"}</definedName>
    <definedName name="axaxax" localSheetId="20" hidden="1">{"'Hoja3'!$F$5"}</definedName>
    <definedName name="axaxax" hidden="1">{"'Hoja3'!$F$5"}</definedName>
    <definedName name="azaza" localSheetId="18" hidden="1">{"'Hoja3'!$F$5"}</definedName>
    <definedName name="azaza" localSheetId="8" hidden="1">{"'Hoja3'!$F$5"}</definedName>
    <definedName name="azaza" localSheetId="19" hidden="1">{"'Hoja3'!$F$5"}</definedName>
    <definedName name="azaza" localSheetId="20" hidden="1">{"'Hoja3'!$F$5"}</definedName>
    <definedName name="azaza" hidden="1">{"'Hoja3'!$F$5"}</definedName>
    <definedName name="AZAZAZ" localSheetId="18" hidden="1">{"Sin detalle",#N/A,FALSE,"Flujo (redondeado)"}</definedName>
    <definedName name="AZAZAZ" localSheetId="8" hidden="1">{"Sin detalle",#N/A,FALSE,"Flujo (redondeado)"}</definedName>
    <definedName name="AZAZAZ" localSheetId="19" hidden="1">{"Sin detalle",#N/A,FALSE,"Flujo (redondeado)"}</definedName>
    <definedName name="AZAZAZ" localSheetId="20" hidden="1">{"Sin detalle",#N/A,FALSE,"Flujo (redondeado)"}</definedName>
    <definedName name="AZAZAZ" hidden="1">{"Sin detalle",#N/A,FALSE,"Flujo (redondeado)"}</definedName>
    <definedName name="b" localSheetId="18" hidden="1">{#N/A,#N/A,FALSE,"Total_OC015";#N/A,#N/A,FALSE,"ADMIN";#N/A,#N/A,FALSE,"PROCES";#N/A,#N/A,FALSE,"mecan";#N/A,#N/A,FALSE,"civil";#N/A,#N/A,FALSE,"CAÑER";#N/A,#N/A,FALSE,"ELEC";#N/A,#N/A,FALSE,"INSTR"}</definedName>
    <definedName name="b" localSheetId="8" hidden="1">{#N/A,#N/A,FALSE,"Total_OC015";#N/A,#N/A,FALSE,"ADMIN";#N/A,#N/A,FALSE,"PROCES";#N/A,#N/A,FALSE,"mecan";#N/A,#N/A,FALSE,"civil";#N/A,#N/A,FALSE,"CAÑER";#N/A,#N/A,FALSE,"ELEC";#N/A,#N/A,FALSE,"INSTR"}</definedName>
    <definedName name="b" localSheetId="19" hidden="1">{#N/A,#N/A,FALSE,"Total_OC015";#N/A,#N/A,FALSE,"ADMIN";#N/A,#N/A,FALSE,"PROCES";#N/A,#N/A,FALSE,"mecan";#N/A,#N/A,FALSE,"civil";#N/A,#N/A,FALSE,"CAÑER";#N/A,#N/A,FALSE,"ELEC";#N/A,#N/A,FALSE,"INSTR"}</definedName>
    <definedName name="b" localSheetId="20" hidden="1">{#N/A,#N/A,FALSE,"Total_OC015";#N/A,#N/A,FALSE,"ADMIN";#N/A,#N/A,FALSE,"PROCES";#N/A,#N/A,FALSE,"mecan";#N/A,#N/A,FALSE,"civil";#N/A,#N/A,FALSE,"CAÑER";#N/A,#N/A,FALSE,"ELEC";#N/A,#N/A,FALSE,"INSTR"}</definedName>
    <definedName name="b" hidden="1">{#N/A,#N/A,FALSE,"Total_OC015";#N/A,#N/A,FALSE,"ADMIN";#N/A,#N/A,FALSE,"PROCES";#N/A,#N/A,FALSE,"mecan";#N/A,#N/A,FALSE,"civil";#N/A,#N/A,FALSE,"CAÑER";#N/A,#N/A,FALSE,"ELEC";#N/A,#N/A,FALSE,"INSTR"}</definedName>
    <definedName name="Base_excavaciones" localSheetId="18" hidden="1">{"Sin detalle",#N/A,FALSE,"Flujo (redondeado)";"Detallado",#N/A,FALSE,"Flujo (redondeado)"}</definedName>
    <definedName name="Base_excavaciones" localSheetId="8" hidden="1">{"Sin detalle",#N/A,FALSE,"Flujo (redondeado)";"Detallado",#N/A,FALSE,"Flujo (redondeado)"}</definedName>
    <definedName name="Base_excavaciones" localSheetId="19" hidden="1">{"Sin detalle",#N/A,FALSE,"Flujo (redondeado)";"Detallado",#N/A,FALSE,"Flujo (redondeado)"}</definedName>
    <definedName name="Base_excavaciones" localSheetId="20" hidden="1">{"Sin detalle",#N/A,FALSE,"Flujo (redondeado)";"Detallado",#N/A,FALSE,"Flujo (redondeado)"}</definedName>
    <definedName name="Base_excavaciones" hidden="1">{"Sin detalle",#N/A,FALSE,"Flujo (redondeado)";"Detallado",#N/A,FALSE,"Flujo (redondeado)"}</definedName>
    <definedName name="bb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b" localSheetId="18" hidden="1">{"Sin detalle",#N/A,FALSE,"Flujo (redondeado)";"Detallado",#N/A,FALSE,"Flujo (redondeado)"}</definedName>
    <definedName name="bbbbb" localSheetId="8" hidden="1">{"Sin detalle",#N/A,FALSE,"Flujo (redondeado)";"Detallado",#N/A,FALSE,"Flujo (redondeado)"}</definedName>
    <definedName name="bbbbb" localSheetId="19" hidden="1">{"Sin detalle",#N/A,FALSE,"Flujo (redondeado)";"Detallado",#N/A,FALSE,"Flujo (redondeado)"}</definedName>
    <definedName name="bbbbb" localSheetId="20" hidden="1">{"Sin detalle",#N/A,FALSE,"Flujo (redondeado)";"Detallado",#N/A,FALSE,"Flujo (redondeado)"}</definedName>
    <definedName name="bbbbb" hidden="1">{"Sin detalle",#N/A,FALSE,"Flujo (redondeado)";"Detallado",#N/A,FALSE,"Flujo (redondeado)"}</definedName>
    <definedName name="bghh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ORRA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ca" localSheetId="18" hidden="1">{#N/A,#N/A,TRUE,"Est. de Fact.";#N/A,#N/A,TRUE,"Capitulo 19";#N/A,#N/A,TRUE,"Proyecto P855"}</definedName>
    <definedName name="caca" localSheetId="8" hidden="1">{#N/A,#N/A,TRUE,"Est. de Fact.";#N/A,#N/A,TRUE,"Capitulo 19";#N/A,#N/A,TRUE,"Proyecto P855"}</definedName>
    <definedName name="caca" localSheetId="19" hidden="1">{#N/A,#N/A,TRUE,"Est. de Fact.";#N/A,#N/A,TRUE,"Capitulo 19";#N/A,#N/A,TRUE,"Proyecto P855"}</definedName>
    <definedName name="caca" localSheetId="2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JA" localSheetId="18" hidden="1">{#N/A,#N/A,TRUE,"Costos_Subg_Hid"}</definedName>
    <definedName name="CAJA" localSheetId="8" hidden="1">{#N/A,#N/A,TRUE,"Costos_Subg_Hid"}</definedName>
    <definedName name="CAJA" localSheetId="19" hidden="1">{#N/A,#N/A,TRUE,"Costos_Subg_Hid"}</definedName>
    <definedName name="CAJA" localSheetId="20" hidden="1">{#N/A,#N/A,TRUE,"Costos_Subg_Hid"}</definedName>
    <definedName name="CAJA" hidden="1">{#N/A,#N/A,TRUE,"Costos_Subg_Hid"}</definedName>
    <definedName name="CAJA1" localSheetId="18" hidden="1">{#N/A,#N/A,FALSE,"Costos_Elem_Hid";#N/A,#N/A,FALSE,"Costos_Elem_Hid";#N/A,#N/A,FALSE,"Costos_Elem_Hid"}</definedName>
    <definedName name="CAJA1" localSheetId="8" hidden="1">{#N/A,#N/A,FALSE,"Costos_Elem_Hid";#N/A,#N/A,FALSE,"Costos_Elem_Hid";#N/A,#N/A,FALSE,"Costos_Elem_Hid"}</definedName>
    <definedName name="CAJA1" localSheetId="19" hidden="1">{#N/A,#N/A,FALSE,"Costos_Elem_Hid";#N/A,#N/A,FALSE,"Costos_Elem_Hid";#N/A,#N/A,FALSE,"Costos_Elem_Hid"}</definedName>
    <definedName name="CAJA1" localSheetId="20" hidden="1">{#N/A,#N/A,FALSE,"Costos_Elem_Hid";#N/A,#N/A,FALSE,"Costos_Elem_Hid";#N/A,#N/A,FALSE,"Costos_Elem_Hid"}</definedName>
    <definedName name="CAJA1" hidden="1">{#N/A,#N/A,FALSE,"Costos_Elem_Hid";#N/A,#N/A,FALSE,"Costos_Elem_Hid";#N/A,#N/A,FALSE,"Costos_Elem_Hid"}</definedName>
    <definedName name="Camióm" localSheetId="18" hidden="1">{"FlujoGastos",#N/A,FALSE,"Base";"FlujoGastos",#N/A,FALSE,"Buzón Tren";"FlujoGastos",#N/A,FALSE,"Buzón Camión";"FlujoGastos",#N/A,FALSE,"LHD Camión";"FlujoGastos",#N/A,FALSE,"Cámara Camión"}</definedName>
    <definedName name="Camióm" localSheetId="8" hidden="1">{"FlujoGastos",#N/A,FALSE,"Base";"FlujoGastos",#N/A,FALSE,"Buzón Tren";"FlujoGastos",#N/A,FALSE,"Buzón Camión";"FlujoGastos",#N/A,FALSE,"LHD Camión";"FlujoGastos",#N/A,FALSE,"Cámara Camión"}</definedName>
    <definedName name="Camióm" localSheetId="19" hidden="1">{"FlujoGastos",#N/A,FALSE,"Base";"FlujoGastos",#N/A,FALSE,"Buzón Tren";"FlujoGastos",#N/A,FALSE,"Buzón Camión";"FlujoGastos",#N/A,FALSE,"LHD Camión";"FlujoGastos",#N/A,FALSE,"Cámara Camión"}</definedName>
    <definedName name="Camióm" localSheetId="2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rt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Oferta" localSheetId="6">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</definedName>
    <definedName name="CartaOferta">#REF!,#REF!,#REF!,#REF!,#REF!,#REF!,#REF!,#REF!,#REF!,#REF!,#REF!,#REF!,#REF!,#REF!,#REF!,#REF!,#REF!,#REF!,#REF!,#REF!,#REF!,#REF!,#REF!,#REF!,#REF!,#REF!,#REF!,#REF!,#REF!,#REF!,#REF!,#REF!,#REF!,#REF!</definedName>
    <definedName name="CARTA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d" localSheetId="18" hidden="1">{#N/A,#N/A,TRUE,"Costos_Subg_Hid"}</definedName>
    <definedName name="cd" localSheetId="8" hidden="1">{#N/A,#N/A,TRUE,"Costos_Subg_Hid"}</definedName>
    <definedName name="cd" localSheetId="19" hidden="1">{#N/A,#N/A,TRUE,"Costos_Subg_Hid"}</definedName>
    <definedName name="cd" localSheetId="20" hidden="1">{#N/A,#N/A,TRUE,"Costos_Subg_Hid"}</definedName>
    <definedName name="cd" hidden="1">{#N/A,#N/A,TRUE,"Costos_Subg_Hid"}</definedName>
    <definedName name="cfvfsd" localSheetId="18" hidden="1">{#N/A,#N/A,TRUE,"Costos_Subg_Hid"}</definedName>
    <definedName name="cfvfsd" localSheetId="8" hidden="1">{#N/A,#N/A,TRUE,"Costos_Subg_Hid"}</definedName>
    <definedName name="cfvfsd" localSheetId="19" hidden="1">{#N/A,#N/A,TRUE,"Costos_Subg_Hid"}</definedName>
    <definedName name="cfvfsd" localSheetId="20" hidden="1">{#N/A,#N/A,TRUE,"Costos_Subg_Hid"}</definedName>
    <definedName name="cfvfsd" hidden="1">{#N/A,#N/A,TRUE,"Costos_Subg_Hid"}</definedName>
    <definedName name="CHANCADO" localSheetId="18" hidden="1">{"'Hoja3'!$F$5"}</definedName>
    <definedName name="CHANCADO" localSheetId="8" hidden="1">{"'Hoja3'!$F$5"}</definedName>
    <definedName name="CHANCADO" localSheetId="19" hidden="1">{"'Hoja3'!$F$5"}</definedName>
    <definedName name="CHANCADO" localSheetId="20" hidden="1">{"'Hoja3'!$F$5"}</definedName>
    <definedName name="CHANCADO" hidden="1">{"'Hoja3'!$F$5"}</definedName>
    <definedName name="Chancador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O" localSheetId="18" hidden="1">{"MO(BASE)",#N/A,FALSE,"MO(BASE)";"MO(BASE)1",#N/A,FALSE,"MO(BASE)";"MO(BASE)2",#N/A,FALSE,"MO(BASE)"}</definedName>
    <definedName name="CONSO" localSheetId="8" hidden="1">{"MO(BASE)",#N/A,FALSE,"MO(BASE)";"MO(BASE)1",#N/A,FALSE,"MO(BASE)";"MO(BASE)2",#N/A,FALSE,"MO(BASE)"}</definedName>
    <definedName name="CONSO" localSheetId="19" hidden="1">{"MO(BASE)",#N/A,FALSE,"MO(BASE)";"MO(BASE)1",#N/A,FALSE,"MO(BASE)";"MO(BASE)2",#N/A,FALSE,"MO(BASE)"}</definedName>
    <definedName name="CONSO" localSheetId="2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TRUCCION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rol" localSheetId="18" hidden="1">{#N/A,#N/A,FALSE,"Graficos"}</definedName>
    <definedName name="control" localSheetId="8" hidden="1">{#N/A,#N/A,FALSE,"Graficos"}</definedName>
    <definedName name="control" localSheetId="19" hidden="1">{#N/A,#N/A,FALSE,"Graficos"}</definedName>
    <definedName name="control" localSheetId="20" hidden="1">{#N/A,#N/A,FALSE,"Graficos"}</definedName>
    <definedName name="control" hidden="1">{#N/A,#N/A,FALSE,"Graficos"}</definedName>
    <definedName name="Correas" localSheetId="18" hidden="1">{"desarrollo",#N/A,FALSE,"Cámara Camión";"resumen",#N/A,FALSE,"Cámara Camión";"eqprod",#N/A,FALSE,"Cámara Camión"}</definedName>
    <definedName name="Correas" localSheetId="8" hidden="1">{"desarrollo",#N/A,FALSE,"Cámara Camión";"resumen",#N/A,FALSE,"Cámara Camión";"eqprod",#N/A,FALSE,"Cámara Camión"}</definedName>
    <definedName name="Correas" localSheetId="19" hidden="1">{"desarrollo",#N/A,FALSE,"Cámara Camión";"resumen",#N/A,FALSE,"Cámara Camión";"eqprod",#N/A,FALSE,"Cámara Camión"}</definedName>
    <definedName name="Correas" localSheetId="2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ots" localSheetId="18" hidden="1">{"Graf_Carga Trab",#N/A,FALSE,"Grafi_Carga Trab";"Graf_Venta Flujo",#N/A,FALSE,"Grafi_Carga Trab"}</definedName>
    <definedName name="cosots" localSheetId="8" hidden="1">{"Graf_Carga Trab",#N/A,FALSE,"Grafi_Carga Trab";"Graf_Venta Flujo",#N/A,FALSE,"Grafi_Carga Trab"}</definedName>
    <definedName name="cosots" localSheetId="19" hidden="1">{"Graf_Carga Trab",#N/A,FALSE,"Grafi_Carga Trab";"Graf_Venta Flujo",#N/A,FALSE,"Grafi_Carga Trab"}</definedName>
    <definedName name="cosots" localSheetId="2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ub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NIT" localSheetId="18" hidden="1">{#N/A,#N/A,TRUE,"Costos_Subg_Hid"}</definedName>
    <definedName name="CUNIT" localSheetId="8" hidden="1">{#N/A,#N/A,TRUE,"Costos_Subg_Hid"}</definedName>
    <definedName name="CUNIT" localSheetId="19" hidden="1">{#N/A,#N/A,TRUE,"Costos_Subg_Hid"}</definedName>
    <definedName name="CUNIT" localSheetId="20" hidden="1">{#N/A,#N/A,TRUE,"Costos_Subg_Hid"}</definedName>
    <definedName name="CUNIT" hidden="1">{#N/A,#N/A,TRUE,"Costos_Subg_Hid"}</definedName>
    <definedName name="D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adasd" localSheetId="18" hidden="1">{#N/A,#N/A,FALSE,"Costos_Elem_Hid";#N/A,#N/A,FALSE,"Costos_Elem_Hid";#N/A,#N/A,FALSE,"Costos_Elem_Hid"}</definedName>
    <definedName name="dadasd" localSheetId="8" hidden="1">{#N/A,#N/A,FALSE,"Costos_Elem_Hid";#N/A,#N/A,FALSE,"Costos_Elem_Hid";#N/A,#N/A,FALSE,"Costos_Elem_Hid"}</definedName>
    <definedName name="dadasd" localSheetId="19" hidden="1">{#N/A,#N/A,FALSE,"Costos_Elem_Hid";#N/A,#N/A,FALSE,"Costos_Elem_Hid";#N/A,#N/A,FALSE,"Costos_Elem_Hid"}</definedName>
    <definedName name="dadasd" localSheetId="20" hidden="1">{#N/A,#N/A,FALSE,"Costos_Elem_Hid";#N/A,#N/A,FALSE,"Costos_Elem_Hid";#N/A,#N/A,FALSE,"Costos_Elem_Hid"}</definedName>
    <definedName name="dadasd" hidden="1">{#N/A,#N/A,FALSE,"Costos_Elem_Hid";#N/A,#N/A,FALSE,"Costos_Elem_Hid";#N/A,#N/A,FALSE,"Costos_Elem_Hid"}</definedName>
    <definedName name="d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D" localSheetId="18" hidden="1">{#N/A,#N/A,FALSE,"summary";#N/A,#N/A,FALSE,"SumGraph"}</definedName>
    <definedName name="DDD" localSheetId="8" hidden="1">{#N/A,#N/A,FALSE,"summary";#N/A,#N/A,FALSE,"SumGraph"}</definedName>
    <definedName name="DDD" localSheetId="19" hidden="1">{#N/A,#N/A,FALSE,"summary";#N/A,#N/A,FALSE,"SumGraph"}</definedName>
    <definedName name="DDD" localSheetId="20" hidden="1">{#N/A,#N/A,FALSE,"summary";#N/A,#N/A,FALSE,"SumGraph"}</definedName>
    <definedName name="DDD" hidden="1">{#N/A,#N/A,FALSE,"summary";#N/A,#N/A,FALSE,"SumGraph"}</definedName>
    <definedName name="dddd" localSheetId="18" hidden="1">{#N/A,#N/A,FALSE,"Costos_Elem_Hid";#N/A,#N/A,FALSE,"Costos_Elem_Hid";#N/A,#N/A,FALSE,"Costos_Elem_Hid"}</definedName>
    <definedName name="dddd" localSheetId="8" hidden="1">{#N/A,#N/A,FALSE,"Costos_Elem_Hid";#N/A,#N/A,FALSE,"Costos_Elem_Hid";#N/A,#N/A,FALSE,"Costos_Elem_Hid"}</definedName>
    <definedName name="dddd" localSheetId="19" hidden="1">{#N/A,#N/A,FALSE,"Costos_Elem_Hid";#N/A,#N/A,FALSE,"Costos_Elem_Hid";#N/A,#N/A,FALSE,"Costos_Elem_Hid"}</definedName>
    <definedName name="dddd" localSheetId="20" hidden="1">{#N/A,#N/A,FALSE,"Costos_Elem_Hid";#N/A,#N/A,FALSE,"Costos_Elem_Hid";#N/A,#N/A,FALSE,"Costos_Elem_Hid"}</definedName>
    <definedName name="dddd" hidden="1">{#N/A,#N/A,FALSE,"Costos_Elem_Hid";#N/A,#N/A,FALSE,"Costos_Elem_Hid";#N/A,#N/A,FALSE,"Costos_Elem_Hid"}</definedName>
    <definedName name="ddfd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" localSheetId="18" hidden="1">{"CI+GG(BASE)",#N/A,FALSE,"CI+GG(BASE)";"GG",#N/A,FALSE,"CI+GG(BASE)";"CI",#N/A,FALSE,"CI+GG(BASE)"}</definedName>
    <definedName name="de" localSheetId="8" hidden="1">{"CI+GG(BASE)",#N/A,FALSE,"CI+GG(BASE)";"GG",#N/A,FALSE,"CI+GG(BASE)";"CI",#N/A,FALSE,"CI+GG(BASE)"}</definedName>
    <definedName name="de" localSheetId="19" hidden="1">{"CI+GG(BASE)",#N/A,FALSE,"CI+GG(BASE)";"GG",#N/A,FALSE,"CI+GG(BASE)";"CI",#N/A,FALSE,"CI+GG(BASE)"}</definedName>
    <definedName name="de" localSheetId="20" hidden="1">{"CI+GG(BASE)",#N/A,FALSE,"CI+GG(BASE)";"GG",#N/A,FALSE,"CI+GG(BASE)";"CI",#N/A,FALSE,"CI+GG(BASE)"}</definedName>
    <definedName name="de" hidden="1">{"CI+GG(BASE)",#N/A,FALSE,"CI+GG(BASE)";"GG",#N/A,FALSE,"CI+GG(BASE)";"CI",#N/A,FALSE,"CI+GG(BASE)"}</definedName>
    <definedName name="der" localSheetId="18" hidden="1">{"CI+GG(BASE)",#N/A,FALSE,"CI+GG(BASE)";"GG",#N/A,FALSE,"CI+GG(BASE)";"CI",#N/A,FALSE,"CI+GG(BASE)"}</definedName>
    <definedName name="der" localSheetId="8" hidden="1">{"CI+GG(BASE)",#N/A,FALSE,"CI+GG(BASE)";"GG",#N/A,FALSE,"CI+GG(BASE)";"CI",#N/A,FALSE,"CI+GG(BASE)"}</definedName>
    <definedName name="der" localSheetId="19" hidden="1">{"CI+GG(BASE)",#N/A,FALSE,"CI+GG(BASE)";"GG",#N/A,FALSE,"CI+GG(BASE)";"CI",#N/A,FALSE,"CI+GG(BASE)"}</definedName>
    <definedName name="der" localSheetId="20" hidden="1">{"CI+GG(BASE)",#N/A,FALSE,"CI+GG(BASE)";"GG",#N/A,FALSE,"CI+GG(BASE)";"CI",#N/A,FALSE,"CI+GG(BASE)"}</definedName>
    <definedName name="der" hidden="1">{"CI+GG(BASE)",#N/A,FALSE,"CI+GG(BASE)";"GG",#N/A,FALSE,"CI+GG(BASE)";"CI",#N/A,FALSE,"CI+GG(BASE)"}</definedName>
    <definedName name="DESARROLLOSRIODELMEDIO" localSheetId="18" hidden="1">{#N/A,#N/A,FALSE,"summary";#N/A,#N/A,FALSE,"SumGraph"}</definedName>
    <definedName name="DESARROLLOSRIODELMEDIO" localSheetId="8" hidden="1">{#N/A,#N/A,FALSE,"summary";#N/A,#N/A,FALSE,"SumGraph"}</definedName>
    <definedName name="DESARROLLOSRIODELMEDIO" localSheetId="19" hidden="1">{#N/A,#N/A,FALSE,"summary";#N/A,#N/A,FALSE,"SumGraph"}</definedName>
    <definedName name="DESARROLLOSRIODELMEDIO" localSheetId="20" hidden="1">{#N/A,#N/A,FALSE,"summary";#N/A,#N/A,FALSE,"SumGraph"}</definedName>
    <definedName name="DESARROLLOSRIODELMEDIO" hidden="1">{#N/A,#N/A,FALSE,"summary";#N/A,#N/A,FALSE,"SumGraph"}</definedName>
    <definedName name="DESV" localSheetId="1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19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localSheetId="2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g" localSheetId="18" hidden="1">{#N/A,#N/A,TRUE,"Est. de Fact.";#N/A,#N/A,TRUE,"Capitulo 19";#N/A,#N/A,TRUE,"Proyecto P855"}</definedName>
    <definedName name="dfg" localSheetId="8" hidden="1">{#N/A,#N/A,TRUE,"Est. de Fact.";#N/A,#N/A,TRUE,"Capitulo 19";#N/A,#N/A,TRUE,"Proyecto P855"}</definedName>
    <definedName name="dfg" localSheetId="19" hidden="1">{#N/A,#N/A,TRUE,"Est. de Fact.";#N/A,#N/A,TRUE,"Capitulo 19";#N/A,#N/A,TRUE,"Proyecto P855"}</definedName>
    <definedName name="dfg" localSheetId="2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h" localSheetId="18" hidden="1">{#N/A,#N/A,TRUE,"Costos_Subg_Hid"}</definedName>
    <definedName name="dfgh" localSheetId="8" hidden="1">{#N/A,#N/A,TRUE,"Costos_Subg_Hid"}</definedName>
    <definedName name="dfgh" localSheetId="19" hidden="1">{#N/A,#N/A,TRUE,"Costos_Subg_Hid"}</definedName>
    <definedName name="dfgh" localSheetId="20" hidden="1">{#N/A,#N/A,TRUE,"Costos_Subg_Hid"}</definedName>
    <definedName name="dfgh" hidden="1">{#N/A,#N/A,TRUE,"Costos_Subg_Hid"}</definedName>
    <definedName name="dfre" localSheetId="18" hidden="1">{#N/A,#N/A,FALSE,"PEND INC";#N/A,#N/A,FALSE,"PEND MINM"}</definedName>
    <definedName name="dfre" localSheetId="8" hidden="1">{#N/A,#N/A,FALSE,"PEND INC";#N/A,#N/A,FALSE,"PEND MINM"}</definedName>
    <definedName name="dfre" localSheetId="19" hidden="1">{#N/A,#N/A,FALSE,"PEND INC";#N/A,#N/A,FALSE,"PEND MINM"}</definedName>
    <definedName name="dfre" localSheetId="20" hidden="1">{#N/A,#N/A,FALSE,"PEND INC";#N/A,#N/A,FALSE,"PEND MINM"}</definedName>
    <definedName name="dfre" hidden="1">{#N/A,#N/A,FALSE,"PEND INC";#N/A,#N/A,FALSE,"PEND MINM"}</definedName>
    <definedName name="dh_mes">#REF!</definedName>
    <definedName name="diez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18" hidden="1">{#N/A,#N/A,FALSE,"Total_OC015";#N/A,#N/A,FALSE,"ADMIN";#N/A,#N/A,FALSE,"PROCES";#N/A,#N/A,FALSE,"mecan";#N/A,#N/A,FALSE,"civil";#N/A,#N/A,FALSE,"CAÑER";#N/A,#N/A,FALSE,"ELEC";#N/A,#N/A,FALSE,"INSTR"}</definedName>
    <definedName name="Diferencias" localSheetId="8" hidden="1">{#N/A,#N/A,FALSE,"Total_OC015";#N/A,#N/A,FALSE,"ADMIN";#N/A,#N/A,FALSE,"PROCES";#N/A,#N/A,FALSE,"mecan";#N/A,#N/A,FALSE,"civil";#N/A,#N/A,FALSE,"CAÑER";#N/A,#N/A,FALSE,"ELEC";#N/A,#N/A,FALSE,"INSTR"}</definedName>
    <definedName name="Diferencias" localSheetId="19" hidden="1">{#N/A,#N/A,FALSE,"Total_OC015";#N/A,#N/A,FALSE,"ADMIN";#N/A,#N/A,FALSE,"PROCES";#N/A,#N/A,FALSE,"mecan";#N/A,#N/A,FALSE,"civil";#N/A,#N/A,FALSE,"CAÑER";#N/A,#N/A,FALSE,"ELEC";#N/A,#N/A,FALSE,"INSTR"}</definedName>
    <definedName name="Diferencias" localSheetId="2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O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_agua">#REF!</definedName>
    <definedName name="dot_ap">#REF!</definedName>
    <definedName name="dot_dist">#REF!</definedName>
    <definedName name="dot_mina">#REF!</definedName>
    <definedName name="dot_oca">#REF!</definedName>
    <definedName name="dot_per">#REF!</definedName>
    <definedName name="dotacion">#REF!</definedName>
    <definedName name="dotacion_CMDIC">#REF!</definedName>
    <definedName name="Dotación_Distribución">#REF!</definedName>
    <definedName name="dotch" localSheetId="18" hidden="1">{"desarrollo",#N/A,FALSE,"Cámara Camión";"resumen",#N/A,FALSE,"Cámara Camión";"eqprod",#N/A,FALSE,"Cámara Camión"}</definedName>
    <definedName name="dotch" localSheetId="8" hidden="1">{"desarrollo",#N/A,FALSE,"Cámara Camión";"resumen",#N/A,FALSE,"Cámara Camión";"eqprod",#N/A,FALSE,"Cámara Camión"}</definedName>
    <definedName name="dotch" localSheetId="19" hidden="1">{"desarrollo",#N/A,FALSE,"Cámara Camión";"resumen",#N/A,FALSE,"Cámara Camión";"eqprod",#N/A,FALSE,"Cámara Camión"}</definedName>
    <definedName name="dotch" localSheetId="2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18" hidden="1">{"desarrollo",#N/A,FALSE,"Cámara Camión";"resumen",#N/A,FALSE,"Cámara Camión";"eqprod",#N/A,FALSE,"Cámara Camión"}</definedName>
    <definedName name="dotch4" localSheetId="8" hidden="1">{"desarrollo",#N/A,FALSE,"Cámara Camión";"resumen",#N/A,FALSE,"Cámara Camión";"eqprod",#N/A,FALSE,"Cámara Camión"}</definedName>
    <definedName name="dotch4" localSheetId="19" hidden="1">{"desarrollo",#N/A,FALSE,"Cámara Camión";"resumen",#N/A,FALSE,"Cámara Camión";"eqprod",#N/A,FALSE,"Cámara Camión"}</definedName>
    <definedName name="dotch4" localSheetId="2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sdsdd" localSheetId="18" hidden="1">{#N/A,#N/A,FALSE,"Costos_Elem_Hid";#N/A,#N/A,FALSE,"Costos_Elem_Hid";#N/A,#N/A,FALSE,"Costos_Elem_Hid"}</definedName>
    <definedName name="dsdsdd" localSheetId="8" hidden="1">{#N/A,#N/A,FALSE,"Costos_Elem_Hid";#N/A,#N/A,FALSE,"Costos_Elem_Hid";#N/A,#N/A,FALSE,"Costos_Elem_Hid"}</definedName>
    <definedName name="dsdsdd" localSheetId="19" hidden="1">{#N/A,#N/A,FALSE,"Costos_Elem_Hid";#N/A,#N/A,FALSE,"Costos_Elem_Hid";#N/A,#N/A,FALSE,"Costos_Elem_Hid"}</definedName>
    <definedName name="dsdsdd" localSheetId="20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ECO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e" localSheetId="18" hidden="1">{#N/A,#N/A,FALSE,"Total_OC015";#N/A,#N/A,FALSE,"ADMIN";#N/A,#N/A,FALSE,"PROCES";#N/A,#N/A,FALSE,"mecan";#N/A,#N/A,FALSE,"civil";#N/A,#N/A,FALSE,"CAÑER";#N/A,#N/A,FALSE,"ELEC";#N/A,#N/A,FALSE,"INSTR"}</definedName>
    <definedName name="ee" localSheetId="8" hidden="1">{#N/A,#N/A,FALSE,"Total_OC015";#N/A,#N/A,FALSE,"ADMIN";#N/A,#N/A,FALSE,"PROCES";#N/A,#N/A,FALSE,"mecan";#N/A,#N/A,FALSE,"civil";#N/A,#N/A,FALSE,"CAÑER";#N/A,#N/A,FALSE,"ELEC";#N/A,#N/A,FALSE,"INSTR"}</definedName>
    <definedName name="ee" localSheetId="19" hidden="1">{#N/A,#N/A,FALSE,"Total_OC015";#N/A,#N/A,FALSE,"ADMIN";#N/A,#N/A,FALSE,"PROCES";#N/A,#N/A,FALSE,"mecan";#N/A,#N/A,FALSE,"civil";#N/A,#N/A,FALSE,"CAÑER";#N/A,#N/A,FALSE,"ELEC";#N/A,#N/A,FALSE,"INSTR"}</definedName>
    <definedName name="ee" localSheetId="20" hidden="1">{#N/A,#N/A,FALSE,"Total_OC015";#N/A,#N/A,FALSE,"ADMIN";#N/A,#N/A,FALSE,"PROCES";#N/A,#N/A,FALSE,"mecan";#N/A,#N/A,FALSE,"civil";#N/A,#N/A,FALSE,"CAÑER";#N/A,#N/A,FALSE,"ELEC";#N/A,#N/A,FALSE,"INSTR"}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8" hidden="1">{#N/A,#N/A,FALSE,"Costos_Elem_Hid";#N/A,#N/A,FALSE,"Costos_Elem_Hid";#N/A,#N/A,FALSE,"Costos_Elem_Hid"}</definedName>
    <definedName name="eeeee" localSheetId="8" hidden="1">{#N/A,#N/A,FALSE,"Costos_Elem_Hid";#N/A,#N/A,FALSE,"Costos_Elem_Hid";#N/A,#N/A,FALSE,"Costos_Elem_Hid"}</definedName>
    <definedName name="eeeee" localSheetId="19" hidden="1">{#N/A,#N/A,FALSE,"Costos_Elem_Hid";#N/A,#N/A,FALSE,"Costos_Elem_Hid";#N/A,#N/A,FALSE,"Costos_Elem_Hid"}</definedName>
    <definedName name="eeeee" localSheetId="20" hidden="1">{#N/A,#N/A,FALSE,"Costos_Elem_Hid";#N/A,#N/A,FALSE,"Costos_Elem_Hid";#N/A,#N/A,FALSE,"Costos_Elem_Hid"}</definedName>
    <definedName name="eeeee" hidden="1">{#N/A,#N/A,FALSE,"Costos_Elem_Hid";#N/A,#N/A,FALSE,"Costos_Elem_Hid";#N/A,#N/A,FALSE,"Costos_Elem_Hid"}</definedName>
    <definedName name="ee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y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q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" localSheetId="18" hidden="1">{#N/A,#N/A,TRUE,"Est. de Fact.";#N/A,#N/A,TRUE,"Capitulo 19";#N/A,#N/A,TRUE,"Proyecto P855"}</definedName>
    <definedName name="equ" localSheetId="8" hidden="1">{#N/A,#N/A,TRUE,"Est. de Fact.";#N/A,#N/A,TRUE,"Capitulo 19";#N/A,#N/A,TRUE,"Proyecto P855"}</definedName>
    <definedName name="equ" localSheetId="19" hidden="1">{#N/A,#N/A,TRUE,"Est. de Fact.";#N/A,#N/A,TRUE,"Capitulo 19";#N/A,#N/A,TRUE,"Proyecto P855"}</definedName>
    <definedName name="equ" localSheetId="2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u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tp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xamenes" localSheetId="6">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'!#REF!,'Organigrama '!#REF!</definedName>
    <definedName name="Examenes">#REF!,#REF!,#REF!,#REF!,#REF!,#REF!,#REF!,#REF!,#REF!,#REF!,#REF!,#REF!,#REF!,#REF!,#REF!,#REF!,#REF!,#REF!,#REF!,#REF!,#REF!,#REF!,#REF!,#REF!,#REF!,#REF!,#REF!,#REF!,#REF!</definedName>
    <definedName name="EXPFIS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C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 localSheetId="18" hidden="1">{"'Hoja3'!$F$5"}</definedName>
    <definedName name="fad" localSheetId="8" hidden="1">{"'Hoja3'!$F$5"}</definedName>
    <definedName name="fad" localSheetId="19" hidden="1">{"'Hoja3'!$F$5"}</definedName>
    <definedName name="fad" localSheetId="20" hidden="1">{"'Hoja3'!$F$5"}</definedName>
    <definedName name="fad" hidden="1">{"'Hoja3'!$F$5"}</definedName>
    <definedName name="FDFD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1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jgd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sfsdfdsfs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elipe" localSheetId="18" hidden="1">{"CI+GG(BASE)",#N/A,FALSE,"CI+GG(BASE)";"GG",#N/A,FALSE,"CI+GG(BASE)";"CI",#N/A,FALSE,"CI+GG(BASE)"}</definedName>
    <definedName name="felipe" localSheetId="8" hidden="1">{"CI+GG(BASE)",#N/A,FALSE,"CI+GG(BASE)";"GG",#N/A,FALSE,"CI+GG(BASE)";"CI",#N/A,FALSE,"CI+GG(BASE)"}</definedName>
    <definedName name="felipe" localSheetId="19" hidden="1">{"CI+GG(BASE)",#N/A,FALSE,"CI+GG(BASE)";"GG",#N/A,FALSE,"CI+GG(BASE)";"CI",#N/A,FALSE,"CI+GG(BASE)"}</definedName>
    <definedName name="felipe" localSheetId="2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rnando" localSheetId="1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9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FF" localSheetId="18" hidden="1">{"Graf_Carga Trab",#N/A,FALSE,"Grafi_Carga Trab";"Graf_Venta Flujo",#N/A,FALSE,"Grafi_Carga Trab"}</definedName>
    <definedName name="FFF" localSheetId="8" hidden="1">{"Graf_Carga Trab",#N/A,FALSE,"Grafi_Carga Trab";"Graf_Venta Flujo",#N/A,FALSE,"Grafi_Carga Trab"}</definedName>
    <definedName name="FFF" localSheetId="19" hidden="1">{"Graf_Carga Trab",#N/A,FALSE,"Grafi_Carga Trab";"Graf_Venta Flujo",#N/A,FALSE,"Grafi_Carga Trab"}</definedName>
    <definedName name="FFF" localSheetId="2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gc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localSheetId="18" hidden="1">{#N/A,#N/A,FALSE,"Costos_Elem_Hid";#N/A,#N/A,FALSE,"Costos_Elem_Hid";#N/A,#N/A,FALSE,"Costos_Elem_Hid"}</definedName>
    <definedName name="fgh" localSheetId="8" hidden="1">{#N/A,#N/A,FALSE,"Costos_Elem_Hid";#N/A,#N/A,FALSE,"Costos_Elem_Hid";#N/A,#N/A,FALSE,"Costos_Elem_Hid"}</definedName>
    <definedName name="fgh" localSheetId="19" hidden="1">{#N/A,#N/A,FALSE,"Costos_Elem_Hid";#N/A,#N/A,FALSE,"Costos_Elem_Hid";#N/A,#N/A,FALSE,"Costos_Elem_Hid"}</definedName>
    <definedName name="fgh" localSheetId="20" hidden="1">{#N/A,#N/A,FALSE,"Costos_Elem_Hid";#N/A,#N/A,FALSE,"Costos_Elem_Hid";#N/A,#N/A,FALSE,"Costos_Elem_Hid"}</definedName>
    <definedName name="fgh" hidden="1">{#N/A,#N/A,FALSE,"Costos_Elem_Hid";#N/A,#N/A,FALSE,"Costos_Elem_Hid";#N/A,#N/A,FALSE,"Costos_Elem_Hid"}</definedName>
    <definedName name="fgr" localSheetId="18" hidden="1">{#N/A,#N/A,FALSE,"Total_OC015";#N/A,#N/A,FALSE,"ADMIN";#N/A,#N/A,FALSE,"PROCES";#N/A,#N/A,FALSE,"mecan";#N/A,#N/A,FALSE,"civil";#N/A,#N/A,FALSE,"CAÑER";#N/A,#N/A,FALSE,"ELEC";#N/A,#N/A,FALSE,"INSTR"}</definedName>
    <definedName name="fgr" localSheetId="8" hidden="1">{#N/A,#N/A,FALSE,"Total_OC015";#N/A,#N/A,FALSE,"ADMIN";#N/A,#N/A,FALSE,"PROCES";#N/A,#N/A,FALSE,"mecan";#N/A,#N/A,FALSE,"civil";#N/A,#N/A,FALSE,"CAÑER";#N/A,#N/A,FALSE,"ELEC";#N/A,#N/A,FALSE,"INSTR"}</definedName>
    <definedName name="fgr" localSheetId="19" hidden="1">{#N/A,#N/A,FALSE,"Total_OC015";#N/A,#N/A,FALSE,"ADMIN";#N/A,#N/A,FALSE,"PROCES";#N/A,#N/A,FALSE,"mecan";#N/A,#N/A,FALSE,"civil";#N/A,#N/A,FALSE,"CAÑER";#N/A,#N/A,FALSE,"ELEC";#N/A,#N/A,FALSE,"INSTR"}</definedName>
    <definedName name="fgr" localSheetId="2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lujos" localSheetId="18" hidden="1">{#N/A,#N/A,FALSE,"Graficos"}</definedName>
    <definedName name="Flujos" localSheetId="8" hidden="1">{#N/A,#N/A,FALSE,"Graficos"}</definedName>
    <definedName name="Flujos" localSheetId="19" hidden="1">{#N/A,#N/A,FALSE,"Graficos"}</definedName>
    <definedName name="Flujos" localSheetId="20" hidden="1">{#N/A,#N/A,FALSE,"Graficos"}</definedName>
    <definedName name="Flujos" hidden="1">{#N/A,#N/A,FALSE,"Graficos"}</definedName>
    <definedName name="FRDEASAS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localSheetId="18" hidden="1">{#N/A,#N/A,FALSE,"Costos_Elem_Hid";#N/A,#N/A,FALSE,"Costos_Elem_Hid";#N/A,#N/A,FALSE,"Costos_Elem_Hid"}</definedName>
    <definedName name="frt" localSheetId="8" hidden="1">{#N/A,#N/A,FALSE,"Costos_Elem_Hid";#N/A,#N/A,FALSE,"Costos_Elem_Hid";#N/A,#N/A,FALSE,"Costos_Elem_Hid"}</definedName>
    <definedName name="frt" localSheetId="19" hidden="1">{#N/A,#N/A,FALSE,"Costos_Elem_Hid";#N/A,#N/A,FALSE,"Costos_Elem_Hid";#N/A,#N/A,FALSE,"Costos_Elem_Hid"}</definedName>
    <definedName name="frt" localSheetId="20" hidden="1">{#N/A,#N/A,FALSE,"Costos_Elem_Hid";#N/A,#N/A,FALSE,"Costos_Elem_Hid";#N/A,#N/A,FALSE,"Costos_Elem_Hid"}</definedName>
    <definedName name="frt" hidden="1">{#N/A,#N/A,FALSE,"Costos_Elem_Hid";#N/A,#N/A,FALSE,"Costos_Elem_Hid";#N/A,#N/A,FALSE,"Costos_Elem_Hid"}</definedName>
    <definedName name="FSAF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F" localSheetId="18" hidden="1">{"CI+GG(BASE)",#N/A,FALSE,"CI+GG(BASE)";"GG",#N/A,FALSE,"CI+GG(BASE)";"CI",#N/A,FALSE,"CI+GG(BASE)"}</definedName>
    <definedName name="FSDF" localSheetId="8" hidden="1">{"CI+GG(BASE)",#N/A,FALSE,"CI+GG(BASE)";"GG",#N/A,FALSE,"CI+GG(BASE)";"CI",#N/A,FALSE,"CI+GG(BASE)"}</definedName>
    <definedName name="FSDF" localSheetId="19" hidden="1">{"CI+GG(BASE)",#N/A,FALSE,"CI+GG(BASE)";"GG",#N/A,FALSE,"CI+GG(BASE)";"CI",#N/A,FALSE,"CI+GG(BASE)"}</definedName>
    <definedName name="FSDF" localSheetId="2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F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" localSheetId="18" hidden="1">{#N/A,#N/A,FALSE,"Graficos"}</definedName>
    <definedName name="g" localSheetId="8" hidden="1">{#N/A,#N/A,FALSE,"Graficos"}</definedName>
    <definedName name="g" localSheetId="19" hidden="1">{#N/A,#N/A,FALSE,"Graficos"}</definedName>
    <definedName name="g" localSheetId="20" hidden="1">{#N/A,#N/A,FALSE,"Graficos"}</definedName>
    <definedName name="g" hidden="1">{#N/A,#N/A,FALSE,"Graficos"}</definedName>
    <definedName name="Gantt_2" localSheetId="18" hidden="1">{#N/A,#N/A,FALSE,"Total_OC015";#N/A,#N/A,FALSE,"ADMIN";#N/A,#N/A,FALSE,"PROCES";#N/A,#N/A,FALSE,"mecan";#N/A,#N/A,FALSE,"civil";#N/A,#N/A,FALSE,"CAÑER";#N/A,#N/A,FALSE,"ELEC";#N/A,#N/A,FALSE,"INSTR"}</definedName>
    <definedName name="Gantt_2" localSheetId="8" hidden="1">{#N/A,#N/A,FALSE,"Total_OC015";#N/A,#N/A,FALSE,"ADMIN";#N/A,#N/A,FALSE,"PROCES";#N/A,#N/A,FALSE,"mecan";#N/A,#N/A,FALSE,"civil";#N/A,#N/A,FALSE,"CAÑER";#N/A,#N/A,FALSE,"ELEC";#N/A,#N/A,FALSE,"INSTR"}</definedName>
    <definedName name="Gantt_2" localSheetId="19" hidden="1">{#N/A,#N/A,FALSE,"Total_OC015";#N/A,#N/A,FALSE,"ADMIN";#N/A,#N/A,FALSE,"PROCES";#N/A,#N/A,FALSE,"mecan";#N/A,#N/A,FALSE,"civil";#N/A,#N/A,FALSE,"CAÑER";#N/A,#N/A,FALSE,"ELEC";#N/A,#N/A,FALSE,"INSTR"}</definedName>
    <definedName name="Gantt_2" localSheetId="2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stón" localSheetId="18" hidden="1">{"CI+GG(BASE)",#N/A,FALSE,"CI+GG(BASE)";"GG",#N/A,FALSE,"CI+GG(BASE)";"CI",#N/A,FALSE,"CI+GG(BASE)"}</definedName>
    <definedName name="Gastón" localSheetId="8" hidden="1">{"CI+GG(BASE)",#N/A,FALSE,"CI+GG(BASE)";"GG",#N/A,FALSE,"CI+GG(BASE)";"CI",#N/A,FALSE,"CI+GG(BASE)"}</definedName>
    <definedName name="Gastón" localSheetId="19" hidden="1">{"CI+GG(BASE)",#N/A,FALSE,"CI+GG(BASE)";"GG",#N/A,FALSE,"CI+GG(BASE)";"CI",#N/A,FALSE,"CI+GG(BASE)"}</definedName>
    <definedName name="Gastón" localSheetId="2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t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ente" localSheetId="18" hidden="1">{"FlujoGastos",#N/A,FALSE,"Base";"FlujoGastos",#N/A,FALSE,"Buzón Tren";"FlujoGastos",#N/A,FALSE,"Buzón Camión";"FlujoGastos",#N/A,FALSE,"LHD Camión";"FlujoGastos",#N/A,FALSE,"Cámara Camión"}</definedName>
    <definedName name="gente" localSheetId="8" hidden="1">{"FlujoGastos",#N/A,FALSE,"Base";"FlujoGastos",#N/A,FALSE,"Buzón Tren";"FlujoGastos",#N/A,FALSE,"Buzón Camión";"FlujoGastos",#N/A,FALSE,"LHD Camión";"FlujoGastos",#N/A,FALSE,"Cámara Camión"}</definedName>
    <definedName name="gente" localSheetId="19" hidden="1">{"FlujoGastos",#N/A,FALSE,"Base";"FlujoGastos",#N/A,FALSE,"Buzón Tren";"FlujoGastos",#N/A,FALSE,"Buzón Camión";"FlujoGastos",#N/A,FALSE,"LHD Camión";"FlujoGastos",#N/A,FALSE,"Cámara Camión"}</definedName>
    <definedName name="gente" localSheetId="2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18" hidden="1">{"desarrollo",#N/A,FALSE,"Cámara Camión";"resumen",#N/A,FALSE,"Cámara Camión";"eqprod",#N/A,FALSE,"Cámara Camión"}</definedName>
    <definedName name="gerente" localSheetId="8" hidden="1">{"desarrollo",#N/A,FALSE,"Cámara Camión";"resumen",#N/A,FALSE,"Cámara Camión";"eqprod",#N/A,FALSE,"Cámara Camión"}</definedName>
    <definedName name="gerente" localSheetId="19" hidden="1">{"desarrollo",#N/A,FALSE,"Cámara Camión";"resumen",#N/A,FALSE,"Cámara Camión";"eqprod",#N/A,FALSE,"Cámara Camión"}</definedName>
    <definedName name="gerente" localSheetId="2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g" localSheetId="18" hidden="1">{"Graf_Carga Trab",#N/A,FALSE,"Grafi_Carga Trab";"Graf_Venta Flujo",#N/A,FALSE,"Grafi_Carga Trab"}</definedName>
    <definedName name="gg" localSheetId="8" hidden="1">{"Graf_Carga Trab",#N/A,FALSE,"Grafi_Carga Trab";"Graf_Venta Flujo",#N/A,FALSE,"Grafi_Carga Trab"}</definedName>
    <definedName name="gg" localSheetId="19" hidden="1">{"Graf_Carga Trab",#N/A,FALSE,"Grafi_Carga Trab";"Graf_Venta Flujo",#N/A,FALSE,"Grafi_Carga Trab"}</definedName>
    <definedName name="gg" localSheetId="2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h" localSheetId="18" hidden="1">{"CI+GG(BASE)",#N/A,FALSE,"CI+GG(BASE)";"GG",#N/A,FALSE,"CI+GG(BASE)";"CI",#N/A,FALSE,"CI+GG(BASE)"}</definedName>
    <definedName name="gh" localSheetId="8" hidden="1">{"CI+GG(BASE)",#N/A,FALSE,"CI+GG(BASE)";"GG",#N/A,FALSE,"CI+GG(BASE)";"CI",#N/A,FALSE,"CI+GG(BASE)"}</definedName>
    <definedName name="gh" localSheetId="19" hidden="1">{"CI+GG(BASE)",#N/A,FALSE,"CI+GG(BASE)";"GG",#N/A,FALSE,"CI+GG(BASE)";"CI",#N/A,FALSE,"CI+GG(BASE)"}</definedName>
    <definedName name="gh" localSheetId="20" hidden="1">{"CI+GG(BASE)",#N/A,FALSE,"CI+GG(BASE)";"GG",#N/A,FALSE,"CI+GG(BASE)";"CI",#N/A,FALSE,"CI+GG(BASE)"}</definedName>
    <definedName name="gh" hidden="1">{"CI+GG(BASE)",#N/A,FALSE,"CI+GG(BASE)";"GG",#N/A,FALSE,"CI+GG(BASE)";"CI",#N/A,FALSE,"CI+GG(BASE)"}</definedName>
    <definedName name="ghgijuu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localSheetId="18" hidden="1">{#N/A,#N/A,FALSE,"Costos_Elem_Hid";#N/A,#N/A,FALSE,"Costos_Elem_Hid";#N/A,#N/A,FALSE,"Costos_Elem_Hid"}</definedName>
    <definedName name="ghjk" localSheetId="8" hidden="1">{#N/A,#N/A,FALSE,"Costos_Elem_Hid";#N/A,#N/A,FALSE,"Costos_Elem_Hid";#N/A,#N/A,FALSE,"Costos_Elem_Hid"}</definedName>
    <definedName name="ghjk" localSheetId="19" hidden="1">{#N/A,#N/A,FALSE,"Costos_Elem_Hid";#N/A,#N/A,FALSE,"Costos_Elem_Hid";#N/A,#N/A,FALSE,"Costos_Elem_Hid"}</definedName>
    <definedName name="ghjk" localSheetId="20" hidden="1">{#N/A,#N/A,FALSE,"Costos_Elem_Hid";#N/A,#N/A,FALSE,"Costos_Elem_Hid";#N/A,#N/A,FALSE,"Costos_Elem_Hid"}</definedName>
    <definedName name="ghjk" hidden="1">{#N/A,#N/A,FALSE,"Costos_Elem_Hid";#N/A,#N/A,FALSE,"Costos_Elem_Hid";#N/A,#N/A,FALSE,"Costos_Elem_Hid"}</definedName>
    <definedName name="gigi" localSheetId="18" hidden="1">{#N/A,#N/A,FALSE,"summary";#N/A,#N/A,FALSE,"SumGraph"}</definedName>
    <definedName name="gigi" localSheetId="8" hidden="1">{#N/A,#N/A,FALSE,"summary";#N/A,#N/A,FALSE,"SumGraph"}</definedName>
    <definedName name="gigi" localSheetId="19" hidden="1">{#N/A,#N/A,FALSE,"summary";#N/A,#N/A,FALSE,"SumGraph"}</definedName>
    <definedName name="gigi" localSheetId="20" hidden="1">{#N/A,#N/A,FALSE,"summary";#N/A,#N/A,FALSE,"SumGraph"}</definedName>
    <definedName name="gigi" hidden="1">{#N/A,#N/A,FALSE,"summary";#N/A,#N/A,FALSE,"SumGraph"}</definedName>
    <definedName name="GJLHÑÑGHK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d">#REF!</definedName>
    <definedName name="HGH" localSheetId="18" hidden="1">{#N/A,#N/A,FALSE,"summary";#N/A,#N/A,FALSE,"SumGraph"}</definedName>
    <definedName name="HGH" localSheetId="8" hidden="1">{#N/A,#N/A,FALSE,"summary";#N/A,#N/A,FALSE,"SumGraph"}</definedName>
    <definedName name="HGH" localSheetId="19" hidden="1">{#N/A,#N/A,FALSE,"summary";#N/A,#N/A,FALSE,"SumGraph"}</definedName>
    <definedName name="HGH" localSheetId="20" hidden="1">{#N/A,#N/A,FALSE,"summary";#N/A,#N/A,FALSE,"SumGraph"}</definedName>
    <definedName name="HGH" hidden="1">{#N/A,#N/A,FALSE,"summary";#N/A,#N/A,FALSE,"SumGraph"}</definedName>
    <definedName name="hh" localSheetId="18" hidden="1">{#N/A,#N/A,TRUE,"Costos_Subg_Hid"}</definedName>
    <definedName name="hh" localSheetId="8" hidden="1">{#N/A,#N/A,TRUE,"Costos_Subg_Hid"}</definedName>
    <definedName name="hh" localSheetId="19" hidden="1">{#N/A,#N/A,TRUE,"Costos_Subg_Hid"}</definedName>
    <definedName name="hh" localSheetId="20" hidden="1">{#N/A,#N/A,TRUE,"Costos_Subg_Hid"}</definedName>
    <definedName name="hh" hidden="1">{#N/A,#N/A,TRUE,"Costos_Subg_Hid"}</definedName>
    <definedName name="HHGH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18" hidden="1">{#N/A,#N/A,FALSE,"Costos_Elem_Hid";#N/A,#N/A,FALSE,"Costos_Elem_Hid";#N/A,#N/A,FALSE,"Costos_Elem_Hid"}</definedName>
    <definedName name="hhhh" localSheetId="8" hidden="1">{#N/A,#N/A,FALSE,"Costos_Elem_Hid";#N/A,#N/A,FALSE,"Costos_Elem_Hid";#N/A,#N/A,FALSE,"Costos_Elem_Hid"}</definedName>
    <definedName name="hhhh" localSheetId="19" hidden="1">{#N/A,#N/A,FALSE,"Costos_Elem_Hid";#N/A,#N/A,FALSE,"Costos_Elem_Hid";#N/A,#N/A,FALSE,"Costos_Elem_Hid"}</definedName>
    <definedName name="hhhh" localSheetId="20" hidden="1">{#N/A,#N/A,FALSE,"Costos_Elem_Hid";#N/A,#N/A,FALSE,"Costos_Elem_Hid";#N/A,#N/A,FALSE,"Costos_Elem_Hid"}</definedName>
    <definedName name="hhhh" hidden="1">{#N/A,#N/A,FALSE,"Costos_Elem_Hid";#N/A,#N/A,FALSE,"Costos_Elem_Hid";#N/A,#N/A,FALSE,"Costos_Elem_Hid"}</definedName>
    <definedName name="hhhhh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localSheetId="18" hidden="1">{"Graf_Carga Trab",#N/A,FALSE,"Grafi_Carga Trab";"Graf_Venta Flujo",#N/A,FALSE,"Grafi_Carga Trab"}</definedName>
    <definedName name="HHJK" localSheetId="8" hidden="1">{"Graf_Carga Trab",#N/A,FALSE,"Grafi_Carga Trab";"Graf_Venta Flujo",#N/A,FALSE,"Grafi_Carga Trab"}</definedName>
    <definedName name="HHJK" localSheetId="19" hidden="1">{"Graf_Carga Trab",#N/A,FALSE,"Grafi_Carga Trab";"Graf_Venta Flujo",#N/A,FALSE,"Grafi_Carga Trab"}</definedName>
    <definedName name="HHJK" localSheetId="2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IDRO" localSheetId="18" hidden="1">{#N/A,#N/A,TRUE,"Costos_Subg_Hid"}</definedName>
    <definedName name="HIDRO" localSheetId="8" hidden="1">{#N/A,#N/A,TRUE,"Costos_Subg_Hid"}</definedName>
    <definedName name="HIDRO" localSheetId="19" hidden="1">{#N/A,#N/A,TRUE,"Costos_Subg_Hid"}</definedName>
    <definedName name="HIDRO" localSheetId="20" hidden="1">{#N/A,#N/A,TRUE,"Costos_Subg_Hid"}</definedName>
    <definedName name="HIDRO" hidden="1">{#N/A,#N/A,TRUE,"Costos_Subg_Hid"}</definedName>
    <definedName name="HOJA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localSheetId="18" hidden="1">{"cuadro1",#N/A,FALSE,"Buzon Camion Opción 3";"cuadro2",#N/A,FALSE,"Buzon Camion Opción 3";"cuadro3",#N/A,FALSE,"Buzon Camion Opción 3";"cuadro4",#N/A,FALSE,"Buzon Camion Opción 3"}</definedName>
    <definedName name="HOJITA" localSheetId="8" hidden="1">{"cuadro1",#N/A,FALSE,"Buzon Camion Opción 3";"cuadro2",#N/A,FALSE,"Buzon Camion Opción 3";"cuadro3",#N/A,FALSE,"Buzon Camion Opción 3";"cuadro4",#N/A,FALSE,"Buzon Camion Opción 3"}</definedName>
    <definedName name="HOJITA" localSheetId="19" hidden="1">{"cuadro1",#N/A,FALSE,"Buzon Camion Opción 3";"cuadro2",#N/A,FALSE,"Buzon Camion Opción 3";"cuadro3",#N/A,FALSE,"Buzon Camion Opción 3";"cuadro4",#N/A,FALSE,"Buzon Camion Opción 3"}</definedName>
    <definedName name="HOJITA" localSheetId="2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localSheetId="18" hidden="1">{"cuadro1",#N/A,FALSE,"Buzon Camion Opción 3";"cuadro2",#N/A,FALSE,"Buzon Camion Opción 3";"cuadro3",#N/A,FALSE,"Buzon Camion Opción 3";"cuadro4",#N/A,FALSE,"Buzon Camion Opción 3"}</definedName>
    <definedName name="hojita2" localSheetId="8" hidden="1">{"cuadro1",#N/A,FALSE,"Buzon Camion Opción 3";"cuadro2",#N/A,FALSE,"Buzon Camion Opción 3";"cuadro3",#N/A,FALSE,"Buzon Camion Opción 3";"cuadro4",#N/A,FALSE,"Buzon Camion Opción 3"}</definedName>
    <definedName name="hojita2" localSheetId="19" hidden="1">{"cuadro1",#N/A,FALSE,"Buzon Camion Opción 3";"cuadro2",#N/A,FALSE,"Buzon Camion Opción 3";"cuadro3",#N/A,FALSE,"Buzon Camion Opción 3";"cuadro4",#N/A,FALSE,"Buzon Camion Opción 3"}</definedName>
    <definedName name="hojita2" localSheetId="2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rizon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18" hidden="1">{"desarrollo",#N/A,FALSE,"LHD Camión";"eqdllo",#N/A,FALSE,"LHD Camión";"eqprod",#N/A,FALSE,"LHD Camión";"Resumen",#N/A,FALSE,"LHD Camión"}</definedName>
    <definedName name="horozon" localSheetId="8" hidden="1">{"desarrollo",#N/A,FALSE,"LHD Camión";"eqdllo",#N/A,FALSE,"LHD Camión";"eqprod",#N/A,FALSE,"LHD Camión";"Resumen",#N/A,FALSE,"LHD Camión"}</definedName>
    <definedName name="horozon" localSheetId="19" hidden="1">{"desarrollo",#N/A,FALSE,"LHD Camión";"eqdllo",#N/A,FALSE,"LHD Camión";"eqprod",#N/A,FALSE,"LHD Camión";"Resumen",#N/A,FALSE,"LHD Camión"}</definedName>
    <definedName name="horozon" localSheetId="2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TML_CodePage" hidden="1">1252</definedName>
    <definedName name="HTML_Control" localSheetId="18" hidden="1">{"'Hoja1'!$B$2:$E$82"}</definedName>
    <definedName name="HTML_Control" localSheetId="8" hidden="1">{"'Hoja1'!$B$2:$E$82"}</definedName>
    <definedName name="HTML_Control" localSheetId="19" hidden="1">{"'Hoja1'!$B$2:$E$82"}</definedName>
    <definedName name="HTML_Control" localSheetId="20" hidden="1">{"'Hoja1'!$B$2:$E$82"}</definedName>
    <definedName name="HTML_Control" hidden="1">{"'Hoja1'!$B$2:$E$82"}</definedName>
    <definedName name="HTML_Description" hidden="1">""</definedName>
    <definedName name="HTML_Email" hidden="1">""</definedName>
    <definedName name="HTML_Header" hidden="1">""</definedName>
    <definedName name="HTML_LastUpdate" hidden="1">"20/08/2002"</definedName>
    <definedName name="HTML_LineAfter" hidden="1">FALSE</definedName>
    <definedName name="HTML_LineBefore" hidden="1">FALSE</definedName>
    <definedName name="HTML_Name" hidden="1">"GabRami"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"D:\Datos-2002\Costos Intranet\Costos y gastos.htm"</definedName>
    <definedName name="HTML_PathTemplate" hidden="1">"Z:\D_RELAVE\sitio_web\PAZO_OPE.HTM"</definedName>
    <definedName name="HTML_Title" hidden="1">""</definedName>
    <definedName name="HTYJT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III" localSheetId="18" hidden="1">{#N/A,#N/A,FALSE,"summary";#N/A,#N/A,FALSE,"SumGraph"}</definedName>
    <definedName name="III" localSheetId="8" hidden="1">{#N/A,#N/A,FALSE,"summary";#N/A,#N/A,FALSE,"SumGraph"}</definedName>
    <definedName name="III" localSheetId="19" hidden="1">{#N/A,#N/A,FALSE,"summary";#N/A,#N/A,FALSE,"SumGraph"}</definedName>
    <definedName name="III" localSheetId="20" hidden="1">{#N/A,#N/A,FALSE,"summary";#N/A,#N/A,FALSE,"SumGraph"}</definedName>
    <definedName name="III" hidden="1">{#N/A,#N/A,FALSE,"summary";#N/A,#N/A,FALSE,"SumGraph"}</definedName>
    <definedName name="iiii" localSheetId="18" hidden="1">{#N/A,#N/A,TRUE,"Costos_Subg_Hid"}</definedName>
    <definedName name="iiii" localSheetId="8" hidden="1">{#N/A,#N/A,TRUE,"Costos_Subg_Hid"}</definedName>
    <definedName name="iiii" localSheetId="19" hidden="1">{#N/A,#N/A,TRUE,"Costos_Subg_Hid"}</definedName>
    <definedName name="iiii" localSheetId="20" hidden="1">{#N/A,#N/A,TRUE,"Costos_Subg_Hid"}</definedName>
    <definedName name="iiii" hidden="1">{#N/A,#N/A,TRUE,"Costos_Subg_Hid"}</definedName>
    <definedName name="ik" localSheetId="18" hidden="1">{#N/A,#N/A,FALSE,"Costos_Elem_Hid";#N/A,#N/A,FALSE,"Costos_Elem_Hid";#N/A,#N/A,FALSE,"Costos_Elem_Hid"}</definedName>
    <definedName name="ik" localSheetId="8" hidden="1">{#N/A,#N/A,FALSE,"Costos_Elem_Hid";#N/A,#N/A,FALSE,"Costos_Elem_Hid";#N/A,#N/A,FALSE,"Costos_Elem_Hid"}</definedName>
    <definedName name="ik" localSheetId="19" hidden="1">{#N/A,#N/A,FALSE,"Costos_Elem_Hid";#N/A,#N/A,FALSE,"Costos_Elem_Hid";#N/A,#N/A,FALSE,"Costos_Elem_Hid"}</definedName>
    <definedName name="ik" localSheetId="20" hidden="1">{#N/A,#N/A,FALSE,"Costos_Elem_Hid";#N/A,#N/A,FALSE,"Costos_Elem_Hid";#N/A,#N/A,FALSE,"Costos_Elem_Hid"}</definedName>
    <definedName name="ik" hidden="1">{#N/A,#N/A,FALSE,"Costos_Elem_Hid";#N/A,#N/A,FALSE,"Costos_Elem_Hid";#N/A,#N/A,FALSE,"Costos_Elem_Hid"}</definedName>
    <definedName name="incdice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g" localSheetId="18" hidden="1">{#N/A,#N/A,FALSE,"Total_OC015";#N/A,#N/A,FALSE,"ADMIN";#N/A,#N/A,FALSE,"PROCES";#N/A,#N/A,FALSE,"mecan";#N/A,#N/A,FALSE,"civil";#N/A,#N/A,FALSE,"CAÑER";#N/A,#N/A,FALSE,"ELEC";#N/A,#N/A,FALSE,"INSTR"}</definedName>
    <definedName name="Ing" localSheetId="8" hidden="1">{#N/A,#N/A,FALSE,"Total_OC015";#N/A,#N/A,FALSE,"ADMIN";#N/A,#N/A,FALSE,"PROCES";#N/A,#N/A,FALSE,"mecan";#N/A,#N/A,FALSE,"civil";#N/A,#N/A,FALSE,"CAÑER";#N/A,#N/A,FALSE,"ELEC";#N/A,#N/A,FALSE,"INSTR"}</definedName>
    <definedName name="Ing" localSheetId="19" hidden="1">{#N/A,#N/A,FALSE,"Total_OC015";#N/A,#N/A,FALSE,"ADMIN";#N/A,#N/A,FALSE,"PROCES";#N/A,#N/A,FALSE,"mecan";#N/A,#N/A,FALSE,"civil";#N/A,#N/A,FALSE,"CAÑER";#N/A,#N/A,FALSE,"ELEC";#N/A,#N/A,FALSE,"INSTR"}</definedName>
    <definedName name="Ing" localSheetId="2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PC">#REF!</definedName>
    <definedName name="IPCB">#REF!</definedName>
    <definedName name="iu" localSheetId="18" hidden="1">{"CI+GG(BASE)",#N/A,FALSE,"CI+GG(BASE)";"GG",#N/A,FALSE,"CI+GG(BASE)";"CI",#N/A,FALSE,"CI+GG(BASE)"}</definedName>
    <definedName name="iu" localSheetId="8" hidden="1">{"CI+GG(BASE)",#N/A,FALSE,"CI+GG(BASE)";"GG",#N/A,FALSE,"CI+GG(BASE)";"CI",#N/A,FALSE,"CI+GG(BASE)"}</definedName>
    <definedName name="iu" localSheetId="19" hidden="1">{"CI+GG(BASE)",#N/A,FALSE,"CI+GG(BASE)";"GG",#N/A,FALSE,"CI+GG(BASE)";"CI",#N/A,FALSE,"CI+GG(BASE)"}</definedName>
    <definedName name="iu" localSheetId="20" hidden="1">{"CI+GG(BASE)",#N/A,FALSE,"CI+GG(BASE)";"GG",#N/A,FALSE,"CI+GG(BASE)";"CI",#N/A,FALSE,"CI+GG(BASE)"}</definedName>
    <definedName name="iu" hidden="1">{"CI+GG(BASE)",#N/A,FALSE,"CI+GG(BASE)";"GG",#N/A,FALSE,"CI+GG(BASE)";"CI",#N/A,FALSE,"CI+GG(BASE)"}</definedName>
    <definedName name="jjj" localSheetId="18" hidden="1">{#N/A,#N/A,FALSE,"Total_OC015";#N/A,#N/A,FALSE,"ADMIN";#N/A,#N/A,FALSE,"PROCES";#N/A,#N/A,FALSE,"mecan";#N/A,#N/A,FALSE,"civil";#N/A,#N/A,FALSE,"CAÑER";#N/A,#N/A,FALSE,"ELEC";#N/A,#N/A,FALSE,"INSTR"}</definedName>
    <definedName name="jjj" localSheetId="8" hidden="1">{#N/A,#N/A,FALSE,"Total_OC015";#N/A,#N/A,FALSE,"ADMIN";#N/A,#N/A,FALSE,"PROCES";#N/A,#N/A,FALSE,"mecan";#N/A,#N/A,FALSE,"civil";#N/A,#N/A,FALSE,"CAÑER";#N/A,#N/A,FALSE,"ELEC";#N/A,#N/A,FALSE,"INSTR"}</definedName>
    <definedName name="jjj" localSheetId="19" hidden="1">{#N/A,#N/A,FALSE,"Total_OC015";#N/A,#N/A,FALSE,"ADMIN";#N/A,#N/A,FALSE,"PROCES";#N/A,#N/A,FALSE,"mecan";#N/A,#N/A,FALSE,"civil";#N/A,#N/A,FALSE,"CAÑER";#N/A,#N/A,FALSE,"ELEC";#N/A,#N/A,FALSE,"INSTR"}</definedName>
    <definedName name="jjj" localSheetId="20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j" localSheetId="18" hidden="1">{#N/A,#N/A,FALSE,"Costos_Elem_Hid";#N/A,#N/A,FALSE,"Costos_Elem_Hid";#N/A,#N/A,FALSE,"Costos_Elem_Hid"}</definedName>
    <definedName name="jjjjj" localSheetId="8" hidden="1">{#N/A,#N/A,FALSE,"Costos_Elem_Hid";#N/A,#N/A,FALSE,"Costos_Elem_Hid";#N/A,#N/A,FALSE,"Costos_Elem_Hid"}</definedName>
    <definedName name="jjjjj" localSheetId="19" hidden="1">{#N/A,#N/A,FALSE,"Costos_Elem_Hid";#N/A,#N/A,FALSE,"Costos_Elem_Hid";#N/A,#N/A,FALSE,"Costos_Elem_Hid"}</definedName>
    <definedName name="jjjjj" localSheetId="20" hidden="1">{#N/A,#N/A,FALSE,"Costos_Elem_Hid";#N/A,#N/A,FALSE,"Costos_Elem_Hid";#N/A,#N/A,FALSE,"Costos_Elem_Hid"}</definedName>
    <definedName name="jjjjj" hidden="1">{#N/A,#N/A,FALSE,"Costos_Elem_Hid";#N/A,#N/A,FALSE,"Costos_Elem_Hid";#N/A,#N/A,FALSE,"Costos_Elem_Hid"}</definedName>
    <definedName name="jkj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SIANNE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 localSheetId="18" hidden="1">{"'Hoja3'!$F$5"}</definedName>
    <definedName name="jotasepu" localSheetId="8" hidden="1">{"'Hoja3'!$F$5"}</definedName>
    <definedName name="jotasepu" localSheetId="19" hidden="1">{"'Hoja3'!$F$5"}</definedName>
    <definedName name="jotasepu" localSheetId="20" hidden="1">{"'Hoja3'!$F$5"}</definedName>
    <definedName name="jotasepu" hidden="1">{"'Hoja3'!$F$5"}</definedName>
    <definedName name="JUANIT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PO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112_RELL" localSheetId="18" hidden="1">{"Sin detalle",#N/A,FALSE,"Flujo (redondeado)";"Detallado",#N/A,FALSE,"Flujo (redondeado)"}</definedName>
    <definedName name="K112_RELL" localSheetId="8" hidden="1">{"Sin detalle",#N/A,FALSE,"Flujo (redondeado)";"Detallado",#N/A,FALSE,"Flujo (redondeado)"}</definedName>
    <definedName name="K112_RELL" localSheetId="19" hidden="1">{"Sin detalle",#N/A,FALSE,"Flujo (redondeado)";"Detallado",#N/A,FALSE,"Flujo (redondeado)"}</definedName>
    <definedName name="K112_RELL" localSheetId="20" hidden="1">{"Sin detalle",#N/A,FALSE,"Flujo (redondeado)";"Detallado",#N/A,FALSE,"Flujo (redondeado)"}</definedName>
    <definedName name="K112_RELL" hidden="1">{"Sin detalle",#N/A,FALSE,"Flujo (redondeado)";"Detallado",#N/A,FALSE,"Flujo (redondeado)"}</definedName>
    <definedName name="kjkcjv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lete" localSheetId="18" hidden="1">{"MO(BASE)",#N/A,FALSE,"MO(BASE)";"MO(BASE)1",#N/A,FALSE,"MO(BASE)";"MO(BASE)2",#N/A,FALSE,"MO(BASE)"}</definedName>
    <definedName name="lete" localSheetId="8" hidden="1">{"MO(BASE)",#N/A,FALSE,"MO(BASE)";"MO(BASE)1",#N/A,FALSE,"MO(BASE)";"MO(BASE)2",#N/A,FALSE,"MO(BASE)"}</definedName>
    <definedName name="lete" localSheetId="19" hidden="1">{"MO(BASE)",#N/A,FALSE,"MO(BASE)";"MO(BASE)1",#N/A,FALSE,"MO(BASE)";"MO(BASE)2",#N/A,FALSE,"MO(BASE)"}</definedName>
    <definedName name="lete" localSheetId="2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imcount" hidden="1">1</definedName>
    <definedName name="liuhk" localSheetId="18" hidden="1">{#N/A,#N/A,FALSE,"Costos_Elem_Hid";#N/A,#N/A,FALSE,"Costos_Elem_Hid";#N/A,#N/A,FALSE,"Costos_Elem_Hid"}</definedName>
    <definedName name="liuhk" localSheetId="8" hidden="1">{#N/A,#N/A,FALSE,"Costos_Elem_Hid";#N/A,#N/A,FALSE,"Costos_Elem_Hid";#N/A,#N/A,FALSE,"Costos_Elem_Hid"}</definedName>
    <definedName name="liuhk" localSheetId="19" hidden="1">{#N/A,#N/A,FALSE,"Costos_Elem_Hid";#N/A,#N/A,FALSE,"Costos_Elem_Hid";#N/A,#N/A,FALSE,"Costos_Elem_Hid"}</definedName>
    <definedName name="liuhk" localSheetId="20" hidden="1">{#N/A,#N/A,FALSE,"Costos_Elem_Hid";#N/A,#N/A,FALSE,"Costos_Elem_Hid";#N/A,#N/A,FALSE,"Costos_Elem_Hid"}</definedName>
    <definedName name="liuhk" hidden="1">{#N/A,#N/A,FALSE,"Costos_Elem_Hid";#N/A,#N/A,FALSE,"Costos_Elem_Hid";#N/A,#N/A,FALSE,"Costos_Elem_Hid"}</definedName>
    <definedName name="loc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ts" localSheetId="18" hidden="1">{#N/A,#N/A,FALSE,"Total_OC015";#N/A,#N/A,FALSE,"ADMIN";#N/A,#N/A,FALSE,"PROCES";#N/A,#N/A,FALSE,"mecan";#N/A,#N/A,FALSE,"civil";#N/A,#N/A,FALSE,"CAÑER";#N/A,#N/A,FALSE,"ELEC";#N/A,#N/A,FALSE,"INSTR"}</definedName>
    <definedName name="lots" localSheetId="8" hidden="1">{#N/A,#N/A,FALSE,"Total_OC015";#N/A,#N/A,FALSE,"ADMIN";#N/A,#N/A,FALSE,"PROCES";#N/A,#N/A,FALSE,"mecan";#N/A,#N/A,FALSE,"civil";#N/A,#N/A,FALSE,"CAÑER";#N/A,#N/A,FALSE,"ELEC";#N/A,#N/A,FALSE,"INSTR"}</definedName>
    <definedName name="lots" localSheetId="19" hidden="1">{#N/A,#N/A,FALSE,"Total_OC015";#N/A,#N/A,FALSE,"ADMIN";#N/A,#N/A,FALSE,"PROCES";#N/A,#N/A,FALSE,"mecan";#N/A,#N/A,FALSE,"civil";#N/A,#N/A,FALSE,"CAÑER";#N/A,#N/A,FALSE,"ELEC";#N/A,#N/A,FALSE,"INSTR"}</definedName>
    <definedName name="lots" localSheetId="2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u" localSheetId="18" hidden="1">{#N/A,#N/A,FALSE,"Costos_Elem_Hid";#N/A,#N/A,FALSE,"Costos_Elem_Hid";#N/A,#N/A,FALSE,"Costos_Elem_Hid"}</definedName>
    <definedName name="lou" localSheetId="8" hidden="1">{#N/A,#N/A,FALSE,"Costos_Elem_Hid";#N/A,#N/A,FALSE,"Costos_Elem_Hid";#N/A,#N/A,FALSE,"Costos_Elem_Hid"}</definedName>
    <definedName name="lou" localSheetId="19" hidden="1">{#N/A,#N/A,FALSE,"Costos_Elem_Hid";#N/A,#N/A,FALSE,"Costos_Elem_Hid";#N/A,#N/A,FALSE,"Costos_Elem_Hid"}</definedName>
    <definedName name="lou" localSheetId="20" hidden="1">{#N/A,#N/A,FALSE,"Costos_Elem_Hid";#N/A,#N/A,FALSE,"Costos_Elem_Hid";#N/A,#N/A,FALSE,"Costos_Elem_Hid"}</definedName>
    <definedName name="lou" hidden="1">{#N/A,#N/A,FALSE,"Costos_Elem_Hid";#N/A,#N/A,FALSE,"Costos_Elem_Hid";#N/A,#N/A,FALSE,"Costos_Elem_Hid"}</definedName>
    <definedName name="luna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ACU">#N/A</definedName>
    <definedName name="Maquinaria" localSheetId="18" hidden="1">{"MO(BASE)",#N/A,FALSE,"MO(BASE)";"MO(BASE)1",#N/A,FALSE,"MO(BASE)";"MO(BASE)2",#N/A,FALSE,"MO(BASE)"}</definedName>
    <definedName name="Maquinaria" localSheetId="8" hidden="1">{"MO(BASE)",#N/A,FALSE,"MO(BASE)";"MO(BASE)1",#N/A,FALSE,"MO(BASE)";"MO(BASE)2",#N/A,FALSE,"MO(BASE)"}</definedName>
    <definedName name="Maquinaria" localSheetId="19" hidden="1">{"MO(BASE)",#N/A,FALSE,"MO(BASE)";"MO(BASE)1",#N/A,FALSE,"MO(BASE)";"MO(BASE)2",#N/A,FALSE,"MO(BASE)"}</definedName>
    <definedName name="Maquinaria" localSheetId="2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B" localSheetId="18" hidden="1">{#N/A,#N/A,FALSE,"PXP-TOTAL Modif";"vis2",#N/A,FALSE,"PXP-AÑO";"Vis1",#N/A,FALSE,"PXP-AÑO"}</definedName>
    <definedName name="MB" localSheetId="8" hidden="1">{#N/A,#N/A,FALSE,"PXP-TOTAL Modif";"vis2",#N/A,FALSE,"PXP-AÑO";"Vis1",#N/A,FALSE,"PXP-AÑO"}</definedName>
    <definedName name="MB" localSheetId="19" hidden="1">{#N/A,#N/A,FALSE,"PXP-TOTAL Modif";"vis2",#N/A,FALSE,"PXP-AÑO";"Vis1",#N/A,FALSE,"PXP-AÑO"}</definedName>
    <definedName name="MB" localSheetId="2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es">#REF!</definedName>
    <definedName name="mmm" localSheetId="18" hidden="1">{#N/A,#N/A,FALSE,"Costos_Elem_Hid";#N/A,#N/A,FALSE,"Costos_Elem_Hid";#N/A,#N/A,FALSE,"Costos_Elem_Hid"}</definedName>
    <definedName name="mmm" localSheetId="8" hidden="1">{#N/A,#N/A,FALSE,"Costos_Elem_Hid";#N/A,#N/A,FALSE,"Costos_Elem_Hid";#N/A,#N/A,FALSE,"Costos_Elem_Hid"}</definedName>
    <definedName name="mmm" localSheetId="19" hidden="1">{#N/A,#N/A,FALSE,"Costos_Elem_Hid";#N/A,#N/A,FALSE,"Costos_Elem_Hid";#N/A,#N/A,FALSE,"Costos_Elem_Hid"}</definedName>
    <definedName name="mmm" localSheetId="20" hidden="1">{#N/A,#N/A,FALSE,"Costos_Elem_Hid";#N/A,#N/A,FALSE,"Costos_Elem_Hid";#N/A,#N/A,FALSE,"Costos_Elem_Hid"}</definedName>
    <definedName name="mmm" hidden="1">{#N/A,#N/A,FALSE,"Costos_Elem_Hid";#N/A,#N/A,FALSE,"Costos_Elem_Hid";#N/A,#N/A,FALSE,"Costos_Elem_Hid"}</definedName>
    <definedName name="mont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HDMHM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N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n" localSheetId="18" hidden="1">{#N/A,#N/A,FALSE,"Costos_Elem_Hid";#N/A,#N/A,FALSE,"Costos_Elem_Hid";#N/A,#N/A,FALSE,"Costos_Elem_Hid"}</definedName>
    <definedName name="nnn" localSheetId="8" hidden="1">{#N/A,#N/A,FALSE,"Costos_Elem_Hid";#N/A,#N/A,FALSE,"Costos_Elem_Hid";#N/A,#N/A,FALSE,"Costos_Elem_Hid"}</definedName>
    <definedName name="nnn" localSheetId="19" hidden="1">{#N/A,#N/A,FALSE,"Costos_Elem_Hid";#N/A,#N/A,FALSE,"Costos_Elem_Hid";#N/A,#N/A,FALSE,"Costos_Elem_Hid"}</definedName>
    <definedName name="nnn" localSheetId="20" hidden="1">{#N/A,#N/A,FALSE,"Costos_Elem_Hid";#N/A,#N/A,FALSE,"Costos_Elem_Hid";#N/A,#N/A,FALSE,"Costos_Elem_Hid"}</definedName>
    <definedName name="nnn" hidden="1">{#N/A,#N/A,FALSE,"Costos_Elem_Hid";#N/A,#N/A,FALSE,"Costos_Elem_Hid";#N/A,#N/A,FALSE,"Costos_Elem_Hid"}</definedName>
    <definedName name="nnnnn" localSheetId="18" hidden="1">{#N/A,#N/A,TRUE,"Est. de Fact.";#N/A,#N/A,TRUE,"Capitulo 19";#N/A,#N/A,TRUE,"Proyecto P855"}</definedName>
    <definedName name="nnnnn" localSheetId="8" hidden="1">{#N/A,#N/A,TRUE,"Est. de Fact.";#N/A,#N/A,TRUE,"Capitulo 19";#N/A,#N/A,TRUE,"Proyecto P855"}</definedName>
    <definedName name="nnnnn" localSheetId="19" hidden="1">{#N/A,#N/A,TRUE,"Est. de Fact.";#N/A,#N/A,TRUE,"Capitulo 19";#N/A,#N/A,TRUE,"Proyecto P855"}</definedName>
    <definedName name="nnnnn" localSheetId="20" hidden="1">{#N/A,#N/A,TRUE,"Est. de Fact.";#N/A,#N/A,TRUE,"Capitulo 19";#N/A,#N/A,TRUE,"Proyecto P855"}</definedName>
    <definedName name="nnnnn" hidden="1">{#N/A,#N/A,TRUE,"Est. de Fact.";#N/A,#N/A,TRUE,"Capitulo 19";#N/A,#N/A,TRUE,"Proyecto P855"}</definedName>
    <definedName name="NNNNNN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se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ueva" localSheetId="18" hidden="1">{#N/A,#N/A,FALSE,"summary";#N/A,#N/A,FALSE,"SumGraph"}</definedName>
    <definedName name="Nueva" localSheetId="8" hidden="1">{#N/A,#N/A,FALSE,"summary";#N/A,#N/A,FALSE,"SumGraph"}</definedName>
    <definedName name="Nueva" localSheetId="19" hidden="1">{#N/A,#N/A,FALSE,"summary";#N/A,#N/A,FALSE,"SumGraph"}</definedName>
    <definedName name="Nueva" localSheetId="20" hidden="1">{#N/A,#N/A,FALSE,"summary";#N/A,#N/A,FALSE,"SumGraph"}</definedName>
    <definedName name="Nueva" hidden="1">{#N/A,#N/A,FALSE,"summary";#N/A,#N/A,FALSE,"SumGraph"}</definedName>
    <definedName name="nuev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NvsASD">"V2002-01-31"</definedName>
    <definedName name="NvsAutoDrillOk">"VN"</definedName>
    <definedName name="NvsEndTime">37298.8705142361</definedName>
    <definedName name="NvsInstSpec">"%"</definedName>
    <definedName name="NvsLayoutType">"M3"</definedName>
    <definedName name="NvsNplSpec">"%,X,RZT.ACCOUNT.,CZF.."</definedName>
    <definedName name="NvsPanelEffdt">"V1901-01-01"</definedName>
    <definedName name="NvsPanelSetid">"VGRALS"</definedName>
    <definedName name="NvsReqBU">"VEL011"</definedName>
    <definedName name="NvsReqBUOnly">"VY"</definedName>
    <definedName name="NvsTransLed">"VN"</definedName>
    <definedName name="NvsTreeASD">"V2002-01-31"</definedName>
    <definedName name="NvsValTbl.BUSINESS_UNIT">"BUS_UNIT_TBL_GL"</definedName>
    <definedName name="ñññ" localSheetId="18" hidden="1">{#N/A,#N/A,FALSE,"Costos_Elem_Hid";#N/A,#N/A,FALSE,"Costos_Elem_Hid";#N/A,#N/A,FALSE,"Costos_Elem_Hid"}</definedName>
    <definedName name="ñññ" localSheetId="8" hidden="1">{#N/A,#N/A,FALSE,"Costos_Elem_Hid";#N/A,#N/A,FALSE,"Costos_Elem_Hid";#N/A,#N/A,FALSE,"Costos_Elem_Hid"}</definedName>
    <definedName name="ñññ" localSheetId="19" hidden="1">{#N/A,#N/A,FALSE,"Costos_Elem_Hid";#N/A,#N/A,FALSE,"Costos_Elem_Hid";#N/A,#N/A,FALSE,"Costos_Elem_Hid"}</definedName>
    <definedName name="ñññ" localSheetId="20" hidden="1">{#N/A,#N/A,FALSE,"Costos_Elem_Hid";#N/A,#N/A,FALSE,"Costos_Elem_Hid";#N/A,#N/A,FALSE,"Costos_Elem_Hid"}</definedName>
    <definedName name="ñññ" hidden="1">{#N/A,#N/A,FALSE,"Costos_Elem_Hid";#N/A,#N/A,FALSE,"Costos_Elem_Hid";#N/A,#N/A,FALSE,"Costos_Elem_Hid"}</definedName>
    <definedName name="ññññññññ" localSheetId="18" hidden="1">{#N/A,#N/A,TRUE,"Costos_Subg_Hid"}</definedName>
    <definedName name="ññññññññ" localSheetId="8" hidden="1">{#N/A,#N/A,TRUE,"Costos_Subg_Hid"}</definedName>
    <definedName name="ññññññññ" localSheetId="19" hidden="1">{#N/A,#N/A,TRUE,"Costos_Subg_Hid"}</definedName>
    <definedName name="ññññññññ" localSheetId="20" hidden="1">{#N/A,#N/A,TRUE,"Costos_Subg_Hid"}</definedName>
    <definedName name="ññññññññ" hidden="1">{#N/A,#N/A,TRUE,"Costos_Subg_Hid"}</definedName>
    <definedName name="º" localSheetId="18" hidden="1">{#N/A,#N/A,TRUE,"Costos_Subg_Hid"}</definedName>
    <definedName name="º" localSheetId="8" hidden="1">{#N/A,#N/A,TRUE,"Costos_Subg_Hid"}</definedName>
    <definedName name="º" localSheetId="19" hidden="1">{#N/A,#N/A,TRUE,"Costos_Subg_Hid"}</definedName>
    <definedName name="º" localSheetId="20" hidden="1">{#N/A,#N/A,TRUE,"Costos_Subg_Hid"}</definedName>
    <definedName name="º" hidden="1">{#N/A,#N/A,TRUE,"Costos_Subg_Hid"}</definedName>
    <definedName name="OBJETIVO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s" localSheetId="18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" localSheetId="8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" localSheetId="19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" localSheetId="20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bras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ok" localSheetId="18" hidden="1">{"'Hoja3'!$F$5"}</definedName>
    <definedName name="ok" localSheetId="8" hidden="1">{"'Hoja3'!$F$5"}</definedName>
    <definedName name="ok" localSheetId="19" hidden="1">{"'Hoja3'!$F$5"}</definedName>
    <definedName name="ok" localSheetId="20" hidden="1">{"'Hoja3'!$F$5"}</definedName>
    <definedName name="ok" hidden="1">{"'Hoja3'!$F$5"}</definedName>
    <definedName name="oooo" localSheetId="18" hidden="1">{#N/A,#N/A,FALSE,"Costos_Elem_Hid";#N/A,#N/A,FALSE,"Costos_Elem_Hid";#N/A,#N/A,FALSE,"Costos_Elem_Hid"}</definedName>
    <definedName name="oooo" localSheetId="8" hidden="1">{#N/A,#N/A,FALSE,"Costos_Elem_Hid";#N/A,#N/A,FALSE,"Costos_Elem_Hid";#N/A,#N/A,FALSE,"Costos_Elem_Hid"}</definedName>
    <definedName name="oooo" localSheetId="19" hidden="1">{#N/A,#N/A,FALSE,"Costos_Elem_Hid";#N/A,#N/A,FALSE,"Costos_Elem_Hid";#N/A,#N/A,FALSE,"Costos_Elem_Hid"}</definedName>
    <definedName name="oooo" localSheetId="20" hidden="1">{#N/A,#N/A,FALSE,"Costos_Elem_Hid";#N/A,#N/A,FALSE,"Costos_Elem_Hid";#N/A,#N/A,FALSE,"Costos_Elem_Hid"}</definedName>
    <definedName name="oooo" hidden="1">{#N/A,#N/A,FALSE,"Costos_Elem_Hid";#N/A,#N/A,FALSE,"Costos_Elem_Hid";#N/A,#N/A,FALSE,"Costos_Elem_Hid"}</definedName>
    <definedName name="Pal_Workbook_GUID" hidden="1">"M3E46MFUVQN5TJY3Y3PPNNC3"</definedName>
    <definedName name="pc_agua">#REF!</definedName>
    <definedName name="pc_ap">#REF!</definedName>
    <definedName name="pc_dist">#REF!</definedName>
    <definedName name="pc_mina">#REF!</definedName>
    <definedName name="perso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STN">#REF!,#REF!,#REF!,#REF!,#REF!,#REF!,#REF!,#REF!,#REF!,#REF!,#REF!,#REF!,#REF!,#REF!</definedName>
    <definedName name="planos" localSheetId="18" hidden="1">{"Sin detalle",#N/A,FALSE,"Flujo (redondeado)";"Detallado",#N/A,FALSE,"Flujo (redondeado)"}</definedName>
    <definedName name="planos" localSheetId="8" hidden="1">{"Sin detalle",#N/A,FALSE,"Flujo (redondeado)";"Detallado",#N/A,FALSE,"Flujo (redondeado)"}</definedName>
    <definedName name="planos" localSheetId="19" hidden="1">{"Sin detalle",#N/A,FALSE,"Flujo (redondeado)";"Detallado",#N/A,FALSE,"Flujo (redondeado)"}</definedName>
    <definedName name="planos" localSheetId="20" hidden="1">{"Sin detalle",#N/A,FALSE,"Flujo (redondeado)";"Detallado",#N/A,FALSE,"Flujo (redondeado)"}</definedName>
    <definedName name="planos" hidden="1">{"Sin detalle",#N/A,FALSE,"Flujo (redondeado)";"Detallado",#N/A,FALSE,"Flujo (redondeado)"}</definedName>
    <definedName name="popopo" localSheetId="18" hidden="1">{#N/A,#N/A,FALSE,"Costos_Elem_Hid";#N/A,#N/A,FALSE,"Costos_Elem_Hid";#N/A,#N/A,FALSE,"Costos_Elem_Hid"}</definedName>
    <definedName name="popopo" localSheetId="8" hidden="1">{#N/A,#N/A,FALSE,"Costos_Elem_Hid";#N/A,#N/A,FALSE,"Costos_Elem_Hid";#N/A,#N/A,FALSE,"Costos_Elem_Hid"}</definedName>
    <definedName name="popopo" localSheetId="19" hidden="1">{#N/A,#N/A,FALSE,"Costos_Elem_Hid";#N/A,#N/A,FALSE,"Costos_Elem_Hid";#N/A,#N/A,FALSE,"Costos_Elem_Hid"}</definedName>
    <definedName name="popopo" localSheetId="20" hidden="1">{#N/A,#N/A,FALSE,"Costos_Elem_Hid";#N/A,#N/A,FALSE,"Costos_Elem_Hid";#N/A,#N/A,FALSE,"Costos_Elem_Hid"}</definedName>
    <definedName name="popopo" hidden="1">{#N/A,#N/A,FALSE,"Costos_Elem_Hid";#N/A,#N/A,FALSE,"Costos_Elem_Hid";#N/A,#N/A,FALSE,"Costos_Elem_Hid"}</definedName>
    <definedName name="poto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localSheetId="18" hidden="1">{"CI+GG(BASE)",#N/A,FALSE,"CI+GG(BASE)";"GG",#N/A,FALSE,"CI+GG(BASE)";"CI",#N/A,FALSE,"CI+GG(BASE)"}</definedName>
    <definedName name="pp" localSheetId="8" hidden="1">{"CI+GG(BASE)",#N/A,FALSE,"CI+GG(BASE)";"GG",#N/A,FALSE,"CI+GG(BASE)";"CI",#N/A,FALSE,"CI+GG(BASE)"}</definedName>
    <definedName name="pp" localSheetId="19" hidden="1">{"CI+GG(BASE)",#N/A,FALSE,"CI+GG(BASE)";"GG",#N/A,FALSE,"CI+GG(BASE)";"CI",#N/A,FALSE,"CI+GG(BASE)"}</definedName>
    <definedName name="pp" localSheetId="20" hidden="1">{"CI+GG(BASE)",#N/A,FALSE,"CI+GG(BASE)";"GG",#N/A,FALSE,"CI+GG(BASE)";"CI",#N/A,FALSE,"CI+GG(BASE)"}</definedName>
    <definedName name="pp" hidden="1">{"CI+GG(BASE)",#N/A,FALSE,"CI+GG(BASE)";"GG",#N/A,FALSE,"CI+GG(BASE)";"CI",#N/A,FALSE,"CI+GG(BASE)"}</definedName>
    <definedName name="ppp" localSheetId="18" hidden="1">{#N/A,#N/A,FALSE,"Costos_Elem_Hid";#N/A,#N/A,FALSE,"Costos_Elem_Hid";#N/A,#N/A,FALSE,"Costos_Elem_Hid"}</definedName>
    <definedName name="ppp" localSheetId="8" hidden="1">{#N/A,#N/A,FALSE,"Costos_Elem_Hid";#N/A,#N/A,FALSE,"Costos_Elem_Hid";#N/A,#N/A,FALSE,"Costos_Elem_Hid"}</definedName>
    <definedName name="ppp" localSheetId="19" hidden="1">{#N/A,#N/A,FALSE,"Costos_Elem_Hid";#N/A,#N/A,FALSE,"Costos_Elem_Hid";#N/A,#N/A,FALSE,"Costos_Elem_Hid"}</definedName>
    <definedName name="ppp" localSheetId="20" hidden="1">{#N/A,#N/A,FALSE,"Costos_Elem_Hid";#N/A,#N/A,FALSE,"Costos_Elem_Hid";#N/A,#N/A,FALSE,"Costos_Elem_Hid"}</definedName>
    <definedName name="ppp" hidden="1">{#N/A,#N/A,FALSE,"Costos_Elem_Hid";#N/A,#N/A,FALSE,"Costos_Elem_Hid";#N/A,#N/A,FALSE,"Costos_Elem_Hid"}</definedName>
    <definedName name="ppppppp" localSheetId="18" hidden="1">{"'Hoja3'!$F$5"}</definedName>
    <definedName name="ppppppp" localSheetId="8" hidden="1">{"'Hoja3'!$F$5"}</definedName>
    <definedName name="ppppppp" localSheetId="19" hidden="1">{"'Hoja3'!$F$5"}</definedName>
    <definedName name="ppppppp" localSheetId="20" hidden="1">{"'Hoja3'!$F$5"}</definedName>
    <definedName name="ppppppp" hidden="1">{"'Hoja3'!$F$5"}</definedName>
    <definedName name="ppspsps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echancado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og_completo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aq" localSheetId="18" hidden="1">{#N/A,#N/A,FALSE,"summary";#N/A,#N/A,FALSE,"SumGraph"}</definedName>
    <definedName name="qaq" localSheetId="8" hidden="1">{#N/A,#N/A,FALSE,"summary";#N/A,#N/A,FALSE,"SumGraph"}</definedName>
    <definedName name="qaq" localSheetId="19" hidden="1">{#N/A,#N/A,FALSE,"summary";#N/A,#N/A,FALSE,"SumGraph"}</definedName>
    <definedName name="qaq" localSheetId="20" hidden="1">{#N/A,#N/A,FALSE,"summary";#N/A,#N/A,FALSE,"SumGraph"}</definedName>
    <definedName name="qaq" hidden="1">{#N/A,#N/A,FALSE,"summary";#N/A,#N/A,FALSE,"SumGraph"}</definedName>
    <definedName name="qewr" localSheetId="18" hidden="1">{#N/A,#N/A,TRUE,"Costos_Subg_Hid"}</definedName>
    <definedName name="qewr" localSheetId="8" hidden="1">{#N/A,#N/A,TRUE,"Costos_Subg_Hid"}</definedName>
    <definedName name="qewr" localSheetId="19" hidden="1">{#N/A,#N/A,TRUE,"Costos_Subg_Hid"}</definedName>
    <definedName name="qewr" localSheetId="20" hidden="1">{#N/A,#N/A,TRUE,"Costos_Subg_Hid"}</definedName>
    <definedName name="qewr" hidden="1">{#N/A,#N/A,TRUE,"Costos_Subg_Hid"}</definedName>
    <definedName name="qq" localSheetId="18" hidden="1">{"Sin detalle",#N/A,FALSE,"Flujo (redondeado)";"Detallado",#N/A,FALSE,"Flujo (redondeado)"}</definedName>
    <definedName name="qq" localSheetId="8" hidden="1">{"Sin detalle",#N/A,FALSE,"Flujo (redondeado)";"Detallado",#N/A,FALSE,"Flujo (redondeado)"}</definedName>
    <definedName name="qq" localSheetId="19" hidden="1">{"Sin detalle",#N/A,FALSE,"Flujo (redondeado)";"Detallado",#N/A,FALSE,"Flujo (redondeado)"}</definedName>
    <definedName name="qq" localSheetId="20" hidden="1">{"Sin detalle",#N/A,FALSE,"Flujo (redondeado)";"Detallado",#N/A,FALSE,"Flujo (redondeado)"}</definedName>
    <definedName name="qq" hidden="1">{"Sin detalle",#N/A,FALSE,"Flujo (redondeado)";"Detallado",#N/A,FALSE,"Flujo (redondeado)"}</definedName>
    <definedName name="QQQ" localSheetId="18" hidden="1">{"Sin detalle",#N/A,FALSE,"Flujo (redondeado)";"Detallado",#N/A,FALSE,"Flujo (redondeado)"}</definedName>
    <definedName name="QQQ" localSheetId="8" hidden="1">{"Sin detalle",#N/A,FALSE,"Flujo (redondeado)";"Detallado",#N/A,FALSE,"Flujo (redondeado)"}</definedName>
    <definedName name="QQQ" localSheetId="19" hidden="1">{"Sin detalle",#N/A,FALSE,"Flujo (redondeado)";"Detallado",#N/A,FALSE,"Flujo (redondeado)"}</definedName>
    <definedName name="QQQ" localSheetId="20" hidden="1">{"Sin detalle",#N/A,FALSE,"Flujo (redondeado)";"Detallado",#N/A,FALSE,"Flujo (redondeado)"}</definedName>
    <definedName name="QQQ" hidden="1">{"Sin detalle",#N/A,FALSE,"Flujo (redondeado)";"Detallado",#N/A,FALSE,"Flujo (redondeado)"}</definedName>
    <definedName name="qqqqq" localSheetId="18" hidden="1">{"Sin detalle",#N/A,FALSE,"Flujo (redondeado)";"Detallado",#N/A,FALSE,"Flujo (redondeado)"}</definedName>
    <definedName name="qqqqq" localSheetId="8" hidden="1">{"Sin detalle",#N/A,FALSE,"Flujo (redondeado)";"Detallado",#N/A,FALSE,"Flujo (redondeado)"}</definedName>
    <definedName name="qqqqq" localSheetId="19" hidden="1">{"Sin detalle",#N/A,FALSE,"Flujo (redondeado)";"Detallado",#N/A,FALSE,"Flujo (redondeado)"}</definedName>
    <definedName name="qqqqq" localSheetId="20" hidden="1">{"Sin detalle",#N/A,FALSE,"Flujo (redondeado)";"Detallado",#N/A,FALSE,"Flujo (redondeado)"}</definedName>
    <definedName name="qqqqq" hidden="1">{"Sin detalle",#N/A,FALSE,"Flujo (redondeado)";"Detallado",#N/A,FALSE,"Flujo (redondeado)"}</definedName>
    <definedName name="qw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NKING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G" localSheetId="18" hidden="1">{"cuadro1",#N/A,FALSE,"Camara buz ffcc Opción 5";"cuadro2",#N/A,FALSE,"Camara buz ffcc Opción 5";"cuadro3",#N/A,FALSE,"Camara buz ffcc Opción 5";"cuadro4",#N/A,FALSE,"Camara buz ffcc Opción 5"}</definedName>
    <definedName name="RG" localSheetId="8" hidden="1">{"cuadro1",#N/A,FALSE,"Camara buz ffcc Opción 5";"cuadro2",#N/A,FALSE,"Camara buz ffcc Opción 5";"cuadro3",#N/A,FALSE,"Camara buz ffcc Opción 5";"cuadro4",#N/A,FALSE,"Camara buz ffcc Opción 5"}</definedName>
    <definedName name="RG" localSheetId="19" hidden="1">{"cuadro1",#N/A,FALSE,"Camara buz ffcc Opción 5";"cuadro2",#N/A,FALSE,"Camara buz ffcc Opción 5";"cuadro3",#N/A,FALSE,"Camara buz ffcc Opción 5";"cuadro4",#N/A,FALSE,"Camara buz ffcc Opción 5"}</definedName>
    <definedName name="RG" localSheetId="2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IGO2" localSheetId="18" hidden="1">{"cuadro1",#N/A,FALSE,"Buzon Camion Opción 3";"cuadro2",#N/A,FALSE,"Buzon Camion Opción 3";"cuadro3",#N/A,FALSE,"Buzon Camion Opción 3";"cuadro4",#N/A,FALSE,"Buzon Camion Opción 3"}</definedName>
    <definedName name="RIGO2" localSheetId="8" hidden="1">{"cuadro1",#N/A,FALSE,"Buzon Camion Opción 3";"cuadro2",#N/A,FALSE,"Buzon Camion Opción 3";"cuadro3",#N/A,FALSE,"Buzon Camion Opción 3";"cuadro4",#N/A,FALSE,"Buzon Camion Opción 3"}</definedName>
    <definedName name="RIGO2" localSheetId="19" hidden="1">{"cuadro1",#N/A,FALSE,"Buzon Camion Opción 3";"cuadro2",#N/A,FALSE,"Buzon Camion Opción 3";"cuadro3",#N/A,FALSE,"Buzon Camion Opción 3";"cuadro4",#N/A,FALSE,"Buzon Camion Opción 3"}</definedName>
    <definedName name="RIGO2" localSheetId="2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O" hidden="1">#REF!</definedName>
    <definedName name="rr" localSheetId="18" hidden="1">{"'Hoja3'!$F$5"}</definedName>
    <definedName name="rr" localSheetId="8" hidden="1">{"'Hoja3'!$F$5"}</definedName>
    <definedName name="rr" localSheetId="19" hidden="1">{"'Hoja3'!$F$5"}</definedName>
    <definedName name="rr" localSheetId="20" hidden="1">{"'Hoja3'!$F$5"}</definedName>
    <definedName name="rr" hidden="1">{"'Hoja3'!$F$5"}</definedName>
    <definedName name="rty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" localSheetId="18" hidden="1">{#N/A,#N/A,TRUE,"Costos_Subg_Hid"}</definedName>
    <definedName name="sa" localSheetId="8" hidden="1">{#N/A,#N/A,TRUE,"Costos_Subg_Hid"}</definedName>
    <definedName name="sa" localSheetId="19" hidden="1">{#N/A,#N/A,TRUE,"Costos_Subg_Hid"}</definedName>
    <definedName name="sa" localSheetId="20" hidden="1">{#N/A,#N/A,TRUE,"Costos_Subg_Hid"}</definedName>
    <definedName name="sa" hidden="1">{#N/A,#N/A,TRUE,"Costos_Subg_Hid"}</definedName>
    <definedName name="sadx" localSheetId="18" hidden="1">{#N/A,#N/A,FALSE,"Costos_Elem_Hid";#N/A,#N/A,FALSE,"Costos_Elem_Hid";#N/A,#N/A,FALSE,"Costos_Elem_Hid"}</definedName>
    <definedName name="sadx" localSheetId="8" hidden="1">{#N/A,#N/A,FALSE,"Costos_Elem_Hid";#N/A,#N/A,FALSE,"Costos_Elem_Hid";#N/A,#N/A,FALSE,"Costos_Elem_Hid"}</definedName>
    <definedName name="sadx" localSheetId="19" hidden="1">{#N/A,#N/A,FALSE,"Costos_Elem_Hid";#N/A,#N/A,FALSE,"Costos_Elem_Hid";#N/A,#N/A,FALSE,"Costos_Elem_Hid"}</definedName>
    <definedName name="sadx" localSheetId="20" hidden="1">{#N/A,#N/A,FALSE,"Costos_Elem_Hid";#N/A,#N/A,FALSE,"Costos_Elem_Hid";#N/A,#N/A,FALSE,"Costos_Elem_Hid"}</definedName>
    <definedName name="sadx" hidden="1">{#N/A,#N/A,FALSE,"Costos_Elem_Hid";#N/A,#N/A,FALSE,"Costos_Elem_Hid";#N/A,#N/A,FALSE,"Costos_Elem_Hid"}</definedName>
    <definedName name="SANDRA" localSheetId="18" hidden="1">{"CI+GG(BASE)",#N/A,FALSE,"CI+GG(BASE)";"GG",#N/A,FALSE,"CI+GG(BASE)";"CI",#N/A,FALSE,"CI+GG(BASE)"}</definedName>
    <definedName name="SANDRA" localSheetId="8" hidden="1">{"CI+GG(BASE)",#N/A,FALSE,"CI+GG(BASE)";"GG",#N/A,FALSE,"CI+GG(BASE)";"CI",#N/A,FALSE,"CI+GG(BASE)"}</definedName>
    <definedName name="SANDRA" localSheetId="19" hidden="1">{"CI+GG(BASE)",#N/A,FALSE,"CI+GG(BASE)";"GG",#N/A,FALSE,"CI+GG(BASE)";"CI",#N/A,FALSE,"CI+GG(BASE)"}</definedName>
    <definedName name="SANDRA" localSheetId="2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PBEXdnldView" hidden="1">"CS2FYVI8TR74SU6MOUBAXIT5Q"</definedName>
    <definedName name="SAPBEXsysID" hidden="1">"B03"</definedName>
    <definedName name="sasda" localSheetId="18" hidden="1">{"Sin detalle",#N/A,FALSE,"Flujo (redondeado)";"Detallado",#N/A,FALSE,"Flujo (redondeado)"}</definedName>
    <definedName name="sasda" localSheetId="8" hidden="1">{"Sin detalle",#N/A,FALSE,"Flujo (redondeado)";"Detallado",#N/A,FALSE,"Flujo (redondeado)"}</definedName>
    <definedName name="sasda" localSheetId="19" hidden="1">{"Sin detalle",#N/A,FALSE,"Flujo (redondeado)";"Detallado",#N/A,FALSE,"Flujo (redondeado)"}</definedName>
    <definedName name="sasda" localSheetId="20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sa" localSheetId="18" hidden="1">{#N/A,#N/A,FALSE,"Costos_Elem_Hid";#N/A,#N/A,FALSE,"Costos_Elem_Hid";#N/A,#N/A,FALSE,"Costos_Elem_Hid"}</definedName>
    <definedName name="sassa" localSheetId="8" hidden="1">{#N/A,#N/A,FALSE,"Costos_Elem_Hid";#N/A,#N/A,FALSE,"Costos_Elem_Hid";#N/A,#N/A,FALSE,"Costos_Elem_Hid"}</definedName>
    <definedName name="sassa" localSheetId="19" hidden="1">{#N/A,#N/A,FALSE,"Costos_Elem_Hid";#N/A,#N/A,FALSE,"Costos_Elem_Hid";#N/A,#N/A,FALSE,"Costos_Elem_Hid"}</definedName>
    <definedName name="sassa" localSheetId="20" hidden="1">{#N/A,#N/A,FALSE,"Costos_Elem_Hid";#N/A,#N/A,FALSE,"Costos_Elem_Hid";#N/A,#N/A,FALSE,"Costos_Elem_Hid"}</definedName>
    <definedName name="sassa" hidden="1">{#N/A,#N/A,FALSE,"Costos_Elem_Hid";#N/A,#N/A,FALSE,"Costos_Elem_Hid";#N/A,#N/A,FALSE,"Costos_Elem_Hid"}</definedName>
    <definedName name="saxsd" localSheetId="18" hidden="1">{#N/A,#N/A,FALSE,"Costos_Elem_Hid";#N/A,#N/A,FALSE,"Costos_Elem_Hid";#N/A,#N/A,FALSE,"Costos_Elem_Hid"}</definedName>
    <definedName name="saxsd" localSheetId="8" hidden="1">{#N/A,#N/A,FALSE,"Costos_Elem_Hid";#N/A,#N/A,FALSE,"Costos_Elem_Hid";#N/A,#N/A,FALSE,"Costos_Elem_Hid"}</definedName>
    <definedName name="saxsd" localSheetId="19" hidden="1">{#N/A,#N/A,FALSE,"Costos_Elem_Hid";#N/A,#N/A,FALSE,"Costos_Elem_Hid";#N/A,#N/A,FALSE,"Costos_Elem_Hid"}</definedName>
    <definedName name="saxsd" localSheetId="20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d" localSheetId="18" hidden="1">{"Sin detalle",#N/A,FALSE,"Flujo (redondeado)";"Detallado",#N/A,FALSE,"Flujo (redondeado)"}</definedName>
    <definedName name="sd" localSheetId="8" hidden="1">{"Sin detalle",#N/A,FALSE,"Flujo (redondeado)";"Detallado",#N/A,FALSE,"Flujo (redondeado)"}</definedName>
    <definedName name="sd" localSheetId="19" hidden="1">{"Sin detalle",#N/A,FALSE,"Flujo (redondeado)";"Detallado",#N/A,FALSE,"Flujo (redondeado)"}</definedName>
    <definedName name="sd" localSheetId="20" hidden="1">{"Sin detalle",#N/A,FALSE,"Flujo (redondeado)";"Detallado",#N/A,FALSE,"Flujo (redondeado)"}</definedName>
    <definedName name="sd" hidden="1">{"Sin detalle",#N/A,FALSE,"Flujo (redondeado)";"Detallado",#N/A,FALSE,"Flujo (redondeado)"}</definedName>
    <definedName name="SDA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f" localSheetId="18" hidden="1">{"CI+GG(BASE)",#N/A,FALSE,"CI+GG(BASE)";"GG",#N/A,FALSE,"CI+GG(BASE)";"CI",#N/A,FALSE,"CI+GG(BASE)"}</definedName>
    <definedName name="sdf" localSheetId="8" hidden="1">{"CI+GG(BASE)",#N/A,FALSE,"CI+GG(BASE)";"GG",#N/A,FALSE,"CI+GG(BASE)";"CI",#N/A,FALSE,"CI+GG(BASE)"}</definedName>
    <definedName name="sdf" localSheetId="19" hidden="1">{"CI+GG(BASE)",#N/A,FALSE,"CI+GG(BASE)";"GG",#N/A,FALSE,"CI+GG(BASE)";"CI",#N/A,FALSE,"CI+GG(BASE)"}</definedName>
    <definedName name="sdf" localSheetId="20" hidden="1">{"CI+GG(BASE)",#N/A,FALSE,"CI+GG(BASE)";"GG",#N/A,FALSE,"CI+GG(BASE)";"CI",#N/A,FALSE,"CI+GG(BASE)"}</definedName>
    <definedName name="sdf" hidden="1">{"CI+GG(BASE)",#N/A,FALSE,"CI+GG(BASE)";"GG",#N/A,FALSE,"CI+GG(BASE)";"CI",#N/A,FALSE,"CI+GG(BASE)"}</definedName>
    <definedName name="sdfg" localSheetId="18" hidden="1">{#N/A,#N/A,FALSE,"Costos_Elem_Hid";#N/A,#N/A,FALSE,"Costos_Elem_Hid";#N/A,#N/A,FALSE,"Costos_Elem_Hid"}</definedName>
    <definedName name="sdfg" localSheetId="8" hidden="1">{#N/A,#N/A,FALSE,"Costos_Elem_Hid";#N/A,#N/A,FALSE,"Costos_Elem_Hid";#N/A,#N/A,FALSE,"Costos_Elem_Hid"}</definedName>
    <definedName name="sdfg" localSheetId="19" hidden="1">{#N/A,#N/A,FALSE,"Costos_Elem_Hid";#N/A,#N/A,FALSE,"Costos_Elem_Hid";#N/A,#N/A,FALSE,"Costos_Elem_Hid"}</definedName>
    <definedName name="sdfg" localSheetId="20" hidden="1">{#N/A,#N/A,FALSE,"Costos_Elem_Hid";#N/A,#N/A,FALSE,"Costos_Elem_Hid";#N/A,#N/A,FALSE,"Costos_Elem_Hid"}</definedName>
    <definedName name="sdfg" hidden="1">{#N/A,#N/A,FALSE,"Costos_Elem_Hid";#N/A,#N/A,FALSE,"Costos_Elem_Hid";#N/A,#N/A,FALSE,"Costos_Elem_Hid"}</definedName>
    <definedName name="sdht" localSheetId="18" hidden="1">{"'resumen REV 3'!$B$1:$Q$69"}</definedName>
    <definedName name="sdht" localSheetId="8" hidden="1">{"'resumen REV 3'!$B$1:$Q$69"}</definedName>
    <definedName name="sdht" localSheetId="19" hidden="1">{"'resumen REV 3'!$B$1:$Q$69"}</definedName>
    <definedName name="sdht" localSheetId="20" hidden="1">{"'resumen REV 3'!$B$1:$Q$69"}</definedName>
    <definedName name="sdht" hidden="1">{"'resumen REV 3'!$B$1:$Q$69"}</definedName>
    <definedName name="SDKSD" localSheetId="18" hidden="1">{#N/A,#N/A,FALSE,"Total_OC015";#N/A,#N/A,FALSE,"ADMIN";#N/A,#N/A,FALSE,"PROCES";#N/A,#N/A,FALSE,"mecan";#N/A,#N/A,FALSE,"civil";#N/A,#N/A,FALSE,"CAÑER";#N/A,#N/A,FALSE,"ELEC";#N/A,#N/A,FALSE,"INSTR"}</definedName>
    <definedName name="SDKSD" localSheetId="8" hidden="1">{#N/A,#N/A,FALSE,"Total_OC015";#N/A,#N/A,FALSE,"ADMIN";#N/A,#N/A,FALSE,"PROCES";#N/A,#N/A,FALSE,"mecan";#N/A,#N/A,FALSE,"civil";#N/A,#N/A,FALSE,"CAÑER";#N/A,#N/A,FALSE,"ELEC";#N/A,#N/A,FALSE,"INSTR"}</definedName>
    <definedName name="SDKSD" localSheetId="19" hidden="1">{#N/A,#N/A,FALSE,"Total_OC015";#N/A,#N/A,FALSE,"ADMIN";#N/A,#N/A,FALSE,"PROCES";#N/A,#N/A,FALSE,"mecan";#N/A,#N/A,FALSE,"civil";#N/A,#N/A,FALSE,"CAÑER";#N/A,#N/A,FALSE,"ELEC";#N/A,#N/A,FALSE,"INSTR"}</definedName>
    <definedName name="SDKSD" localSheetId="2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eis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FGAST5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localSheetId="18" hidden="1">{#N/A,#N/A,FALSE,"Costos_Elem_Hid";#N/A,#N/A,FALSE,"Costos_Elem_Hid";#N/A,#N/A,FALSE,"Costos_Elem_Hid"}</definedName>
    <definedName name="sfr" localSheetId="8" hidden="1">{#N/A,#N/A,FALSE,"Costos_Elem_Hid";#N/A,#N/A,FALSE,"Costos_Elem_Hid";#N/A,#N/A,FALSE,"Costos_Elem_Hid"}</definedName>
    <definedName name="sfr" localSheetId="19" hidden="1">{#N/A,#N/A,FALSE,"Costos_Elem_Hid";#N/A,#N/A,FALSE,"Costos_Elem_Hid";#N/A,#N/A,FALSE,"Costos_Elem_Hid"}</definedName>
    <definedName name="sfr" localSheetId="20" hidden="1">{#N/A,#N/A,FALSE,"Costos_Elem_Hid";#N/A,#N/A,FALSE,"Costos_Elem_Hid";#N/A,#N/A,FALSE,"Costos_Elem_Hid"}</definedName>
    <definedName name="sfr" hidden="1">{#N/A,#N/A,FALSE,"Costos_Elem_Hid";#N/A,#N/A,FALSE,"Costos_Elem_Hid";#N/A,#N/A,FALSE,"Costos_Elem_Hid"}</definedName>
    <definedName name="SFST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is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sdsd" localSheetId="18" hidden="1">{"Sin detalle",#N/A,FALSE,"Flujo (redondeado)";"Detallado",#N/A,FALSE,"Flujo (redondeado)"}</definedName>
    <definedName name="ssdsdsd" localSheetId="8" hidden="1">{"Sin detalle",#N/A,FALSE,"Flujo (redondeado)";"Detallado",#N/A,FALSE,"Flujo (redondeado)"}</definedName>
    <definedName name="ssdsdsd" localSheetId="19" hidden="1">{"Sin detalle",#N/A,FALSE,"Flujo (redondeado)";"Detallado",#N/A,FALSE,"Flujo (redondeado)"}</definedName>
    <definedName name="ssdsdsd" localSheetId="20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xd" localSheetId="18" hidden="1">{#N/A,#N/A,FALSE,"Costos_Elem_Hid";#N/A,#N/A,FALSE,"Costos_Elem_Hid";#N/A,#N/A,FALSE,"Costos_Elem_Hid"}</definedName>
    <definedName name="sxd" localSheetId="8" hidden="1">{#N/A,#N/A,FALSE,"Costos_Elem_Hid";#N/A,#N/A,FALSE,"Costos_Elem_Hid";#N/A,#N/A,FALSE,"Costos_Elem_Hid"}</definedName>
    <definedName name="sxd" localSheetId="19" hidden="1">{#N/A,#N/A,FALSE,"Costos_Elem_Hid";#N/A,#N/A,FALSE,"Costos_Elem_Hid";#N/A,#N/A,FALSE,"Costos_Elem_Hid"}</definedName>
    <definedName name="sxd" localSheetId="20" hidden="1">{#N/A,#N/A,FALSE,"Costos_Elem_Hid";#N/A,#N/A,FALSE,"Costos_Elem_Hid";#N/A,#N/A,FALSE,"Costos_Elem_Hid"}</definedName>
    <definedName name="sxd" hidden="1">{#N/A,#N/A,FALSE,"Costos_Elem_Hid";#N/A,#N/A,FALSE,"Costos_Elem_Hid";#N/A,#N/A,FALSE,"Costos_Elem_Hid"}</definedName>
    <definedName name="T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EC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it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rj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tttt" localSheetId="18" hidden="1">{#N/A,#N/A,TRUE,"Costos_Subg_Hid"}</definedName>
    <definedName name="tttttt" localSheetId="8" hidden="1">{#N/A,#N/A,TRUE,"Costos_Subg_Hid"}</definedName>
    <definedName name="tttttt" localSheetId="19" hidden="1">{#N/A,#N/A,TRUE,"Costos_Subg_Hid"}</definedName>
    <definedName name="tttttt" localSheetId="20" hidden="1">{#N/A,#N/A,TRUE,"Costos_Subg_Hid"}</definedName>
    <definedName name="tttttt" hidden="1">{#N/A,#N/A,TRUE,"Costos_Subg_Hid"}</definedName>
    <definedName name="tuu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TON" localSheetId="18" hidden="1">{#N/A,#N/A,FALSE,"Costos_Elem_Hid";#N/A,#N/A,FALSE,"Costos_Elem_Hid";#N/A,#N/A,FALSE,"Costos_Elem_Hid"}</definedName>
    <definedName name="UNITTON" localSheetId="8" hidden="1">{#N/A,#N/A,FALSE,"Costos_Elem_Hid";#N/A,#N/A,FALSE,"Costos_Elem_Hid";#N/A,#N/A,FALSE,"Costos_Elem_Hid"}</definedName>
    <definedName name="UNITTON" localSheetId="19" hidden="1">{#N/A,#N/A,FALSE,"Costos_Elem_Hid";#N/A,#N/A,FALSE,"Costos_Elem_Hid";#N/A,#N/A,FALSE,"Costos_Elem_Hid"}</definedName>
    <definedName name="UNITTON" localSheetId="20" hidden="1">{#N/A,#N/A,FALSE,"Costos_Elem_Hid";#N/A,#N/A,FALSE,"Costos_Elem_Hid";#N/A,#N/A,FALSE,"Costos_Elem_Hid"}</definedName>
    <definedName name="UNITTON" hidden="1">{#N/A,#N/A,FALSE,"Costos_Elem_Hid";#N/A,#N/A,FALSE,"Costos_Elem_Hid";#N/A,#N/A,FALSE,"Costos_Elem_Hid"}</definedName>
    <definedName name="USD">#REF!</definedName>
    <definedName name="uuuu" localSheetId="18" hidden="1">{#N/A,#N/A,FALSE,"Costos_Elem_Hid";#N/A,#N/A,FALSE,"Costos_Elem_Hid";#N/A,#N/A,FALSE,"Costos_Elem_Hid"}</definedName>
    <definedName name="uuuu" localSheetId="8" hidden="1">{#N/A,#N/A,FALSE,"Costos_Elem_Hid";#N/A,#N/A,FALSE,"Costos_Elem_Hid";#N/A,#N/A,FALSE,"Costos_Elem_Hid"}</definedName>
    <definedName name="uuuu" localSheetId="19" hidden="1">{#N/A,#N/A,FALSE,"Costos_Elem_Hid";#N/A,#N/A,FALSE,"Costos_Elem_Hid";#N/A,#N/A,FALSE,"Costos_Elem_Hid"}</definedName>
    <definedName name="uuuu" localSheetId="20" hidden="1">{#N/A,#N/A,FALSE,"Costos_Elem_Hid";#N/A,#N/A,FALSE,"Costos_Elem_Hid";#N/A,#N/A,FALSE,"Costos_Elem_Hid"}</definedName>
    <definedName name="uuuu" hidden="1">{#N/A,#N/A,FALSE,"Costos_Elem_Hid";#N/A,#N/A,FALSE,"Costos_Elem_Hid";#N/A,#N/A,FALSE,"Costos_Elem_Hid"}</definedName>
    <definedName name="vadassd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_B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sad" localSheetId="18" hidden="1">{"desarrollo",#N/A,FALSE,"Cámara Camión";"resumen",#N/A,FALSE,"Cámara Camión";"eqprod",#N/A,FALSE,"Cámara Camión"}</definedName>
    <definedName name="vasad" localSheetId="8" hidden="1">{"desarrollo",#N/A,FALSE,"Cámara Camión";"resumen",#N/A,FALSE,"Cámara Camión";"eqprod",#N/A,FALSE,"Cámara Camión"}</definedName>
    <definedName name="vasad" localSheetId="19" hidden="1">{"desarrollo",#N/A,FALSE,"Cámara Camión";"resumen",#N/A,FALSE,"Cámara Camión";"eqprod",#N/A,FALSE,"Cámara Camión"}</definedName>
    <definedName name="vasad" localSheetId="2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18" hidden="1">{#N/A,#N/A,FALSE,"Total_OC015";#N/A,#N/A,FALSE,"ADMIN";#N/A,#N/A,FALSE,"PROCES";#N/A,#N/A,FALSE,"mecan";#N/A,#N/A,FALSE,"civil";#N/A,#N/A,FALSE,"CAÑER";#N/A,#N/A,FALSE,"ELEC";#N/A,#N/A,FALSE,"INSTR"}</definedName>
    <definedName name="vavaas" localSheetId="8" hidden="1">{#N/A,#N/A,FALSE,"Total_OC015";#N/A,#N/A,FALSE,"ADMIN";#N/A,#N/A,FALSE,"PROCES";#N/A,#N/A,FALSE,"mecan";#N/A,#N/A,FALSE,"civil";#N/A,#N/A,FALSE,"CAÑER";#N/A,#N/A,FALSE,"ELEC";#N/A,#N/A,FALSE,"INSTR"}</definedName>
    <definedName name="vavaas" localSheetId="19" hidden="1">{#N/A,#N/A,FALSE,"Total_OC015";#N/A,#N/A,FALSE,"ADMIN";#N/A,#N/A,FALSE,"PROCES";#N/A,#N/A,FALSE,"mecan";#N/A,#N/A,FALSE,"civil";#N/A,#N/A,FALSE,"CAÑER";#N/A,#N/A,FALSE,"ELEC";#N/A,#N/A,FALSE,"INSTR"}</definedName>
    <definedName name="vavaas" localSheetId="2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MEL" localSheetId="6">'Organigrama '!#REF!,'Organigrama '!#REF!,'Organigrama '!$J$14:$J$14,'Organigrama '!$C$20,'Organigrama '!$C$25:$C$25,'Organigrama '!#REF!,'Organigrama '!#REF!,'Organigrama '!#REF!,'Organigrama '!#REF!,'Organigrama '!#REF!,'Organigrama '!#REF!,'Organigrama '!#REF!,'Organigrama '!#REF!,'Organigrama '!#REF!,'Organigrama '!$AF$29:$AF$30,'Organigrama '!$AG$20,'Organigrama '!#REF!,'Organigrama '!$R$33:$R$33,'Organigrama '!#REF!,'Organigrama '!#REF!,'Organigrama '!#REF!,'Organigrama '!#REF!,'Organigrama '!#REF!,'Organigrama '!#REF!,'Organigrama '!#REF!,'Organigrama '!$AU$20:$AU$20,'Organigrama '!$AT$25:$AT$25,'Organigrama '!#REF!</definedName>
    <definedName name="VBMEL">#REF!,#REF!,#REF!,#REF!,#REF!,#REF!,#REF!,#REF!,#REF!,#REF!,#REF!,#REF!,#REF!,#REF!,#REF!,#REF!,#REF!,#REF!,#REF!,#REF!,#REF!,#REF!,#REF!,#REF!,#REF!,#REF!,#REF!,#REF!</definedName>
    <definedName name="VCXNVJHKKLYJ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vavadva" localSheetId="18" hidden="1">{"FlujoGastos",#N/A,FALSE,"Base";"FlujoGastos",#N/A,FALSE,"Buzón Tren";"FlujoGastos",#N/A,FALSE,"Buzón Camión";"FlujoGastos",#N/A,FALSE,"LHD Camión";"FlujoGastos",#N/A,FALSE,"Cámara Camión"}</definedName>
    <definedName name="vdvavadva" localSheetId="8" hidden="1">{"FlujoGastos",#N/A,FALSE,"Base";"FlujoGastos",#N/A,FALSE,"Buzón Tren";"FlujoGastos",#N/A,FALSE,"Buzón Camión";"FlujoGastos",#N/A,FALSE,"LHD Camión";"FlujoGastos",#N/A,FALSE,"Cámara Camión"}</definedName>
    <definedName name="vdvavadva" localSheetId="19" hidden="1">{"FlujoGastos",#N/A,FALSE,"Base";"FlujoGastos",#N/A,FALSE,"Buzón Tren";"FlujoGastos",#N/A,FALSE,"Buzón Camión";"FlujoGastos",#N/A,FALSE,"LHD Camión";"FlujoGastos",#N/A,FALSE,"Cámara Camión"}</definedName>
    <definedName name="vdvavadva" localSheetId="2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ro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localSheetId="18" hidden="1">{"desarrollo",#N/A,FALSE,"Cámara Camión";"resumen",#N/A,FALSE,"Cámara Camión";"eqprod",#N/A,FALSE,"Cámara Camión"}</definedName>
    <definedName name="verti" localSheetId="8" hidden="1">{"desarrollo",#N/A,FALSE,"Cámara Camión";"resumen",#N/A,FALSE,"Cámara Camión";"eqprod",#N/A,FALSE,"Cámara Camión"}</definedName>
    <definedName name="verti" localSheetId="19" hidden="1">{"desarrollo",#N/A,FALSE,"Cámara Camión";"resumen",#N/A,FALSE,"Cámara Camión";"eqprod",#N/A,FALSE,"Cámara Camión"}</definedName>
    <definedName name="verti" localSheetId="2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18" hidden="1">{"desarrollo",#N/A,FALSE,"LHD Camión";"eqdllo",#N/A,FALSE,"LHD Camión";"eqprod",#N/A,FALSE,"LHD Camión";"Resumen",#N/A,FALSE,"LHD Camión"}</definedName>
    <definedName name="vertical" localSheetId="8" hidden="1">{"desarrollo",#N/A,FALSE,"LHD Camión";"eqdllo",#N/A,FALSE,"LHD Camión";"eqprod",#N/A,FALSE,"LHD Camión";"Resumen",#N/A,FALSE,"LHD Camión"}</definedName>
    <definedName name="vertical" localSheetId="19" hidden="1">{"desarrollo",#N/A,FALSE,"LHD Camión";"eqdllo",#N/A,FALSE,"LHD Camión";"eqprod",#N/A,FALSE,"LHD Camión";"Resumen",#N/A,FALSE,"LHD Camión"}</definedName>
    <definedName name="vertical" localSheetId="2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iio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saddsdvsdsds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localSheetId="18" hidden="1">{"Sin detalle",#N/A,FALSE,"Flujo (redondeado)";"Detallado",#N/A,FALSE,"Flujo (redondeado)"}</definedName>
    <definedName name="VV" localSheetId="8" hidden="1">{"Sin detalle",#N/A,FALSE,"Flujo (redondeado)";"Detallado",#N/A,FALSE,"Flujo (redondeado)"}</definedName>
    <definedName name="VV" localSheetId="19" hidden="1">{"Sin detalle",#N/A,FALSE,"Flujo (redondeado)";"Detallado",#N/A,FALSE,"Flujo (redondeado)"}</definedName>
    <definedName name="VV" localSheetId="20" hidden="1">{"Sin detalle",#N/A,FALSE,"Flujo (redondeado)";"Detallado",#N/A,FALSE,"Flujo (redondeado)"}</definedName>
    <definedName name="VV" hidden="1">{"Sin detalle",#N/A,FALSE,"Flujo (redondeado)";"Detallado",#N/A,FALSE,"Flujo (redondeado)"}</definedName>
    <definedName name="VVGVHJ" localSheetId="18" hidden="1">{#N/A,#N/A,FALSE,"Graficos"}</definedName>
    <definedName name="VVGVHJ" localSheetId="8" hidden="1">{#N/A,#N/A,FALSE,"Graficos"}</definedName>
    <definedName name="VVGVHJ" localSheetId="19" hidden="1">{#N/A,#N/A,FALSE,"Graficos"}</definedName>
    <definedName name="VVGVHJ" localSheetId="20" hidden="1">{#N/A,#N/A,FALSE,"Graficos"}</definedName>
    <definedName name="VVGVHJ" hidden="1">{#N/A,#N/A,FALSE,"Graficos"}</definedName>
    <definedName name="vvv" localSheetId="1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8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9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v" localSheetId="18" hidden="1">{#N/A,#N/A,FALSE,"Costos_Elem_Hid";#N/A,#N/A,FALSE,"Costos_Elem_Hid";#N/A,#N/A,FALSE,"Costos_Elem_Hid"}</definedName>
    <definedName name="vvvv" localSheetId="8" hidden="1">{#N/A,#N/A,FALSE,"Costos_Elem_Hid";#N/A,#N/A,FALSE,"Costos_Elem_Hid";#N/A,#N/A,FALSE,"Costos_Elem_Hid"}</definedName>
    <definedName name="vvvv" localSheetId="19" hidden="1">{#N/A,#N/A,FALSE,"Costos_Elem_Hid";#N/A,#N/A,FALSE,"Costos_Elem_Hid";#N/A,#N/A,FALSE,"Costos_Elem_Hid"}</definedName>
    <definedName name="vvvv" localSheetId="20" hidden="1">{#N/A,#N/A,FALSE,"Costos_Elem_Hid";#N/A,#N/A,FALSE,"Costos_Elem_Hid";#N/A,#N/A,FALSE,"Costos_Elem_Hid"}</definedName>
    <definedName name="vvvv" hidden="1">{#N/A,#N/A,FALSE,"Costos_Elem_Hid";#N/A,#N/A,FALSE,"Costos_Elem_Hid";#N/A,#N/A,FALSE,"Costos_Elem_Hid"}</definedName>
    <definedName name="WBeza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ERT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localSheetId="18" hidden="1">{#N/A,#N/A,FALSE,"Costos_Elem_Hid";#N/A,#N/A,FALSE,"Costos_Elem_Hid";#N/A,#N/A,FALSE,"Costos_Elem_Hid"}</definedName>
    <definedName name="werw" localSheetId="8" hidden="1">{#N/A,#N/A,FALSE,"Costos_Elem_Hid";#N/A,#N/A,FALSE,"Costos_Elem_Hid";#N/A,#N/A,FALSE,"Costos_Elem_Hid"}</definedName>
    <definedName name="werw" localSheetId="19" hidden="1">{#N/A,#N/A,FALSE,"Costos_Elem_Hid";#N/A,#N/A,FALSE,"Costos_Elem_Hid";#N/A,#N/A,FALSE,"Costos_Elem_Hid"}</definedName>
    <definedName name="werw" localSheetId="20" hidden="1">{#N/A,#N/A,FALSE,"Costos_Elem_Hid";#N/A,#N/A,FALSE,"Costos_Elem_Hid";#N/A,#N/A,FALSE,"Costos_Elem_Hid"}</definedName>
    <definedName name="werw" hidden="1">{#N/A,#N/A,FALSE,"Costos_Elem_Hid";#N/A,#N/A,FALSE,"Costos_Elem_Hid";#N/A,#N/A,FALSE,"Costos_Elem_Hid"}</definedName>
    <definedName name="wq" localSheetId="18" hidden="1">{"Sin detalle",#N/A,FALSE,"Flujo (redondeado)";"Detallado",#N/A,FALSE,"Flujo (redondeado)"}</definedName>
    <definedName name="wq" localSheetId="8" hidden="1">{"Sin detalle",#N/A,FALSE,"Flujo (redondeado)";"Detallado",#N/A,FALSE,"Flujo (redondeado)"}</definedName>
    <definedName name="wq" localSheetId="19" hidden="1">{"Sin detalle",#N/A,FALSE,"Flujo (redondeado)";"Detallado",#N/A,FALSE,"Flujo (redondeado)"}</definedName>
    <definedName name="wq" localSheetId="2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rn" localSheetId="18" hidden="1">{#N/A,#N/A,TRUE,"Est. de Fact.";#N/A,#N/A,TRUE,"Capitulo 19";#N/A,#N/A,TRUE,"Proyecto P855"}</definedName>
    <definedName name="wrn" localSheetId="8" hidden="1">{#N/A,#N/A,TRUE,"Est. de Fact.";#N/A,#N/A,TRUE,"Capitulo 19";#N/A,#N/A,TRUE,"Proyecto P855"}</definedName>
    <definedName name="wrn" localSheetId="19" hidden="1">{#N/A,#N/A,TRUE,"Est. de Fact.";#N/A,#N/A,TRUE,"Capitulo 19";#N/A,#N/A,TRUE,"Proyecto P855"}</definedName>
    <definedName name="wrn" localSheetId="2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02INFORME." localSheetId="18" hidden="1">{"NORMAL",#N/A,FALSE,"02"}</definedName>
    <definedName name="wrn.02INFORME." localSheetId="8" hidden="1">{"NORMAL",#N/A,FALSE,"02"}</definedName>
    <definedName name="wrn.02INFORME." localSheetId="19" hidden="1">{"NORMAL",#N/A,FALSE,"02"}</definedName>
    <definedName name="wrn.02INFORME." localSheetId="20" hidden="1">{"NORMAL",#N/A,FALSE,"02"}</definedName>
    <definedName name="wrn.02INFORME." hidden="1">{"NORMAL",#N/A,FALSE,"02"}</definedName>
    <definedName name="wrn.Barbara._.Modular._.Indirects." localSheetId="1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9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Camaracamion." localSheetId="18" hidden="1">{"desarrollo",#N/A,FALSE,"Cámara Camión";"resumen",#N/A,FALSE,"Cámara Camión";"eqprod",#N/A,FALSE,"Cámara Camión"}</definedName>
    <definedName name="wrn.Camaracamion." localSheetId="8" hidden="1">{"desarrollo",#N/A,FALSE,"Cámara Camión";"resumen",#N/A,FALSE,"Cámara Camión";"eqprod",#N/A,FALSE,"Cámara Camión"}</definedName>
    <definedName name="wrn.Camaracamion." localSheetId="19" hidden="1">{"desarrollo",#N/A,FALSE,"Cámara Camión";"resumen",#N/A,FALSE,"Cámara Camión";"eqprod",#N/A,FALSE,"Cámara Camión"}</definedName>
    <definedName name="wrn.Camaracamion." localSheetId="2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IGG." localSheetId="18" hidden="1">{"CI+GG(BASE)",#N/A,FALSE,"CI+GG(BASE)";"GG",#N/A,FALSE,"CI+GG(BASE)";"CI",#N/A,FALSE,"CI+GG(BASE)"}</definedName>
    <definedName name="wrn.CIGG." localSheetId="8" hidden="1">{"CI+GG(BASE)",#N/A,FALSE,"CI+GG(BASE)";"GG",#N/A,FALSE,"CI+GG(BASE)";"CI",#N/A,FALSE,"CI+GG(BASE)"}</definedName>
    <definedName name="wrn.CIGG." localSheetId="19" hidden="1">{"CI+GG(BASE)",#N/A,FALSE,"CI+GG(BASE)";"GG",#N/A,FALSE,"CI+GG(BASE)";"CI",#N/A,FALSE,"CI+GG(BASE)"}</definedName>
    <definedName name="wrn.CIGG." localSheetId="2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ompa." localSheetId="18" hidden="1">{"cuadro1",#N/A,FALSE,"periodos entre Opciones";"cuadro2",#N/A,FALSE,"periodos entre Opciones"}</definedName>
    <definedName name="wrn.compa." localSheetId="8" hidden="1">{"cuadro1",#N/A,FALSE,"periodos entre Opciones";"cuadro2",#N/A,FALSE,"periodos entre Opciones"}</definedName>
    <definedName name="wrn.compa." localSheetId="19" hidden="1">{"cuadro1",#N/A,FALSE,"periodos entre Opciones";"cuadro2",#N/A,FALSE,"periodos entre Opciones"}</definedName>
    <definedName name="wrn.compa." localSheetId="2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leto." localSheetId="1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8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9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NTROL._.ARCHIVO." localSheetId="1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8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9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localSheetId="1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8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19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localSheetId="20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ECIMAL." localSheetId="18" hidden="1">{"DECIMAL",#N/A,FALSE,"02"}</definedName>
    <definedName name="wrn.DECIMAL." localSheetId="8" hidden="1">{"DECIMAL",#N/A,FALSE,"02"}</definedName>
    <definedName name="wrn.DECIMAL." localSheetId="19" hidden="1">{"DECIMAL",#N/A,FALSE,"02"}</definedName>
    <definedName name="wrn.DECIMAL." localSheetId="20" hidden="1">{"DECIMAL",#N/A,FALSE,"02"}</definedName>
    <definedName name="wrn.DECIMAL." hidden="1">{"DECIMAL",#N/A,FALSE,"02"}</definedName>
    <definedName name="wrn.Día._.API.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localSheetId="18" hidden="1">{#N/A,#N/A,FALSE,"summary";#N/A,#N/A,FALSE,"SumGraph"}</definedName>
    <definedName name="wrn.El._.Indio._.Production._.Summary." localSheetId="8" hidden="1">{#N/A,#N/A,FALSE,"summary";#N/A,#N/A,FALSE,"SumGraph"}</definedName>
    <definedName name="wrn.El._.Indio._.Production._.Summary." localSheetId="19" hidden="1">{#N/A,#N/A,FALSE,"summary";#N/A,#N/A,FALSE,"SumGraph"}</definedName>
    <definedName name="wrn.El._.Indio._.Production._.Summary." localSheetId="20" hidden="1">{#N/A,#N/A,FALSE,"summary";#N/A,#N/A,FALSE,"SumGraph"}</definedName>
    <definedName name="wrn.El._.Indio._.Production._.Summary." hidden="1">{#N/A,#N/A,FALSE,"summary";#N/A,#N/A,FALSE,"SumGraph"}</definedName>
    <definedName name="wrn.ep10.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localSheetId="18" hidden="1">{#N/A,#N/A,FALSE,"Costos_Elem_Hid";#N/A,#N/A,FALSE,"Costos_Elem_Hid";#N/A,#N/A,FALSE,"Costos_Elem_Hid"}</definedName>
    <definedName name="wrn.fff." localSheetId="8" hidden="1">{#N/A,#N/A,FALSE,"Costos_Elem_Hid";#N/A,#N/A,FALSE,"Costos_Elem_Hid";#N/A,#N/A,FALSE,"Costos_Elem_Hid"}</definedName>
    <definedName name="wrn.fff." localSheetId="19" hidden="1">{#N/A,#N/A,FALSE,"Costos_Elem_Hid";#N/A,#N/A,FALSE,"Costos_Elem_Hid";#N/A,#N/A,FALSE,"Costos_Elem_Hid"}</definedName>
    <definedName name="wrn.fff." localSheetId="20" hidden="1">{#N/A,#N/A,FALSE,"Costos_Elem_Hid";#N/A,#N/A,FALSE,"Costos_Elem_Hid";#N/A,#N/A,FALSE,"Costos_Elem_Hid"}</definedName>
    <definedName name="wrn.fff." hidden="1">{#N/A,#N/A,FALSE,"Costos_Elem_Hid";#N/A,#N/A,FALSE,"Costos_Elem_Hid";#N/A,#N/A,FALSE,"Costos_Elem_Hid"}</definedName>
    <definedName name="wrn.flujos." localSheetId="18" hidden="1">{"FlujoGastos",#N/A,FALSE,"Base";"FlujoGastos",#N/A,FALSE,"Buzón Tren";"FlujoGastos",#N/A,FALSE,"Buzón Camión";"FlujoGastos",#N/A,FALSE,"LHD Camión";"FlujoGastos",#N/A,FALSE,"Cámara Camión"}</definedName>
    <definedName name="wrn.flujos." localSheetId="8" hidden="1">{"FlujoGastos",#N/A,FALSE,"Base";"FlujoGastos",#N/A,FALSE,"Buzón Tren";"FlujoGastos",#N/A,FALSE,"Buzón Camión";"FlujoGastos",#N/A,FALSE,"LHD Camión";"FlujoGastos",#N/A,FALSE,"Cámara Camión"}</definedName>
    <definedName name="wrn.flujos." localSheetId="19" hidden="1">{"FlujoGastos",#N/A,FALSE,"Base";"FlujoGastos",#N/A,FALSE,"Buzón Tren";"FlujoGastos",#N/A,FALSE,"Buzón Camión";"FlujoGastos",#N/A,FALSE,"LHD Camión";"FlujoGastos",#N/A,FALSE,"Cámara Camión"}</definedName>
    <definedName name="wrn.flujos." localSheetId="2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ULARIOS." localSheetId="1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8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9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GERENCIAL." localSheetId="18" hidden="1">{#N/A,#N/A,FALSE,"F006";#N/A,#N/A,FALSE,"F008";#N/A,#N/A,FALSE,"F020";#N/A,#N/A,FALSE,"F019"}</definedName>
    <definedName name="wrn.GERENCIAL." localSheetId="8" hidden="1">{#N/A,#N/A,FALSE,"F006";#N/A,#N/A,FALSE,"F008";#N/A,#N/A,FALSE,"F020";#N/A,#N/A,FALSE,"F019"}</definedName>
    <definedName name="wrn.GERENCIAL." localSheetId="19" hidden="1">{#N/A,#N/A,FALSE,"F006";#N/A,#N/A,FALSE,"F008";#N/A,#N/A,FALSE,"F020";#N/A,#N/A,FALSE,"F019"}</definedName>
    <definedName name="wrn.GERENCIAL." localSheetId="20" hidden="1">{#N/A,#N/A,FALSE,"F006";#N/A,#N/A,FALSE,"F008";#N/A,#N/A,FALSE,"F020";#N/A,#N/A,FALSE,"F019"}</definedName>
    <definedName name="wrn.GERENCIAL." hidden="1">{#N/A,#N/A,FALSE,"F006";#N/A,#N/A,FALSE,"F008";#N/A,#N/A,FALSE,"F020";#N/A,#N/A,FALSE,"F019"}</definedName>
    <definedName name="wrn.Graficos." localSheetId="18" hidden="1">{"Graf_Carga Trab",#N/A,FALSE,"Grafi_Carga Trab";"Graf_Venta Flujo",#N/A,FALSE,"Grafi_Carga Trab"}</definedName>
    <definedName name="wrn.Graficos." localSheetId="8" hidden="1">{"Graf_Carga Trab",#N/A,FALSE,"Grafi_Carga Trab";"Graf_Venta Flujo",#N/A,FALSE,"Grafi_Carga Trab"}</definedName>
    <definedName name="wrn.Graficos." localSheetId="19" hidden="1">{"Graf_Carga Trab",#N/A,FALSE,"Grafi_Carga Trab";"Graf_Venta Flujo",#N/A,FALSE,"Grafi_Carga Trab"}</definedName>
    <definedName name="wrn.Graficos." localSheetId="2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hjhj." localSheetId="18" hidden="1">{#N/A,#N/A,TRUE,"Costos_Subg_Hid"}</definedName>
    <definedName name="wrn.hjhj." localSheetId="8" hidden="1">{#N/A,#N/A,TRUE,"Costos_Subg_Hid"}</definedName>
    <definedName name="wrn.hjhj." localSheetId="19" hidden="1">{#N/A,#N/A,TRUE,"Costos_Subg_Hid"}</definedName>
    <definedName name="wrn.hjhj." localSheetId="20" hidden="1">{#N/A,#N/A,TRUE,"Costos_Subg_Hid"}</definedName>
    <definedName name="wrn.hjhj." hidden="1">{#N/A,#N/A,TRUE,"Costos_Subg_Hid"}</definedName>
    <definedName name="wrn.Impresión._.Versión." localSheetId="18" hidden="1">{"Gases Fugitivos",#N/A,TRUE,"Financiero";"Desarme",#N/A,TRUE,"Financiero";"Resumen Proyectos x Fase",#N/A,TRUE,"Financiero";"Resumen Total",#N/A,TRUE,"Financiero"}</definedName>
    <definedName name="wrn.Impresión._.Versión." localSheetId="8" hidden="1">{"Gases Fugitivos",#N/A,TRUE,"Financiero";"Desarme",#N/A,TRUE,"Financiero";"Resumen Proyectos x Fase",#N/A,TRUE,"Financiero";"Resumen Total",#N/A,TRUE,"Financiero"}</definedName>
    <definedName name="wrn.Impresión._.Versión." localSheetId="19" hidden="1">{"Gases Fugitivos",#N/A,TRUE,"Financiero";"Desarme",#N/A,TRUE,"Financiero";"Resumen Proyectos x Fase",#N/A,TRUE,"Financiero";"Resumen Total",#N/A,TRUE,"Financiero"}</definedName>
    <definedName name="wrn.Impresión._.Versión." localSheetId="20" hidden="1">{"Gases Fugitivos",#N/A,TRUE,"Financiero";"Desarme",#N/A,TRUE,"Financiero";"Resumen Proyectos x Fase",#N/A,TRUE,"Financiero";"Resumen Total",#N/A,TRUE,"Financiero"}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localSheetId="18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8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19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localSheetId="20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localSheetId="18" hidden="1">{"Tapa Informe",#N/A,FALSE,"Informe 1";"Informe Hoja1",#N/A,FALSE,"Informe 1";"Informe Hoja2",#N/A,FALSE,"Informe 1"}</definedName>
    <definedName name="wrn.Informe." localSheetId="8" hidden="1">{"Tapa Informe",#N/A,FALSE,"Informe 1";"Informe Hoja1",#N/A,FALSE,"Informe 1";"Informe Hoja2",#N/A,FALSE,"Informe 1"}</definedName>
    <definedName name="wrn.Informe." localSheetId="19" hidden="1">{"Tapa Informe",#N/A,FALSE,"Informe 1";"Informe Hoja1",#N/A,FALSE,"Informe 1";"Informe Hoja2",#N/A,FALSE,"Informe 1"}</definedName>
    <definedName name="wrn.Informe." localSheetId="20" hidden="1">{"Tapa Informe",#N/A,FALSE,"Informe 1";"Informe Hoja1",#N/A,FALSE,"Informe 1";"Informe Hoja2",#N/A,FALSE,"Informe 1"}</definedName>
    <definedName name="wrn.Informe." hidden="1">{"Tapa Informe",#N/A,FALSE,"Informe 1";"Informe Hoja1",#N/A,FALSE,"Informe 1";"Informe Hoja2",#N/A,FALSE,"Informe 1"}</definedName>
    <definedName name="wrn.Informe._.1." localSheetId="1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8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9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8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9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al._.Directorio._.DELSUR." localSheetId="18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al._.Directorio._.DELSUR." localSheetId="8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al._.Directorio._.DELSUR." localSheetId="19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al._.Directorio._.DELSUR." localSheetId="20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al._.Directorio._.DELSUR." hidden="1">{#N/A,#N/A,TRUE,"CARATULA";"Estado de Resultados",#N/A,TRUE,"balance y E-R ";"Balance General",#N/A,TRUE,"balance y E-R ";#N/A,#N/A,TRUE,"TEND_PRESUP_2001";"Analisis Comparativo",#N/A,TRUE,"COMPARATIVO";"Resultado Comparativo Mensual",#N/A,TRUE,"EST.RES.MENSUAL";"Resultado Comparativo Acumulado",#N/A,TRUE,"EST.RES.ACUMULADO";"Activo NIC",#N/A,TRUE,"balance y E-R NIC";"Pasivo NIC",#N/A,TRUE,"balance y E-R NIC";"Resultados NIC",#N/A,TRUE,"balance y E-R NIC";"Presupuesto USGAAP",#N/A,TRUE,"PRESUP_GAAP_2001";"Tendencia USGAAP",#N/A,TRUE,"PRESUPUESTO EN US$ DOLARES REAL";"Tendencia USGAAP",#N/A,TRUE,"PRESUPUESTO EN US$ DOLARES REAL"}</definedName>
    <definedName name="wrn.INFORME._.SEMANAL._.DE._.CONTRUCCION." localSheetId="18" hidden="1">{#N/A,#N/A,FALSE,"Data"}</definedName>
    <definedName name="wrn.INFORME._.SEMANAL._.DE._.CONTRUCCION." localSheetId="8" hidden="1">{#N/A,#N/A,FALSE,"Data"}</definedName>
    <definedName name="wrn.INFORME._.SEMANAL._.DE._.CONTRUCCION." localSheetId="19" hidden="1">{#N/A,#N/A,FALSE,"Data"}</definedName>
    <definedName name="wrn.INFORME._.SEMANAL._.DE._.CONTRUCCION." localSheetId="20" hidden="1">{#N/A,#N/A,FALSE,"Data"}</definedName>
    <definedName name="wrn.INFORME._.SEMANAL._.DE._.CONTRUCCION." hidden="1">{#N/A,#N/A,FALSE,"Data"}</definedName>
    <definedName name="wrn.INFORME_XPAND.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localSheetId="18" hidden="1">{"desarrollo",#N/A,FALSE,"LHD Camión";"eqdllo",#N/A,FALSE,"LHD Camión";"eqprod",#N/A,FALSE,"LHD Camión";"Resumen",#N/A,FALSE,"LHD Camión"}</definedName>
    <definedName name="wrn.LHDCAMION." localSheetId="8" hidden="1">{"desarrollo",#N/A,FALSE,"LHD Camión";"eqdllo",#N/A,FALSE,"LHD Camión";"eqprod",#N/A,FALSE,"LHD Camión";"Resumen",#N/A,FALSE,"LHD Camión"}</definedName>
    <definedName name="wrn.LHDCAMION." localSheetId="19" hidden="1">{"desarrollo",#N/A,FALSE,"LHD Camión";"eqdllo",#N/A,FALSE,"LHD Camión";"eqprod",#N/A,FALSE,"LHD Camión";"Resumen",#N/A,FALSE,"LHD Camión"}</definedName>
    <definedName name="wrn.LHDCAMION." localSheetId="2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18" hidden="1">{#N/A,#N/A,FALSE,"Lista Eq.yMaq."}</definedName>
    <definedName name="wrn.Lista._.Eq.yMaq.." localSheetId="8" hidden="1">{#N/A,#N/A,FALSE,"Lista Eq.yMaq."}</definedName>
    <definedName name="wrn.Lista._.Eq.yMaq.." localSheetId="19" hidden="1">{#N/A,#N/A,FALSE,"Lista Eq.yMaq."}</definedName>
    <definedName name="wrn.Lista._.Eq.yMaq.." localSheetId="20" hidden="1">{#N/A,#N/A,FALSE,"Lista Eq.yMaq."}</definedName>
    <definedName name="wrn.Lista._.Eq.yMaq.." hidden="1">{#N/A,#N/A,FALSE,"Lista Eq.yMaq."}</definedName>
    <definedName name="wrn.LISTADO." localSheetId="18" hidden="1">{"Práctica","Práctica",FALSE,"Práctica"}</definedName>
    <definedName name="wrn.LISTADO." localSheetId="8" hidden="1">{"Práctica","Práctica",FALSE,"Práctica"}</definedName>
    <definedName name="wrn.LISTADO." localSheetId="19" hidden="1">{"Práctica","Práctica",FALSE,"Práctica"}</definedName>
    <definedName name="wrn.LISTADO." localSheetId="20" hidden="1">{"Práctica","Práctica",FALSE,"Práctica"}</definedName>
    <definedName name="wrn.LISTADO." hidden="1">{"Práctica","Práctica",FALSE,"Práctica"}</definedName>
    <definedName name="wrn.MO." localSheetId="18" hidden="1">{"MO(BASE)",#N/A,FALSE,"MO(BASE)";"MO(BASE)1",#N/A,FALSE,"MO(BASE)";"MO(BASE)2",#N/A,FALSE,"MO(BASE)"}</definedName>
    <definedName name="wrn.MO." localSheetId="8" hidden="1">{"MO(BASE)",#N/A,FALSE,"MO(BASE)";"MO(BASE)1",#N/A,FALSE,"MO(BASE)";"MO(BASE)2",#N/A,FALSE,"MO(BASE)"}</definedName>
    <definedName name="wrn.MO." localSheetId="19" hidden="1">{"MO(BASE)",#N/A,FALSE,"MO(BASE)";"MO(BASE)1",#N/A,FALSE,"MO(BASE)";"MO(BASE)2",#N/A,FALSE,"MO(BASE)"}</definedName>
    <definedName name="wrn.MO." localSheetId="2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op1." localSheetId="1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8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9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8" hidden="1">{"cuadro1",#N/A,FALSE,"Buzon Camion Opción 3";"cuadro2",#N/A,FALSE,"Buzon Camion Opción 3";"cuadro3",#N/A,FALSE,"Buzon Camion Opción 3";"cuadro4",#N/A,FALSE,"Buzon Camion Opción 3"}</definedName>
    <definedName name="wrn.op2" localSheetId="8" hidden="1">{"cuadro1",#N/A,FALSE,"Buzon Camion Opción 3";"cuadro2",#N/A,FALSE,"Buzon Camion Opción 3";"cuadro3",#N/A,FALSE,"Buzon Camion Opción 3";"cuadro4",#N/A,FALSE,"Buzon Camion Opción 3"}</definedName>
    <definedName name="wrn.op2" localSheetId="19" hidden="1">{"cuadro1",#N/A,FALSE,"Buzon Camion Opción 3";"cuadro2",#N/A,FALSE,"Buzon Camion Opción 3";"cuadro3",#N/A,FALSE,"Buzon Camion Opción 3";"cuadro4",#N/A,FALSE,"Buzon Camion Opción 3"}</definedName>
    <definedName name="wrn.op2" localSheetId="2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8" hidden="1">{"cuadro1",#N/A,FALSE,"LHD CAMION Opción 2";"cuadro2",#N/A,FALSE,"LHD CAMION Opción 2";"cuadro3",#N/A,FALSE,"LHD CAMION Opción 2";"cuadro4",#N/A,FALSE,"LHD CAMION Opción 2"}</definedName>
    <definedName name="wrn.op2." localSheetId="8" hidden="1">{"cuadro1",#N/A,FALSE,"LHD CAMION Opción 2";"cuadro2",#N/A,FALSE,"LHD CAMION Opción 2";"cuadro3",#N/A,FALSE,"LHD CAMION Opción 2";"cuadro4",#N/A,FALSE,"LHD CAMION Opción 2"}</definedName>
    <definedName name="wrn.op2." localSheetId="19" hidden="1">{"cuadro1",#N/A,FALSE,"LHD CAMION Opción 2";"cuadro2",#N/A,FALSE,"LHD CAMION Opción 2";"cuadro3",#N/A,FALSE,"LHD CAMION Opción 2";"cuadro4",#N/A,FALSE,"LHD CAMION Opción 2"}</definedName>
    <definedName name="wrn.op2." localSheetId="2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localSheetId="18" hidden="1">{"cuadro1",#N/A,FALSE,"Buzon Camion Opción 3";"cuadro2",#N/A,FALSE,"Buzon Camion Opción 3";"cuadro3",#N/A,FALSE,"Buzon Camion Opción 3";"cuadro4",#N/A,FALSE,"Buzon Camion Opción 3"}</definedName>
    <definedName name="wrn.op3." localSheetId="8" hidden="1">{"cuadro1",#N/A,FALSE,"Buzon Camion Opción 3";"cuadro2",#N/A,FALSE,"Buzon Camion Opción 3";"cuadro3",#N/A,FALSE,"Buzon Camion Opción 3";"cuadro4",#N/A,FALSE,"Buzon Camion Opción 3"}</definedName>
    <definedName name="wrn.op3." localSheetId="19" hidden="1">{"cuadro1",#N/A,FALSE,"Buzon Camion Opción 3";"cuadro2",#N/A,FALSE,"Buzon Camion Opción 3";"cuadro3",#N/A,FALSE,"Buzon Camion Opción 3";"cuadro4",#N/A,FALSE,"Buzon Camion Opción 3"}</definedName>
    <definedName name="wrn.op3." localSheetId="2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localSheetId="18" hidden="1">{"cuadro1",#N/A,FALSE,"Buzon FFCC Opción 4";"cuadro2",#N/A,FALSE,"Buzon FFCC Opción 4";"cuadro3",#N/A,FALSE,"Buzon FFCC Opción 4";"cuadro4",#N/A,FALSE,"Buzon FFCC Opción 4"}</definedName>
    <definedName name="wrn.op4." localSheetId="8" hidden="1">{"cuadro1",#N/A,FALSE,"Buzon FFCC Opción 4";"cuadro2",#N/A,FALSE,"Buzon FFCC Opción 4";"cuadro3",#N/A,FALSE,"Buzon FFCC Opción 4";"cuadro4",#N/A,FALSE,"Buzon FFCC Opción 4"}</definedName>
    <definedName name="wrn.op4." localSheetId="19" hidden="1">{"cuadro1",#N/A,FALSE,"Buzon FFCC Opción 4";"cuadro2",#N/A,FALSE,"Buzon FFCC Opción 4";"cuadro3",#N/A,FALSE,"Buzon FFCC Opción 4";"cuadro4",#N/A,FALSE,"Buzon FFCC Opción 4"}</definedName>
    <definedName name="wrn.op4." localSheetId="2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localSheetId="18" hidden="1">{"cuadro1",#N/A,FALSE,"Camara buz ffcc Opción 5";"cuadro2",#N/A,FALSE,"Camara buz ffcc Opción 5";"cuadro3",#N/A,FALSE,"Camara buz ffcc Opción 5";"cuadro4",#N/A,FALSE,"Camara buz ffcc Opción 5"}</definedName>
    <definedName name="wrn.op5." localSheetId="8" hidden="1">{"cuadro1",#N/A,FALSE,"Camara buz ffcc Opción 5";"cuadro2",#N/A,FALSE,"Camara buz ffcc Opción 5";"cuadro3",#N/A,FALSE,"Camara buz ffcc Opción 5";"cuadro4",#N/A,FALSE,"Camara buz ffcc Opción 5"}</definedName>
    <definedName name="wrn.op5." localSheetId="19" hidden="1">{"cuadro1",#N/A,FALSE,"Camara buz ffcc Opción 5";"cuadro2",#N/A,FALSE,"Camara buz ffcc Opción 5";"cuadro3",#N/A,FALSE,"Camara buz ffcc Opción 5";"cuadro4",#N/A,FALSE,"Camara buz ffcc Opción 5"}</definedName>
    <definedName name="wrn.op5." localSheetId="2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endientes." localSheetId="18" hidden="1">{#N/A,#N/A,FALSE,"PEND INC";#N/A,#N/A,FALSE,"PEND MINM"}</definedName>
    <definedName name="wrn.pendientes." localSheetId="8" hidden="1">{#N/A,#N/A,FALSE,"PEND INC";#N/A,#N/A,FALSE,"PEND MINM"}</definedName>
    <definedName name="wrn.pendientes." localSheetId="19" hidden="1">{#N/A,#N/A,FALSE,"PEND INC";#N/A,#N/A,FALSE,"PEND MINM"}</definedName>
    <definedName name="wrn.pendientes." localSheetId="20" hidden="1">{#N/A,#N/A,FALSE,"PEND INC";#N/A,#N/A,FALSE,"PEND MINM"}</definedName>
    <definedName name="wrn.pendientes." hidden="1">{#N/A,#N/A,FALSE,"PEND INC";#N/A,#N/A,FALSE,"PEND MINM"}</definedName>
    <definedName name="wrn.Print._.Base._.Case._.Statements.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F5nction";"Cost Base",#N/A,FALSE,"Cost Table";"Book Base",#N/A,FALSE,"Book Depreciation";"Mine Plan Base Case",#N/A,FALSE,"Mine Plan";"Unit Costs",#N/A,FALSE,"Timing &amp; Assumptions"}</definedName>
    <definedName name="wrn.print1." localSheetId="18" hidden="1">{#N/A,#N/A,TRUE,"Est. de Fact.";#N/A,#N/A,TRUE,"Capitulo 19";#N/A,#N/A,TRUE,"Proyecto P855"}</definedName>
    <definedName name="wrn.print1." localSheetId="8" hidden="1">{#N/A,#N/A,TRUE,"Est. de Fact.";#N/A,#N/A,TRUE,"Capitulo 19";#N/A,#N/A,TRUE,"Proyecto P855"}</definedName>
    <definedName name="wrn.print1." localSheetId="19" hidden="1">{#N/A,#N/A,TRUE,"Est. de Fact.";#N/A,#N/A,TRUE,"Capitulo 19";#N/A,#N/A,TRUE,"Proyecto P855"}</definedName>
    <definedName name="wrn.print1." localSheetId="2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BAS." localSheetId="1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8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9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9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SUPERIOR." localSheetId="18" hidden="1">{#N/A,#N/A,FALSE,"Tapa";#N/A,#N/A,FALSE,"F006";#N/A,#N/A,FALSE,"F012";#N/A,#N/A,FALSE,"F013";#N/A,#N/A,FALSE,"F015";#N/A,#N/A,FALSE,"F020"}</definedName>
    <definedName name="wrn.SUPERIOR." localSheetId="8" hidden="1">{#N/A,#N/A,FALSE,"Tapa";#N/A,#N/A,FALSE,"F006";#N/A,#N/A,FALSE,"F012";#N/A,#N/A,FALSE,"F013";#N/A,#N/A,FALSE,"F015";#N/A,#N/A,FALSE,"F020"}</definedName>
    <definedName name="wrn.SUPERIOR." localSheetId="19" hidden="1">{#N/A,#N/A,FALSE,"Tapa";#N/A,#N/A,FALSE,"F006";#N/A,#N/A,FALSE,"F012";#N/A,#N/A,FALSE,"F013";#N/A,#N/A,FALSE,"F015";#N/A,#N/A,FALSE,"F020"}</definedName>
    <definedName name="wrn.SUPERIOR." localSheetId="20" hidden="1">{#N/A,#N/A,FALSE,"Tapa";#N/A,#N/A,FALSE,"F006";#N/A,#N/A,FALSE,"F012";#N/A,#N/A,FALSE,"F013";#N/A,#N/A,FALSE,"F015";#N/A,#N/A,FALSE,"F020"}</definedName>
    <definedName name="wrn.SUPERIOR." hidden="1">{#N/A,#N/A,FALSE,"Tapa";#N/A,#N/A,FALSE,"F006";#N/A,#N/A,FALSE,"F012";#N/A,#N/A,FALSE,"F013";#N/A,#N/A,FALSE,"F015";#N/A,#N/A,FALSE,"F020"}</definedName>
    <definedName name="wrn.Una._.Hoja." localSheetId="18" hidden="1">{"Sin detalle",#N/A,FALSE,"Flujo (redondeado)"}</definedName>
    <definedName name="wrn.Una._.Hoja." localSheetId="8" hidden="1">{"Sin detalle",#N/A,FALSE,"Flujo (redondeado)"}</definedName>
    <definedName name="wrn.Una._.Hoja." localSheetId="19" hidden="1">{"Sin detalle",#N/A,FALSE,"Flujo (redondeado)"}</definedName>
    <definedName name="wrn.Una._.Hoja." localSheetId="20" hidden="1">{"Sin detalle",#N/A,FALSE,"Flujo (redondeado)"}</definedName>
    <definedName name="wrn.Una._.Hoja." hidden="1">{"Sin detalle",#N/A,FALSE,"Flujo (redondeado)"}</definedName>
    <definedName name="wrn.unidades." localSheetId="1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8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9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w" localSheetId="1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8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9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localSheetId="18" hidden="1">{#N/A,#N/A,FALSE,"Costos_Elem_Hid";#N/A,#N/A,FALSE,"Costos_Elem_Hid";#N/A,#N/A,FALSE,"Costos_Elem_Hid"}</definedName>
    <definedName name="wwww" localSheetId="8" hidden="1">{#N/A,#N/A,FALSE,"Costos_Elem_Hid";#N/A,#N/A,FALSE,"Costos_Elem_Hid";#N/A,#N/A,FALSE,"Costos_Elem_Hid"}</definedName>
    <definedName name="wwww" localSheetId="19" hidden="1">{#N/A,#N/A,FALSE,"Costos_Elem_Hid";#N/A,#N/A,FALSE,"Costos_Elem_Hid";#N/A,#N/A,FALSE,"Costos_Elem_Hid"}</definedName>
    <definedName name="wwww" localSheetId="20" hidden="1">{#N/A,#N/A,FALSE,"Costos_Elem_Hid";#N/A,#N/A,FALSE,"Costos_Elem_Hid";#N/A,#N/A,FALSE,"Costos_Elem_Hid"}</definedName>
    <definedName name="wwww" hidden="1">{#N/A,#N/A,FALSE,"Costos_Elem_Hid";#N/A,#N/A,FALSE,"Costos_Elem_Hid";#N/A,#N/A,FALSE,"Costos_Elem_Hid"}</definedName>
    <definedName name="wwwww" localSheetId="18" hidden="1">{"Sin detalle",#N/A,FALSE,"Flujo (redondeado)";"Detallado",#N/A,FALSE,"Flujo (redondeado)"}</definedName>
    <definedName name="wwwww" localSheetId="8" hidden="1">{"Sin detalle",#N/A,FALSE,"Flujo (redondeado)";"Detallado",#N/A,FALSE,"Flujo (redondeado)"}</definedName>
    <definedName name="wwwww" localSheetId="19" hidden="1">{"Sin detalle",#N/A,FALSE,"Flujo (redondeado)";"Detallado",#N/A,FALSE,"Flujo (redondeado)"}</definedName>
    <definedName name="wwwww" localSheetId="20" hidden="1">{"Sin detalle",#N/A,FALSE,"Flujo (redondeado)";"Detallado",#N/A,FALSE,"Flujo (redondeado)"}</definedName>
    <definedName name="wwwww" hidden="1">{"Sin detalle",#N/A,FALSE,"Flujo (redondeado)";"Detallado",#N/A,FALSE,"Flujo (redondeado)"}</definedName>
    <definedName name="xcv" localSheetId="18" hidden="1">{#N/A,#N/A,FALSE,"Costos_Elem_Hid";#N/A,#N/A,FALSE,"Costos_Elem_Hid";#N/A,#N/A,FALSE,"Costos_Elem_Hid"}</definedName>
    <definedName name="xcv" localSheetId="8" hidden="1">{#N/A,#N/A,FALSE,"Costos_Elem_Hid";#N/A,#N/A,FALSE,"Costos_Elem_Hid";#N/A,#N/A,FALSE,"Costos_Elem_Hid"}</definedName>
    <definedName name="xcv" localSheetId="19" hidden="1">{#N/A,#N/A,FALSE,"Costos_Elem_Hid";#N/A,#N/A,FALSE,"Costos_Elem_Hid";#N/A,#N/A,FALSE,"Costos_Elem_Hid"}</definedName>
    <definedName name="xcv" localSheetId="20" hidden="1">{#N/A,#N/A,FALSE,"Costos_Elem_Hid";#N/A,#N/A,FALSE,"Costos_Elem_Hid";#N/A,#N/A,FALSE,"Costos_Elem_Hid"}</definedName>
    <definedName name="xcv" hidden="1">{#N/A,#N/A,FALSE,"Costos_Elem_Hid";#N/A,#N/A,FALSE,"Costos_Elem_Hid";#N/A,#N/A,FALSE,"Costos_Elem_Hid"}</definedName>
    <definedName name="XDRTHR" localSheetId="1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8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9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b" localSheetId="18" hidden="1">{#N/A,#N/A,FALSE,"Costos_Elem_Hid";#N/A,#N/A,FALSE,"Costos_Elem_Hid";#N/A,#N/A,FALSE,"Costos_Elem_Hid"}</definedName>
    <definedName name="xxxb" localSheetId="8" hidden="1">{#N/A,#N/A,FALSE,"Costos_Elem_Hid";#N/A,#N/A,FALSE,"Costos_Elem_Hid";#N/A,#N/A,FALSE,"Costos_Elem_Hid"}</definedName>
    <definedName name="xxxb" localSheetId="19" hidden="1">{#N/A,#N/A,FALSE,"Costos_Elem_Hid";#N/A,#N/A,FALSE,"Costos_Elem_Hid";#N/A,#N/A,FALSE,"Costos_Elem_Hid"}</definedName>
    <definedName name="xxxb" localSheetId="20" hidden="1">{#N/A,#N/A,FALSE,"Costos_Elem_Hid";#N/A,#N/A,FALSE,"Costos_Elem_Hid";#N/A,#N/A,FALSE,"Costos_Elem_Hid"}</definedName>
    <definedName name="xxxb" hidden="1">{#N/A,#N/A,FALSE,"Costos_Elem_Hid";#N/A,#N/A,FALSE,"Costos_Elem_Hid";#N/A,#N/A,FALSE,"Costos_Elem_Hid"}</definedName>
    <definedName name="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Y" localSheetId="18" hidden="1">{"MO(BASE)",#N/A,FALSE,"MO(BASE)";"MO(BASE)1",#N/A,FALSE,"MO(BASE)";"MO(BASE)2",#N/A,FALSE,"MO(BASE)"}</definedName>
    <definedName name="Y" localSheetId="8" hidden="1">{"MO(BASE)",#N/A,FALSE,"MO(BASE)";"MO(BASE)1",#N/A,FALSE,"MO(BASE)";"MO(BASE)2",#N/A,FALSE,"MO(BASE)"}</definedName>
    <definedName name="Y" localSheetId="19" hidden="1">{"MO(BASE)",#N/A,FALSE,"MO(BASE)";"MO(BASE)1",#N/A,FALSE,"MO(BASE)";"MO(BASE)2",#N/A,FALSE,"MO(BASE)"}</definedName>
    <definedName name="Y" localSheetId="20" hidden="1">{"MO(BASE)",#N/A,FALSE,"MO(BASE)";"MO(BASE)1",#N/A,FALSE,"MO(BASE)";"MO(BASE)2",#N/A,FALSE,"MO(BASE)"}</definedName>
    <definedName name="Y" hidden="1">{"MO(BASE)",#N/A,FALSE,"MO(BASE)";"MO(BASE)1",#N/A,FALSE,"MO(BASE)";"MO(BASE)2",#N/A,FALSE,"MO(BASE)"}</definedName>
    <definedName name="yyyyy" localSheetId="18" hidden="1">{#N/A,#N/A,FALSE,"Costos_Elem_Hid";#N/A,#N/A,FALSE,"Costos_Elem_Hid";#N/A,#N/A,FALSE,"Costos_Elem_Hid"}</definedName>
    <definedName name="yyyyy" localSheetId="8" hidden="1">{#N/A,#N/A,FALSE,"Costos_Elem_Hid";#N/A,#N/A,FALSE,"Costos_Elem_Hid";#N/A,#N/A,FALSE,"Costos_Elem_Hid"}</definedName>
    <definedName name="yyyyy" localSheetId="19" hidden="1">{#N/A,#N/A,FALSE,"Costos_Elem_Hid";#N/A,#N/A,FALSE,"Costos_Elem_Hid";#N/A,#N/A,FALSE,"Costos_Elem_Hid"}</definedName>
    <definedName name="yyyyy" localSheetId="20" hidden="1">{#N/A,#N/A,FALSE,"Costos_Elem_Hid";#N/A,#N/A,FALSE,"Costos_Elem_Hid";#N/A,#N/A,FALSE,"Costos_Elem_Hid"}</definedName>
    <definedName name="yyyyy" hidden="1">{#N/A,#N/A,FALSE,"Costos_Elem_Hid";#N/A,#N/A,FALSE,"Costos_Elem_Hid";#N/A,#N/A,FALSE,"Costos_Elem_Hid"}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D" localSheetId="18" hidden="1">{"Sin detalle",#N/A,FALSE,"Flujo (redondeado)";"Detallado",#N/A,FALSE,"Flujo (redondeado)"}</definedName>
    <definedName name="ZD" localSheetId="8" hidden="1">{"Sin detalle",#N/A,FALSE,"Flujo (redondeado)";"Detallado",#N/A,FALSE,"Flujo (redondeado)"}</definedName>
    <definedName name="ZD" localSheetId="19" hidden="1">{"Sin detalle",#N/A,FALSE,"Flujo (redondeado)";"Detallado",#N/A,FALSE,"Flujo (redondeado)"}</definedName>
    <definedName name="ZD" localSheetId="2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xc" localSheetId="18" hidden="1">{#N/A,#N/A,TRUE,"Costos_Subg_Hid"}</definedName>
    <definedName name="zxc" localSheetId="8" hidden="1">{#N/A,#N/A,TRUE,"Costos_Subg_Hid"}</definedName>
    <definedName name="zxc" localSheetId="19" hidden="1">{#N/A,#N/A,TRUE,"Costos_Subg_Hid"}</definedName>
    <definedName name="zxc" localSheetId="20" hidden="1">{#N/A,#N/A,TRUE,"Costos_Subg_Hid"}</definedName>
    <definedName name="zxc" hidden="1">{#N/A,#N/A,TRUE,"Costos_Subg_Hid"}</definedName>
    <definedName name="zz" localSheetId="1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8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19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localSheetId="2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z" localSheetId="1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8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9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5" l="1"/>
  <c r="AJ24" i="5"/>
  <c r="AM24" i="5" s="1"/>
  <c r="AI24" i="5"/>
  <c r="K24" i="5"/>
  <c r="K12" i="5"/>
  <c r="K8" i="5" l="1"/>
  <c r="AL23" i="5"/>
  <c r="AJ23" i="5"/>
  <c r="AM23" i="5" s="1"/>
  <c r="AI23" i="5"/>
  <c r="K23" i="5"/>
  <c r="M36" i="21" l="1"/>
  <c r="M10" i="21"/>
  <c r="M11" i="21"/>
  <c r="M13" i="21"/>
  <c r="M14" i="21"/>
  <c r="M15" i="21"/>
  <c r="M16" i="21"/>
  <c r="M17" i="21"/>
  <c r="M18" i="21"/>
  <c r="M19" i="21"/>
  <c r="M21" i="21"/>
  <c r="M22" i="21"/>
  <c r="M23" i="21"/>
  <c r="M24" i="21"/>
  <c r="M25" i="21"/>
  <c r="M26" i="21"/>
  <c r="M27" i="21"/>
  <c r="M28" i="21"/>
  <c r="M29" i="21"/>
  <c r="M30" i="21"/>
  <c r="M32" i="21"/>
  <c r="M33" i="21"/>
  <c r="M34" i="21"/>
  <c r="M35" i="21"/>
  <c r="M9" i="21"/>
  <c r="K36" i="21"/>
  <c r="O52" i="3" l="1"/>
  <c r="O48" i="3"/>
  <c r="O50" i="3"/>
  <c r="O49" i="3"/>
  <c r="L14" i="10"/>
  <c r="L15" i="10"/>
  <c r="L16" i="10"/>
  <c r="L17" i="10"/>
  <c r="K14" i="10"/>
  <c r="K15" i="10"/>
  <c r="K16" i="10"/>
  <c r="K17" i="10"/>
  <c r="H14" i="10"/>
  <c r="H15" i="10"/>
  <c r="H16" i="10"/>
  <c r="H17" i="10"/>
  <c r="K16" i="5"/>
  <c r="AL22" i="5"/>
  <c r="AJ22" i="5"/>
  <c r="AM22" i="5" s="1"/>
  <c r="AI22" i="5"/>
  <c r="K22" i="5"/>
  <c r="AL16" i="5"/>
  <c r="AJ16" i="5"/>
  <c r="AI16" i="5"/>
  <c r="K14" i="5"/>
  <c r="AC33" i="20"/>
  <c r="AK30" i="20"/>
  <c r="AJ30" i="20"/>
  <c r="AI30" i="20"/>
  <c r="AD30" i="20"/>
  <c r="AK29" i="20"/>
  <c r="AJ29" i="20"/>
  <c r="AI29" i="20"/>
  <c r="AJ28" i="20"/>
  <c r="AK28" i="20" s="1"/>
  <c r="AI28" i="20"/>
  <c r="AK27" i="20"/>
  <c r="AJ27" i="20"/>
  <c r="AI27" i="20"/>
  <c r="AJ26" i="20"/>
  <c r="AK26" i="20" s="1"/>
  <c r="AI26" i="20"/>
  <c r="AK25" i="20"/>
  <c r="AJ25" i="20"/>
  <c r="AI25" i="20"/>
  <c r="AK24" i="20"/>
  <c r="AJ24" i="20"/>
  <c r="AI24" i="20"/>
  <c r="AK23" i="20"/>
  <c r="AJ23" i="20"/>
  <c r="AI23" i="20"/>
  <c r="AK22" i="20"/>
  <c r="AJ22" i="20"/>
  <c r="AI22" i="20"/>
  <c r="AK21" i="20"/>
  <c r="AJ21" i="20"/>
  <c r="AI21" i="20"/>
  <c r="AK20" i="20"/>
  <c r="AJ20" i="20"/>
  <c r="AI20" i="20"/>
  <c r="AK19" i="20"/>
  <c r="AJ19" i="20"/>
  <c r="AI19" i="20"/>
  <c r="AK18" i="20"/>
  <c r="AJ18" i="20"/>
  <c r="AI18" i="20"/>
  <c r="AK17" i="20"/>
  <c r="AJ17" i="20"/>
  <c r="AI17" i="20"/>
  <c r="AI16" i="20"/>
  <c r="AJ16" i="20" s="1"/>
  <c r="AI15" i="20"/>
  <c r="AJ15" i="20" s="1"/>
  <c r="AI14" i="20"/>
  <c r="AJ14" i="20" s="1"/>
  <c r="AK14" i="20" s="1"/>
  <c r="AI13" i="20"/>
  <c r="AJ13" i="20" s="1"/>
  <c r="AK13" i="20" s="1"/>
  <c r="AI11" i="20"/>
  <c r="AJ11" i="20" s="1"/>
  <c r="AD11" i="20" s="1"/>
  <c r="AJ10" i="20"/>
  <c r="AK10" i="20" s="1"/>
  <c r="AI10" i="20"/>
  <c r="AD10" i="20"/>
  <c r="AI9" i="20"/>
  <c r="AJ9" i="20" s="1"/>
  <c r="AJ8" i="20"/>
  <c r="AD8" i="20" s="1"/>
  <c r="AI8" i="20"/>
  <c r="AI7" i="20"/>
  <c r="AJ7" i="20" s="1"/>
  <c r="AI6" i="20"/>
  <c r="AJ6" i="20" s="1"/>
  <c r="AI5" i="20"/>
  <c r="AJ5" i="20" s="1"/>
  <c r="AD5" i="20" s="1"/>
  <c r="AI4" i="20"/>
  <c r="AJ4" i="20" s="1"/>
  <c r="M48" i="19"/>
  <c r="G48" i="19"/>
  <c r="N48" i="19" s="1"/>
  <c r="O48" i="19" s="1"/>
  <c r="N47" i="19"/>
  <c r="O47" i="19" s="1"/>
  <c r="M47" i="19"/>
  <c r="G47" i="19"/>
  <c r="M46" i="19"/>
  <c r="G46" i="19"/>
  <c r="N46" i="19" s="1"/>
  <c r="O46" i="19" s="1"/>
  <c r="M45" i="19"/>
  <c r="G45" i="19"/>
  <c r="N45" i="19" s="1"/>
  <c r="O45" i="19" s="1"/>
  <c r="N44" i="19"/>
  <c r="O44" i="19" s="1"/>
  <c r="M44" i="19"/>
  <c r="G44" i="19"/>
  <c r="M43" i="19"/>
  <c r="G43" i="19"/>
  <c r="N43" i="19" s="1"/>
  <c r="O43" i="19" s="1"/>
  <c r="M42" i="19"/>
  <c r="G42" i="19"/>
  <c r="N42" i="19" s="1"/>
  <c r="O42" i="19" s="1"/>
  <c r="N41" i="19"/>
  <c r="O41" i="19" s="1"/>
  <c r="M41" i="19"/>
  <c r="G41" i="19"/>
  <c r="M40" i="19"/>
  <c r="G40" i="19"/>
  <c r="N40" i="19" s="1"/>
  <c r="O40" i="19" s="1"/>
  <c r="M39" i="19"/>
  <c r="G39" i="19"/>
  <c r="N39" i="19" s="1"/>
  <c r="O39" i="19" s="1"/>
  <c r="N38" i="19"/>
  <c r="O38" i="19" s="1"/>
  <c r="M38" i="19"/>
  <c r="G38" i="19"/>
  <c r="M37" i="19"/>
  <c r="G37" i="19"/>
  <c r="N37" i="19" s="1"/>
  <c r="O37" i="19" s="1"/>
  <c r="M36" i="19"/>
  <c r="G36" i="19"/>
  <c r="N36" i="19" s="1"/>
  <c r="O36" i="19" s="1"/>
  <c r="N35" i="19"/>
  <c r="O35" i="19" s="1"/>
  <c r="M35" i="19"/>
  <c r="G35" i="19"/>
  <c r="M34" i="19"/>
  <c r="G34" i="19"/>
  <c r="N34" i="19" s="1"/>
  <c r="O34" i="19" s="1"/>
  <c r="M33" i="19"/>
  <c r="G33" i="19"/>
  <c r="N33" i="19" s="1"/>
  <c r="O33" i="19" s="1"/>
  <c r="N32" i="19"/>
  <c r="O32" i="19" s="1"/>
  <c r="M32" i="19"/>
  <c r="G32" i="19"/>
  <c r="M31" i="19"/>
  <c r="G31" i="19"/>
  <c r="N31" i="19" s="1"/>
  <c r="O31" i="19" s="1"/>
  <c r="M30" i="19"/>
  <c r="G30" i="19"/>
  <c r="N30" i="19" s="1"/>
  <c r="O30" i="19" s="1"/>
  <c r="N29" i="19"/>
  <c r="O29" i="19" s="1"/>
  <c r="M29" i="19"/>
  <c r="G29" i="19"/>
  <c r="M28" i="19"/>
  <c r="G28" i="19"/>
  <c r="N28" i="19" s="1"/>
  <c r="O28" i="19" s="1"/>
  <c r="M27" i="19"/>
  <c r="G27" i="19"/>
  <c r="N27" i="19" s="1"/>
  <c r="O27" i="19" s="1"/>
  <c r="N26" i="19"/>
  <c r="O26" i="19" s="1"/>
  <c r="M26" i="19"/>
  <c r="G26" i="19"/>
  <c r="M25" i="19"/>
  <c r="G25" i="19"/>
  <c r="N25" i="19" s="1"/>
  <c r="O25" i="19" s="1"/>
  <c r="M24" i="19"/>
  <c r="G24" i="19"/>
  <c r="N24" i="19" s="1"/>
  <c r="O24" i="19" s="1"/>
  <c r="N23" i="19"/>
  <c r="O23" i="19" s="1"/>
  <c r="M23" i="19"/>
  <c r="G23" i="19"/>
  <c r="M22" i="19"/>
  <c r="G22" i="19"/>
  <c r="N22" i="19" s="1"/>
  <c r="O22" i="19" s="1"/>
  <c r="M21" i="19"/>
  <c r="G21" i="19"/>
  <c r="N21" i="19" s="1"/>
  <c r="O21" i="19" s="1"/>
  <c r="N20" i="19"/>
  <c r="O20" i="19" s="1"/>
  <c r="M20" i="19"/>
  <c r="G20" i="19"/>
  <c r="M19" i="19"/>
  <c r="G19" i="19"/>
  <c r="N19" i="19" s="1"/>
  <c r="O19" i="19" s="1"/>
  <c r="M18" i="19"/>
  <c r="G18" i="19"/>
  <c r="N18" i="19" s="1"/>
  <c r="O18" i="19" s="1"/>
  <c r="C18" i="19"/>
  <c r="M17" i="19"/>
  <c r="N17" i="19" s="1"/>
  <c r="O17" i="19" s="1"/>
  <c r="G17" i="19"/>
  <c r="C17" i="19"/>
  <c r="M16" i="19"/>
  <c r="G16" i="19"/>
  <c r="N16" i="19" s="1"/>
  <c r="O16" i="19" s="1"/>
  <c r="C16" i="19"/>
  <c r="M15" i="19"/>
  <c r="G15" i="19"/>
  <c r="N15" i="19" s="1"/>
  <c r="O15" i="19" s="1"/>
  <c r="C15" i="19"/>
  <c r="M14" i="19"/>
  <c r="G14" i="19"/>
  <c r="N14" i="19" s="1"/>
  <c r="O14" i="19" s="1"/>
  <c r="C14" i="19"/>
  <c r="M13" i="19"/>
  <c r="N13" i="19" s="1"/>
  <c r="O13" i="19" s="1"/>
  <c r="G13" i="19"/>
  <c r="C13" i="19"/>
  <c r="N12" i="19"/>
  <c r="O12" i="19" s="1"/>
  <c r="M12" i="19"/>
  <c r="G12" i="19"/>
  <c r="C12" i="19"/>
  <c r="M11" i="19"/>
  <c r="G11" i="19"/>
  <c r="N11" i="19" s="1"/>
  <c r="O11" i="19" s="1"/>
  <c r="C11" i="19"/>
  <c r="N10" i="19"/>
  <c r="O10" i="19" s="1"/>
  <c r="M10" i="19"/>
  <c r="G10" i="19"/>
  <c r="C10" i="19"/>
  <c r="N9" i="19"/>
  <c r="O9" i="19" s="1"/>
  <c r="M9" i="19"/>
  <c r="G9" i="19"/>
  <c r="C9" i="19"/>
  <c r="N8" i="19"/>
  <c r="O8" i="19" s="1"/>
  <c r="M8" i="19"/>
  <c r="G8" i="19"/>
  <c r="C8" i="19"/>
  <c r="M7" i="19"/>
  <c r="G7" i="19"/>
  <c r="N7" i="19" s="1"/>
  <c r="O7" i="19" s="1"/>
  <c r="C7" i="19"/>
  <c r="M6" i="19"/>
  <c r="G6" i="19"/>
  <c r="N6" i="19" s="1"/>
  <c r="O6" i="19" s="1"/>
  <c r="C6" i="19"/>
  <c r="M5" i="19"/>
  <c r="N5" i="19" s="1"/>
  <c r="O5" i="19" s="1"/>
  <c r="G5" i="19"/>
  <c r="C5" i="19"/>
  <c r="M4" i="19"/>
  <c r="G4" i="19"/>
  <c r="N4" i="19" s="1"/>
  <c r="O4" i="19" s="1"/>
  <c r="C4" i="19"/>
  <c r="M3" i="19"/>
  <c r="G3" i="19"/>
  <c r="N3" i="19" s="1"/>
  <c r="O3" i="19" s="1"/>
  <c r="C3" i="19"/>
  <c r="M2" i="19"/>
  <c r="G2" i="19"/>
  <c r="N2" i="19" s="1"/>
  <c r="O2" i="19" s="1"/>
  <c r="C2" i="19"/>
  <c r="K18" i="18"/>
  <c r="M17" i="18"/>
  <c r="L17" i="18"/>
  <c r="N16" i="18"/>
  <c r="M16" i="18"/>
  <c r="L16" i="18"/>
  <c r="N15" i="18"/>
  <c r="M15" i="18"/>
  <c r="L15" i="18"/>
  <c r="M14" i="18"/>
  <c r="N14" i="18" s="1"/>
  <c r="L14" i="18"/>
  <c r="M13" i="18"/>
  <c r="N13" i="18" s="1"/>
  <c r="L13" i="18"/>
  <c r="L12" i="18"/>
  <c r="L11" i="18"/>
  <c r="M11" i="18" s="1"/>
  <c r="N11" i="18" s="1"/>
  <c r="M10" i="18"/>
  <c r="N10" i="18" s="1"/>
  <c r="L10" i="18"/>
  <c r="M9" i="18"/>
  <c r="N9" i="18" s="1"/>
  <c r="L9" i="18"/>
  <c r="M8" i="18"/>
  <c r="N8" i="18" s="1"/>
  <c r="L8" i="18"/>
  <c r="M7" i="18"/>
  <c r="N7" i="18" s="1"/>
  <c r="L7" i="18"/>
  <c r="AK6" i="18"/>
  <c r="AL6" i="18" s="1"/>
  <c r="AJ6" i="18"/>
  <c r="AI6" i="18"/>
  <c r="AG6" i="18"/>
  <c r="AE6" i="18"/>
  <c r="AB6" i="18"/>
  <c r="AA6" i="18"/>
  <c r="AF6" i="18" s="1"/>
  <c r="M6" i="18"/>
  <c r="N6" i="18" s="1"/>
  <c r="L6" i="18"/>
  <c r="AK5" i="18"/>
  <c r="AL5" i="18" s="1"/>
  <c r="AJ5" i="18"/>
  <c r="AI5" i="18"/>
  <c r="AG5" i="18"/>
  <c r="AE5" i="18"/>
  <c r="AB5" i="18"/>
  <c r="AA5" i="18"/>
  <c r="AF5" i="18" s="1"/>
  <c r="M5" i="18"/>
  <c r="N5" i="18" s="1"/>
  <c r="L5" i="18"/>
  <c r="B5" i="18"/>
  <c r="B6" i="18" s="1"/>
  <c r="B7" i="18" s="1"/>
  <c r="B8" i="18" s="1"/>
  <c r="B9" i="18" s="1"/>
  <c r="B10" i="18" s="1"/>
  <c r="B11" i="18" s="1"/>
  <c r="AK4" i="18"/>
  <c r="AL4" i="18" s="1"/>
  <c r="AJ4" i="18"/>
  <c r="AI4" i="18"/>
  <c r="AG4" i="18"/>
  <c r="AE4" i="18"/>
  <c r="AB4" i="18"/>
  <c r="AA4" i="18"/>
  <c r="AF4" i="18" s="1"/>
  <c r="M4" i="18"/>
  <c r="N4" i="18" s="1"/>
  <c r="L4" i="18"/>
  <c r="O9" i="15"/>
  <c r="P9" i="15" s="1"/>
  <c r="P8" i="15"/>
  <c r="O8" i="15"/>
  <c r="P7" i="15"/>
  <c r="O7" i="15"/>
  <c r="P6" i="15"/>
  <c r="O6" i="15"/>
  <c r="O5" i="15"/>
  <c r="P5" i="15" s="1"/>
  <c r="O4" i="15"/>
  <c r="P4" i="15" s="1"/>
  <c r="O3" i="15"/>
  <c r="P3" i="15" s="1"/>
  <c r="C37" i="1" s="1"/>
  <c r="P2" i="15"/>
  <c r="O2" i="15"/>
  <c r="G24" i="13"/>
  <c r="F24" i="13"/>
  <c r="E24" i="13"/>
  <c r="D24" i="13"/>
  <c r="C24" i="13"/>
  <c r="H24" i="13" s="1"/>
  <c r="H22" i="13"/>
  <c r="G17" i="13"/>
  <c r="G16" i="13"/>
  <c r="E16" i="13"/>
  <c r="D16" i="13"/>
  <c r="G11" i="13"/>
  <c r="G9" i="13"/>
  <c r="G10" i="13" s="1"/>
  <c r="F9" i="13"/>
  <c r="F17" i="13" s="1"/>
  <c r="E9" i="13"/>
  <c r="E17" i="13" s="1"/>
  <c r="D9" i="13"/>
  <c r="D11" i="13" s="1"/>
  <c r="C9" i="13"/>
  <c r="C11" i="13" s="1"/>
  <c r="G7" i="13"/>
  <c r="F7" i="13"/>
  <c r="F16" i="13" s="1"/>
  <c r="E7" i="13"/>
  <c r="D7" i="13"/>
  <c r="C7" i="13"/>
  <c r="C16" i="13" s="1"/>
  <c r="I13" i="12"/>
  <c r="I12" i="12"/>
  <c r="I11" i="12"/>
  <c r="I10" i="12"/>
  <c r="I9" i="12"/>
  <c r="I8" i="12"/>
  <c r="I4" i="12"/>
  <c r="K37" i="11"/>
  <c r="L124" i="10"/>
  <c r="K124" i="10"/>
  <c r="H124" i="10"/>
  <c r="E124" i="10"/>
  <c r="L123" i="10"/>
  <c r="K123" i="10"/>
  <c r="H123" i="10"/>
  <c r="E123" i="10"/>
  <c r="L122" i="10"/>
  <c r="K122" i="10"/>
  <c r="H122" i="10"/>
  <c r="E122" i="10"/>
  <c r="L121" i="10"/>
  <c r="K121" i="10"/>
  <c r="H121" i="10"/>
  <c r="E121" i="10"/>
  <c r="L120" i="10"/>
  <c r="K120" i="10"/>
  <c r="H120" i="10"/>
  <c r="E120" i="10"/>
  <c r="L119" i="10"/>
  <c r="K119" i="10"/>
  <c r="H119" i="10"/>
  <c r="E119" i="10"/>
  <c r="L118" i="10"/>
  <c r="K118" i="10"/>
  <c r="H118" i="10"/>
  <c r="E118" i="10"/>
  <c r="L117" i="10"/>
  <c r="K117" i="10"/>
  <c r="H117" i="10"/>
  <c r="E117" i="10"/>
  <c r="L116" i="10"/>
  <c r="K116" i="10"/>
  <c r="H116" i="10"/>
  <c r="E116" i="10"/>
  <c r="L115" i="10"/>
  <c r="K115" i="10"/>
  <c r="H115" i="10"/>
  <c r="E115" i="10"/>
  <c r="L114" i="10"/>
  <c r="K114" i="10"/>
  <c r="H114" i="10"/>
  <c r="E114" i="10"/>
  <c r="L113" i="10"/>
  <c r="K113" i="10"/>
  <c r="H113" i="10"/>
  <c r="E113" i="10"/>
  <c r="L112" i="10"/>
  <c r="K112" i="10"/>
  <c r="H112" i="10"/>
  <c r="E112" i="10"/>
  <c r="L111" i="10"/>
  <c r="K111" i="10"/>
  <c r="H111" i="10"/>
  <c r="E111" i="10"/>
  <c r="L110" i="10"/>
  <c r="K110" i="10"/>
  <c r="H110" i="10"/>
  <c r="E110" i="10"/>
  <c r="L109" i="10"/>
  <c r="K109" i="10"/>
  <c r="H109" i="10"/>
  <c r="E109" i="10"/>
  <c r="L108" i="10"/>
  <c r="K108" i="10"/>
  <c r="H108" i="10"/>
  <c r="E108" i="10"/>
  <c r="L107" i="10"/>
  <c r="K107" i="10"/>
  <c r="H107" i="10"/>
  <c r="E107" i="10"/>
  <c r="L106" i="10"/>
  <c r="K106" i="10"/>
  <c r="H106" i="10"/>
  <c r="E106" i="10"/>
  <c r="L105" i="10"/>
  <c r="K105" i="10"/>
  <c r="H105" i="10"/>
  <c r="E105" i="10"/>
  <c r="L104" i="10"/>
  <c r="K104" i="10"/>
  <c r="H104" i="10"/>
  <c r="E104" i="10"/>
  <c r="L103" i="10"/>
  <c r="K103" i="10"/>
  <c r="H103" i="10"/>
  <c r="E103" i="10"/>
  <c r="L102" i="10"/>
  <c r="K102" i="10"/>
  <c r="H102" i="10"/>
  <c r="E102" i="10"/>
  <c r="L101" i="10"/>
  <c r="K101" i="10"/>
  <c r="H101" i="10"/>
  <c r="E101" i="10"/>
  <c r="L100" i="10"/>
  <c r="K100" i="10"/>
  <c r="H100" i="10"/>
  <c r="E100" i="10"/>
  <c r="L99" i="10"/>
  <c r="K99" i="10"/>
  <c r="H99" i="10"/>
  <c r="E99" i="10"/>
  <c r="L98" i="10"/>
  <c r="K98" i="10"/>
  <c r="H98" i="10"/>
  <c r="E98" i="10"/>
  <c r="L97" i="10"/>
  <c r="K97" i="10"/>
  <c r="H97" i="10"/>
  <c r="E97" i="10"/>
  <c r="L96" i="10"/>
  <c r="K96" i="10"/>
  <c r="H96" i="10"/>
  <c r="E96" i="10"/>
  <c r="L95" i="10"/>
  <c r="K95" i="10"/>
  <c r="H95" i="10"/>
  <c r="E95" i="10"/>
  <c r="L94" i="10"/>
  <c r="K94" i="10"/>
  <c r="H94" i="10"/>
  <c r="E94" i="10"/>
  <c r="L93" i="10"/>
  <c r="K93" i="10"/>
  <c r="H93" i="10"/>
  <c r="E93" i="10"/>
  <c r="L92" i="10"/>
  <c r="K92" i="10"/>
  <c r="H92" i="10"/>
  <c r="E92" i="10"/>
  <c r="L91" i="10"/>
  <c r="K91" i="10"/>
  <c r="H91" i="10"/>
  <c r="E91" i="10"/>
  <c r="L90" i="10"/>
  <c r="K90" i="10"/>
  <c r="H90" i="10"/>
  <c r="E90" i="10"/>
  <c r="L89" i="10"/>
  <c r="K89" i="10"/>
  <c r="H89" i="10"/>
  <c r="E89" i="10"/>
  <c r="L88" i="10"/>
  <c r="K88" i="10"/>
  <c r="H88" i="10"/>
  <c r="E88" i="10"/>
  <c r="L87" i="10"/>
  <c r="K87" i="10"/>
  <c r="H87" i="10"/>
  <c r="E87" i="10"/>
  <c r="L86" i="10"/>
  <c r="K86" i="10"/>
  <c r="H86" i="10"/>
  <c r="E86" i="10"/>
  <c r="L85" i="10"/>
  <c r="K85" i="10"/>
  <c r="H85" i="10"/>
  <c r="E85" i="10"/>
  <c r="L84" i="10"/>
  <c r="K84" i="10"/>
  <c r="H84" i="10"/>
  <c r="E84" i="10"/>
  <c r="L83" i="10"/>
  <c r="K83" i="10"/>
  <c r="H83" i="10"/>
  <c r="E83" i="10"/>
  <c r="L82" i="10"/>
  <c r="K82" i="10"/>
  <c r="H82" i="10"/>
  <c r="E82" i="10"/>
  <c r="L81" i="10"/>
  <c r="K81" i="10"/>
  <c r="H81" i="10"/>
  <c r="E81" i="10"/>
  <c r="L80" i="10"/>
  <c r="K80" i="10"/>
  <c r="H80" i="10"/>
  <c r="E80" i="10"/>
  <c r="L79" i="10"/>
  <c r="K79" i="10"/>
  <c r="H79" i="10"/>
  <c r="E79" i="10"/>
  <c r="L78" i="10"/>
  <c r="K78" i="10"/>
  <c r="H78" i="10"/>
  <c r="E78" i="10"/>
  <c r="L77" i="10"/>
  <c r="K77" i="10"/>
  <c r="H77" i="10"/>
  <c r="E77" i="10"/>
  <c r="L76" i="10"/>
  <c r="K76" i="10"/>
  <c r="H76" i="10"/>
  <c r="E76" i="10"/>
  <c r="L75" i="10"/>
  <c r="K75" i="10"/>
  <c r="H75" i="10"/>
  <c r="E75" i="10"/>
  <c r="L74" i="10"/>
  <c r="K74" i="10"/>
  <c r="H74" i="10"/>
  <c r="E74" i="10"/>
  <c r="L73" i="10"/>
  <c r="K73" i="10"/>
  <c r="H73" i="10"/>
  <c r="E73" i="10"/>
  <c r="L72" i="10"/>
  <c r="K72" i="10"/>
  <c r="H72" i="10"/>
  <c r="E72" i="10"/>
  <c r="L71" i="10"/>
  <c r="K71" i="10"/>
  <c r="H71" i="10"/>
  <c r="E71" i="10"/>
  <c r="L70" i="10"/>
  <c r="K70" i="10"/>
  <c r="H70" i="10"/>
  <c r="E70" i="10"/>
  <c r="L69" i="10"/>
  <c r="K69" i="10"/>
  <c r="H69" i="10"/>
  <c r="E69" i="10"/>
  <c r="L68" i="10"/>
  <c r="K68" i="10"/>
  <c r="H68" i="10"/>
  <c r="E68" i="10"/>
  <c r="L67" i="10"/>
  <c r="K67" i="10"/>
  <c r="H67" i="10"/>
  <c r="E67" i="10"/>
  <c r="L66" i="10"/>
  <c r="K66" i="10"/>
  <c r="H66" i="10"/>
  <c r="E66" i="10"/>
  <c r="L65" i="10"/>
  <c r="K65" i="10"/>
  <c r="H65" i="10"/>
  <c r="E65" i="10"/>
  <c r="L64" i="10"/>
  <c r="K64" i="10"/>
  <c r="H64" i="10"/>
  <c r="E64" i="10"/>
  <c r="L63" i="10"/>
  <c r="K63" i="10"/>
  <c r="H63" i="10"/>
  <c r="E63" i="10"/>
  <c r="L62" i="10"/>
  <c r="K62" i="10"/>
  <c r="H62" i="10"/>
  <c r="E62" i="10"/>
  <c r="L61" i="10"/>
  <c r="K61" i="10"/>
  <c r="H61" i="10"/>
  <c r="E61" i="10"/>
  <c r="L60" i="10"/>
  <c r="K60" i="10"/>
  <c r="H60" i="10"/>
  <c r="E60" i="10"/>
  <c r="L59" i="10"/>
  <c r="K59" i="10"/>
  <c r="H59" i="10"/>
  <c r="E59" i="10"/>
  <c r="L58" i="10"/>
  <c r="K58" i="10"/>
  <c r="H58" i="10"/>
  <c r="E58" i="10"/>
  <c r="L57" i="10"/>
  <c r="K57" i="10"/>
  <c r="H57" i="10"/>
  <c r="E57" i="10"/>
  <c r="L56" i="10"/>
  <c r="K56" i="10"/>
  <c r="H56" i="10"/>
  <c r="E56" i="10"/>
  <c r="L55" i="10"/>
  <c r="K55" i="10"/>
  <c r="H55" i="10"/>
  <c r="E55" i="10"/>
  <c r="L54" i="10"/>
  <c r="K54" i="10"/>
  <c r="H54" i="10"/>
  <c r="E54" i="10"/>
  <c r="L53" i="10"/>
  <c r="K53" i="10"/>
  <c r="H53" i="10"/>
  <c r="E53" i="10"/>
  <c r="L52" i="10"/>
  <c r="K52" i="10"/>
  <c r="H52" i="10"/>
  <c r="E52" i="10"/>
  <c r="L51" i="10"/>
  <c r="K51" i="10"/>
  <c r="H51" i="10"/>
  <c r="E51" i="10"/>
  <c r="L50" i="10"/>
  <c r="K50" i="10"/>
  <c r="H50" i="10"/>
  <c r="E50" i="10"/>
  <c r="L49" i="10"/>
  <c r="K49" i="10"/>
  <c r="H49" i="10"/>
  <c r="E49" i="10"/>
  <c r="L48" i="10"/>
  <c r="K48" i="10"/>
  <c r="H48" i="10"/>
  <c r="E48" i="10"/>
  <c r="L47" i="10"/>
  <c r="K47" i="10"/>
  <c r="H47" i="10"/>
  <c r="E47" i="10"/>
  <c r="L46" i="10"/>
  <c r="K46" i="10"/>
  <c r="H46" i="10"/>
  <c r="E46" i="10"/>
  <c r="L45" i="10"/>
  <c r="K45" i="10"/>
  <c r="H45" i="10"/>
  <c r="E45" i="10"/>
  <c r="L44" i="10"/>
  <c r="K44" i="10"/>
  <c r="H44" i="10"/>
  <c r="E44" i="10"/>
  <c r="L43" i="10"/>
  <c r="K43" i="10"/>
  <c r="H43" i="10"/>
  <c r="E43" i="10"/>
  <c r="L42" i="10"/>
  <c r="K42" i="10"/>
  <c r="H42" i="10"/>
  <c r="E42" i="10"/>
  <c r="L41" i="10"/>
  <c r="K41" i="10"/>
  <c r="H41" i="10"/>
  <c r="E41" i="10"/>
  <c r="L40" i="10"/>
  <c r="K40" i="10"/>
  <c r="H40" i="10"/>
  <c r="E40" i="10"/>
  <c r="L39" i="10"/>
  <c r="K39" i="10"/>
  <c r="H39" i="10"/>
  <c r="E39" i="10"/>
  <c r="L38" i="10"/>
  <c r="K38" i="10"/>
  <c r="H38" i="10"/>
  <c r="E38" i="10"/>
  <c r="L37" i="10"/>
  <c r="K37" i="10"/>
  <c r="H37" i="10"/>
  <c r="E37" i="10"/>
  <c r="L36" i="10"/>
  <c r="K36" i="10"/>
  <c r="H36" i="10"/>
  <c r="E36" i="10"/>
  <c r="L35" i="10"/>
  <c r="K35" i="10"/>
  <c r="H35" i="10"/>
  <c r="E35" i="10"/>
  <c r="L34" i="10"/>
  <c r="K34" i="10"/>
  <c r="H34" i="10"/>
  <c r="E34" i="10"/>
  <c r="L33" i="10"/>
  <c r="K33" i="10"/>
  <c r="H33" i="10"/>
  <c r="E33" i="10"/>
  <c r="L32" i="10"/>
  <c r="K32" i="10"/>
  <c r="H32" i="10"/>
  <c r="E32" i="10"/>
  <c r="L31" i="10"/>
  <c r="K31" i="10"/>
  <c r="H31" i="10"/>
  <c r="E31" i="10"/>
  <c r="L30" i="10"/>
  <c r="K30" i="10"/>
  <c r="H30" i="10"/>
  <c r="E30" i="10"/>
  <c r="L29" i="10"/>
  <c r="K29" i="10"/>
  <c r="H29" i="10"/>
  <c r="E29" i="10"/>
  <c r="L28" i="10"/>
  <c r="K28" i="10"/>
  <c r="H28" i="10"/>
  <c r="E28" i="10"/>
  <c r="L27" i="10"/>
  <c r="K27" i="10"/>
  <c r="H27" i="10"/>
  <c r="E27" i="10"/>
  <c r="L26" i="10"/>
  <c r="K26" i="10"/>
  <c r="H26" i="10"/>
  <c r="E26" i="10"/>
  <c r="L25" i="10"/>
  <c r="K25" i="10"/>
  <c r="H25" i="10"/>
  <c r="E25" i="10"/>
  <c r="L24" i="10"/>
  <c r="K24" i="10"/>
  <c r="H24" i="10"/>
  <c r="E24" i="10"/>
  <c r="L23" i="10"/>
  <c r="K23" i="10"/>
  <c r="H23" i="10"/>
  <c r="E23" i="10"/>
  <c r="L22" i="10"/>
  <c r="K22" i="10"/>
  <c r="H22" i="10"/>
  <c r="E22" i="10"/>
  <c r="L21" i="10"/>
  <c r="K21" i="10"/>
  <c r="H21" i="10"/>
  <c r="E21" i="10"/>
  <c r="L20" i="10"/>
  <c r="K20" i="10"/>
  <c r="H20" i="10"/>
  <c r="E20" i="10"/>
  <c r="L19" i="10"/>
  <c r="K19" i="10"/>
  <c r="H19" i="10"/>
  <c r="E19" i="10"/>
  <c r="L18" i="10"/>
  <c r="K18" i="10"/>
  <c r="H18" i="10"/>
  <c r="E18" i="10"/>
  <c r="L13" i="10"/>
  <c r="K13" i="10"/>
  <c r="H13" i="10"/>
  <c r="E13" i="10"/>
  <c r="L12" i="10"/>
  <c r="K12" i="10"/>
  <c r="H12" i="10"/>
  <c r="E12" i="10"/>
  <c r="L11" i="10"/>
  <c r="K11" i="10"/>
  <c r="H11" i="10"/>
  <c r="E11" i="10"/>
  <c r="L10" i="10"/>
  <c r="K10" i="10"/>
  <c r="H10" i="10"/>
  <c r="E10" i="10"/>
  <c r="L9" i="10"/>
  <c r="K9" i="10"/>
  <c r="H9" i="10"/>
  <c r="E9" i="10"/>
  <c r="L8" i="10"/>
  <c r="K8" i="10"/>
  <c r="H8" i="10"/>
  <c r="E8" i="10"/>
  <c r="L7" i="10"/>
  <c r="K7" i="10"/>
  <c r="H7" i="10"/>
  <c r="E7" i="10"/>
  <c r="L6" i="10"/>
  <c r="K6" i="10"/>
  <c r="H6" i="10"/>
  <c r="E6" i="10"/>
  <c r="L5" i="10"/>
  <c r="K5" i="10"/>
  <c r="H5" i="10"/>
  <c r="E5" i="10"/>
  <c r="L4" i="10"/>
  <c r="K4" i="10"/>
  <c r="H4" i="10"/>
  <c r="E4" i="10"/>
  <c r="L3" i="10"/>
  <c r="K3" i="10"/>
  <c r="H3" i="10"/>
  <c r="E3" i="10"/>
  <c r="L2" i="10"/>
  <c r="K2" i="10"/>
  <c r="H2" i="10"/>
  <c r="E2" i="10"/>
  <c r="L48" i="9"/>
  <c r="K33" i="9"/>
  <c r="M33" i="9" s="1"/>
  <c r="K32" i="9"/>
  <c r="M32" i="9" s="1"/>
  <c r="K31" i="9"/>
  <c r="M31" i="9" s="1"/>
  <c r="K30" i="9"/>
  <c r="M30" i="9" s="1"/>
  <c r="K29" i="9"/>
  <c r="M29" i="9" s="1"/>
  <c r="K28" i="9"/>
  <c r="M28" i="9" s="1"/>
  <c r="K27" i="9"/>
  <c r="M27" i="9" s="1"/>
  <c r="K26" i="9"/>
  <c r="M26" i="9" s="1"/>
  <c r="K25" i="9"/>
  <c r="M25" i="9" s="1"/>
  <c r="K24" i="9"/>
  <c r="M24" i="9" s="1"/>
  <c r="K23" i="9"/>
  <c r="M23" i="9" s="1"/>
  <c r="K22" i="9"/>
  <c r="M22" i="9" s="1"/>
  <c r="K21" i="9"/>
  <c r="M21" i="9" s="1"/>
  <c r="K20" i="9"/>
  <c r="M20" i="9" s="1"/>
  <c r="K19" i="9"/>
  <c r="M19" i="9" s="1"/>
  <c r="K18" i="9"/>
  <c r="M18" i="9" s="1"/>
  <c r="K17" i="9"/>
  <c r="M17" i="9" s="1"/>
  <c r="K16" i="9"/>
  <c r="M16" i="9" s="1"/>
  <c r="K15" i="9"/>
  <c r="M15" i="9" s="1"/>
  <c r="K14" i="9"/>
  <c r="M14" i="9" s="1"/>
  <c r="K13" i="9"/>
  <c r="M13" i="9" s="1"/>
  <c r="K11" i="9"/>
  <c r="K42" i="9" s="1"/>
  <c r="M42" i="9" s="1"/>
  <c r="V28" i="7"/>
  <c r="V24" i="7"/>
  <c r="E17" i="7"/>
  <c r="AR3" i="7"/>
  <c r="BI22" i="6"/>
  <c r="BH22" i="6"/>
  <c r="BH21" i="6"/>
  <c r="BI21" i="6" s="1"/>
  <c r="BH19" i="6"/>
  <c r="BI19" i="6" s="1"/>
  <c r="AI19" i="5" s="1"/>
  <c r="C19" i="6"/>
  <c r="B19" i="6"/>
  <c r="BH18" i="6"/>
  <c r="BI18" i="6" s="1"/>
  <c r="AI18" i="5" s="1"/>
  <c r="C18" i="6"/>
  <c r="B18" i="6"/>
  <c r="BI17" i="6"/>
  <c r="BH17" i="6"/>
  <c r="C17" i="6"/>
  <c r="B17" i="6"/>
  <c r="BH16" i="6"/>
  <c r="BI16" i="6" s="1"/>
  <c r="AI21" i="5" s="1"/>
  <c r="C16" i="6"/>
  <c r="B16" i="6"/>
  <c r="BH15" i="6"/>
  <c r="BI15" i="6" s="1"/>
  <c r="AI15" i="5" s="1"/>
  <c r="C15" i="6"/>
  <c r="B15" i="6"/>
  <c r="BI14" i="6"/>
  <c r="BH14" i="6"/>
  <c r="C14" i="6"/>
  <c r="B14" i="6"/>
  <c r="BH13" i="6"/>
  <c r="BI13" i="6" s="1"/>
  <c r="AI13" i="5" s="1"/>
  <c r="C13" i="6"/>
  <c r="B13" i="6"/>
  <c r="BH12" i="6"/>
  <c r="BI12" i="6" s="1"/>
  <c r="AI12" i="5" s="1"/>
  <c r="C12" i="6"/>
  <c r="B12" i="6"/>
  <c r="BI11" i="6"/>
  <c r="BH11" i="6"/>
  <c r="C11" i="6"/>
  <c r="B11" i="6"/>
  <c r="BH10" i="6"/>
  <c r="BI10" i="6" s="1"/>
  <c r="C10" i="6"/>
  <c r="B10" i="6"/>
  <c r="BH9" i="6"/>
  <c r="BI9" i="6" s="1"/>
  <c r="AI9" i="5" s="1"/>
  <c r="C9" i="6"/>
  <c r="B9" i="6"/>
  <c r="BI8" i="6"/>
  <c r="BH8" i="6"/>
  <c r="C8" i="6"/>
  <c r="B8" i="6"/>
  <c r="BH7" i="6"/>
  <c r="BI7" i="6" s="1"/>
  <c r="AI7" i="5" s="1"/>
  <c r="C7" i="6"/>
  <c r="B7" i="6"/>
  <c r="BH6" i="6"/>
  <c r="BI6" i="6" s="1"/>
  <c r="AI6" i="5" s="1"/>
  <c r="C6" i="6"/>
  <c r="B6" i="6"/>
  <c r="BI5" i="6"/>
  <c r="BH5" i="6"/>
  <c r="C5" i="6"/>
  <c r="B5" i="6"/>
  <c r="BH4" i="6"/>
  <c r="BI4" i="6" s="1"/>
  <c r="AI4" i="5" s="1"/>
  <c r="C4" i="6"/>
  <c r="B4" i="6"/>
  <c r="BH3" i="6"/>
  <c r="BI3" i="6" s="1"/>
  <c r="AI3" i="5" s="1"/>
  <c r="C3" i="6"/>
  <c r="B3" i="6"/>
  <c r="BI2" i="6"/>
  <c r="BH2" i="6"/>
  <c r="C2" i="6"/>
  <c r="B2" i="6"/>
  <c r="D2" i="4"/>
  <c r="D31" i="3" s="1"/>
  <c r="P39" i="3"/>
  <c r="J39" i="3"/>
  <c r="N38" i="3"/>
  <c r="E38" i="3"/>
  <c r="E37" i="3" s="1"/>
  <c r="D38" i="3"/>
  <c r="D37" i="3" s="1"/>
  <c r="H37" i="3"/>
  <c r="G37" i="3"/>
  <c r="F37" i="3"/>
  <c r="C37" i="3"/>
  <c r="C13" i="2" s="1"/>
  <c r="N36" i="3"/>
  <c r="E36" i="3"/>
  <c r="D36" i="3"/>
  <c r="N35" i="3"/>
  <c r="E35" i="3"/>
  <c r="D35" i="3"/>
  <c r="N34" i="3"/>
  <c r="E34" i="3"/>
  <c r="D34" i="3"/>
  <c r="N33" i="3"/>
  <c r="E33" i="3"/>
  <c r="D33" i="3"/>
  <c r="N32" i="3"/>
  <c r="E32" i="3"/>
  <c r="D32" i="3"/>
  <c r="N31" i="3"/>
  <c r="E31" i="3"/>
  <c r="H30" i="3"/>
  <c r="G30" i="3"/>
  <c r="F30" i="3"/>
  <c r="C30" i="3"/>
  <c r="C12" i="2" s="1"/>
  <c r="N29" i="3"/>
  <c r="E29" i="3"/>
  <c r="D29" i="3"/>
  <c r="N28" i="3"/>
  <c r="E28" i="3"/>
  <c r="D28" i="3"/>
  <c r="N27" i="3"/>
  <c r="E27" i="3"/>
  <c r="D27" i="3"/>
  <c r="H26" i="3"/>
  <c r="G26" i="3"/>
  <c r="F26" i="3"/>
  <c r="C26" i="3"/>
  <c r="N26" i="3" s="1"/>
  <c r="N25" i="3"/>
  <c r="E25" i="3"/>
  <c r="D25" i="3"/>
  <c r="N24" i="3"/>
  <c r="E24" i="3"/>
  <c r="D24" i="3"/>
  <c r="N23" i="3"/>
  <c r="E23" i="3"/>
  <c r="D23" i="3"/>
  <c r="N22" i="3"/>
  <c r="H22" i="3"/>
  <c r="G22" i="3"/>
  <c r="F22" i="3"/>
  <c r="C22" i="3"/>
  <c r="C10" i="2" s="1"/>
  <c r="F10" i="2" s="1"/>
  <c r="G10" i="2" s="1"/>
  <c r="N21" i="3"/>
  <c r="E21" i="3"/>
  <c r="D21" i="3"/>
  <c r="N20" i="3"/>
  <c r="E20" i="3"/>
  <c r="D20" i="3"/>
  <c r="N19" i="3"/>
  <c r="E19" i="3"/>
  <c r="D19" i="3"/>
  <c r="N18" i="3"/>
  <c r="E18" i="3"/>
  <c r="D18" i="3"/>
  <c r="N17" i="3"/>
  <c r="E17" i="3"/>
  <c r="D17" i="3"/>
  <c r="N16" i="3"/>
  <c r="H16" i="3"/>
  <c r="G16" i="3"/>
  <c r="F16" i="3"/>
  <c r="C16" i="3"/>
  <c r="N15" i="3"/>
  <c r="E15" i="3"/>
  <c r="D15" i="3"/>
  <c r="N14" i="3"/>
  <c r="E14" i="3"/>
  <c r="D14" i="3"/>
  <c r="N13" i="3"/>
  <c r="E13" i="3"/>
  <c r="D13" i="3"/>
  <c r="H12" i="3"/>
  <c r="G12" i="3"/>
  <c r="F12" i="3"/>
  <c r="C12" i="3"/>
  <c r="C8" i="2" s="1"/>
  <c r="N11" i="3"/>
  <c r="E11" i="3"/>
  <c r="D11" i="3"/>
  <c r="N10" i="3"/>
  <c r="E10" i="3"/>
  <c r="D10" i="3"/>
  <c r="N9" i="3"/>
  <c r="E9" i="3"/>
  <c r="D9" i="3"/>
  <c r="N8" i="3"/>
  <c r="E8" i="3"/>
  <c r="D8" i="3"/>
  <c r="N7" i="3"/>
  <c r="E7" i="3"/>
  <c r="D7" i="3"/>
  <c r="N6" i="3"/>
  <c r="E6" i="3"/>
  <c r="D6" i="3"/>
  <c r="N5" i="3"/>
  <c r="E5" i="3"/>
  <c r="D5" i="3"/>
  <c r="N4" i="3"/>
  <c r="E4" i="3"/>
  <c r="D4" i="3"/>
  <c r="N3" i="3"/>
  <c r="E3" i="3"/>
  <c r="D3" i="3"/>
  <c r="H2" i="3"/>
  <c r="G2" i="3"/>
  <c r="F2" i="3"/>
  <c r="C2" i="3"/>
  <c r="N2" i="3" s="1"/>
  <c r="C23" i="2"/>
  <c r="C13" i="1" s="1"/>
  <c r="C20" i="2"/>
  <c r="C24" i="2" s="1"/>
  <c r="C19" i="2"/>
  <c r="E13" i="2"/>
  <c r="E12" i="2"/>
  <c r="E11" i="2"/>
  <c r="E10" i="2"/>
  <c r="E9" i="2"/>
  <c r="E8" i="2"/>
  <c r="E7" i="2"/>
  <c r="C7" i="2"/>
  <c r="C36" i="1"/>
  <c r="C31" i="1"/>
  <c r="C25" i="1"/>
  <c r="C24" i="1"/>
  <c r="C23" i="1"/>
  <c r="C22" i="1"/>
  <c r="C20" i="1"/>
  <c r="C19" i="1"/>
  <c r="C18" i="1"/>
  <c r="C17" i="1"/>
  <c r="AL19" i="5"/>
  <c r="AJ19" i="5"/>
  <c r="AM19" i="5" s="1"/>
  <c r="K19" i="5"/>
  <c r="AL18" i="5"/>
  <c r="AJ18" i="5"/>
  <c r="AM18" i="5" s="1"/>
  <c r="K18" i="5"/>
  <c r="AL17" i="5"/>
  <c r="AJ17" i="5"/>
  <c r="AI17" i="5"/>
  <c r="K17" i="5"/>
  <c r="AL21" i="5"/>
  <c r="AJ21" i="5"/>
  <c r="K21" i="5"/>
  <c r="AL15" i="5"/>
  <c r="AJ15" i="5"/>
  <c r="AM15" i="5" s="1"/>
  <c r="K15" i="5"/>
  <c r="AL14" i="5"/>
  <c r="AJ14" i="5"/>
  <c r="AI14" i="5"/>
  <c r="AL13" i="5"/>
  <c r="AJ13" i="5"/>
  <c r="K13" i="5"/>
  <c r="AL12" i="5"/>
  <c r="AJ12" i="5"/>
  <c r="AL11" i="5"/>
  <c r="AJ11" i="5"/>
  <c r="AI11" i="5"/>
  <c r="K11" i="5"/>
  <c r="AL9" i="5"/>
  <c r="AJ9" i="5"/>
  <c r="K9" i="5"/>
  <c r="AL8" i="5"/>
  <c r="AJ8" i="5"/>
  <c r="AI8" i="5"/>
  <c r="AL7" i="5"/>
  <c r="AJ7" i="5"/>
  <c r="AL6" i="5"/>
  <c r="AJ6" i="5"/>
  <c r="K6" i="5"/>
  <c r="AL5" i="5"/>
  <c r="AJ5" i="5"/>
  <c r="AI5" i="5"/>
  <c r="K5" i="5"/>
  <c r="AL4" i="5"/>
  <c r="AJ4" i="5"/>
  <c r="K4" i="5"/>
  <c r="AL3" i="5"/>
  <c r="AJ3" i="5"/>
  <c r="K3" i="5"/>
  <c r="AL2" i="5"/>
  <c r="AJ2" i="5"/>
  <c r="AI2" i="5"/>
  <c r="K2" i="5"/>
  <c r="C11" i="2" l="1"/>
  <c r="F11" i="2" s="1"/>
  <c r="G11" i="2" s="1"/>
  <c r="F13" i="2"/>
  <c r="G13" i="2" s="1"/>
  <c r="H39" i="3"/>
  <c r="G18" i="13" s="1"/>
  <c r="I14" i="3"/>
  <c r="I8" i="3"/>
  <c r="O8" i="3" s="1"/>
  <c r="I19" i="3"/>
  <c r="K19" i="3" s="1"/>
  <c r="Q19" i="3" s="1"/>
  <c r="R19" i="3" s="1"/>
  <c r="I6" i="3"/>
  <c r="O6" i="3" s="1"/>
  <c r="I34" i="3"/>
  <c r="K34" i="3" s="1"/>
  <c r="I38" i="3"/>
  <c r="O38" i="3" s="1"/>
  <c r="I10" i="3"/>
  <c r="O10" i="3" s="1"/>
  <c r="I23" i="3"/>
  <c r="K23" i="3" s="1"/>
  <c r="Q23" i="3" s="1"/>
  <c r="R23" i="3" s="1"/>
  <c r="D22" i="3"/>
  <c r="D26" i="3"/>
  <c r="E16" i="3"/>
  <c r="I25" i="3"/>
  <c r="K25" i="3" s="1"/>
  <c r="Q25" i="3" s="1"/>
  <c r="R25" i="3" s="1"/>
  <c r="I7" i="3"/>
  <c r="K7" i="3" s="1"/>
  <c r="Q7" i="3" s="1"/>
  <c r="R7" i="3" s="1"/>
  <c r="I18" i="3"/>
  <c r="K18" i="3" s="1"/>
  <c r="Q18" i="3" s="1"/>
  <c r="R18" i="3" s="1"/>
  <c r="I29" i="3"/>
  <c r="K29" i="3" s="1"/>
  <c r="L29" i="3" s="1"/>
  <c r="E12" i="3"/>
  <c r="I5" i="3"/>
  <c r="K5" i="3" s="1"/>
  <c r="D16" i="3"/>
  <c r="E26" i="3"/>
  <c r="I35" i="3"/>
  <c r="K35" i="3" s="1"/>
  <c r="L35" i="3" s="1"/>
  <c r="E30" i="3"/>
  <c r="I37" i="3"/>
  <c r="D13" i="2" s="1"/>
  <c r="I32" i="3"/>
  <c r="K32" i="3" s="1"/>
  <c r="Q32" i="3" s="1"/>
  <c r="R32" i="3" s="1"/>
  <c r="I36" i="3"/>
  <c r="K36" i="3" s="1"/>
  <c r="L36" i="3" s="1"/>
  <c r="I21" i="3"/>
  <c r="K21" i="3" s="1"/>
  <c r="L21" i="3" s="1"/>
  <c r="I17" i="3"/>
  <c r="K17" i="3" s="1"/>
  <c r="Q17" i="3" s="1"/>
  <c r="R17" i="3" s="1"/>
  <c r="D12" i="3"/>
  <c r="I11" i="3"/>
  <c r="K11" i="3" s="1"/>
  <c r="Q11" i="3" s="1"/>
  <c r="R11" i="3" s="1"/>
  <c r="I15" i="3"/>
  <c r="O15" i="3" s="1"/>
  <c r="I13" i="3"/>
  <c r="K13" i="3" s="1"/>
  <c r="Q13" i="3" s="1"/>
  <c r="R13" i="3" s="1"/>
  <c r="F39" i="3"/>
  <c r="E18" i="13" s="1"/>
  <c r="G39" i="3"/>
  <c r="F18" i="13" s="1"/>
  <c r="I9" i="3"/>
  <c r="K9" i="3" s="1"/>
  <c r="Q9" i="3" s="1"/>
  <c r="R9" i="3" s="1"/>
  <c r="D2" i="3"/>
  <c r="E2" i="3"/>
  <c r="I3" i="3"/>
  <c r="K3" i="3" s="1"/>
  <c r="Q3" i="3" s="1"/>
  <c r="R3" i="3" s="1"/>
  <c r="M17" i="10"/>
  <c r="M16" i="10"/>
  <c r="M15" i="10"/>
  <c r="M14" i="10"/>
  <c r="M24" i="10"/>
  <c r="M48" i="10"/>
  <c r="M72" i="10"/>
  <c r="M84" i="10"/>
  <c r="M96" i="10"/>
  <c r="M108" i="10"/>
  <c r="M120" i="10"/>
  <c r="M36" i="10"/>
  <c r="M8" i="10"/>
  <c r="M60" i="10"/>
  <c r="M19" i="10"/>
  <c r="M55" i="10"/>
  <c r="I14" i="12"/>
  <c r="M46" i="10"/>
  <c r="M91" i="10"/>
  <c r="M103" i="10"/>
  <c r="M20" i="10"/>
  <c r="M29" i="10"/>
  <c r="M41" i="10"/>
  <c r="M56" i="10"/>
  <c r="M65" i="10"/>
  <c r="M68" i="10"/>
  <c r="M80" i="10"/>
  <c r="M89" i="10"/>
  <c r="M92" i="10"/>
  <c r="M101" i="10"/>
  <c r="M104" i="10"/>
  <c r="M116" i="10"/>
  <c r="M3" i="10"/>
  <c r="M43" i="10"/>
  <c r="M67" i="10"/>
  <c r="M82" i="10"/>
  <c r="M94" i="10"/>
  <c r="M106" i="10"/>
  <c r="M4" i="10"/>
  <c r="M13" i="10"/>
  <c r="M32" i="10"/>
  <c r="M44" i="10"/>
  <c r="M77" i="10"/>
  <c r="M53" i="10"/>
  <c r="I5" i="12"/>
  <c r="M6" i="10"/>
  <c r="M22" i="10"/>
  <c r="M31" i="10"/>
  <c r="M34" i="10"/>
  <c r="M58" i="10"/>
  <c r="M70" i="10"/>
  <c r="M79" i="10"/>
  <c r="M115" i="10"/>
  <c r="M113" i="10"/>
  <c r="M118" i="10"/>
  <c r="AM11" i="5"/>
  <c r="AM14" i="5"/>
  <c r="AM7" i="5"/>
  <c r="AM16" i="5"/>
  <c r="AM4" i="5"/>
  <c r="AM12" i="5"/>
  <c r="AM8" i="5"/>
  <c r="AM17" i="5"/>
  <c r="AM3" i="5"/>
  <c r="AM21" i="5"/>
  <c r="AM5" i="5"/>
  <c r="AM2" i="5"/>
  <c r="AM9" i="5"/>
  <c r="AM6" i="5"/>
  <c r="AM13" i="5"/>
  <c r="M83" i="10"/>
  <c r="M86" i="10"/>
  <c r="M95" i="10"/>
  <c r="M98" i="10"/>
  <c r="M107" i="10"/>
  <c r="M122" i="10"/>
  <c r="M7" i="10"/>
  <c r="M21" i="10"/>
  <c r="M27" i="10"/>
  <c r="M30" i="10"/>
  <c r="M33" i="10"/>
  <c r="M39" i="10"/>
  <c r="M42" i="10"/>
  <c r="M45" i="10"/>
  <c r="M63" i="10"/>
  <c r="M66" i="10"/>
  <c r="M69" i="10"/>
  <c r="M75" i="10"/>
  <c r="M78" i="10"/>
  <c r="M81" i="10"/>
  <c r="M87" i="10"/>
  <c r="M90" i="10"/>
  <c r="M93" i="10"/>
  <c r="M111" i="10"/>
  <c r="M114" i="10"/>
  <c r="M117" i="10"/>
  <c r="M123" i="10"/>
  <c r="M9" i="10"/>
  <c r="M12" i="10"/>
  <c r="M25" i="10"/>
  <c r="M28" i="10"/>
  <c r="M49" i="10"/>
  <c r="M52" i="10"/>
  <c r="M61" i="10"/>
  <c r="M64" i="10"/>
  <c r="M73" i="10"/>
  <c r="M76" i="10"/>
  <c r="M109" i="10"/>
  <c r="M26" i="10"/>
  <c r="M35" i="10"/>
  <c r="M38" i="10"/>
  <c r="M47" i="10"/>
  <c r="M97" i="10"/>
  <c r="M100" i="10"/>
  <c r="M112" i="10"/>
  <c r="M121" i="10"/>
  <c r="M124" i="10"/>
  <c r="M50" i="10"/>
  <c r="M59" i="10"/>
  <c r="M11" i="10"/>
  <c r="M18" i="10"/>
  <c r="M74" i="10"/>
  <c r="L18" i="18"/>
  <c r="M18" i="18" s="1"/>
  <c r="N18" i="18" s="1"/>
  <c r="M10" i="10"/>
  <c r="M62" i="10"/>
  <c r="M110" i="10"/>
  <c r="M54" i="10"/>
  <c r="M51" i="10"/>
  <c r="M99" i="10"/>
  <c r="M102" i="10"/>
  <c r="M5" i="10"/>
  <c r="M23" i="10"/>
  <c r="M37" i="10"/>
  <c r="M40" i="10"/>
  <c r="M57" i="10"/>
  <c r="M71" i="10"/>
  <c r="M85" i="10"/>
  <c r="M88" i="10"/>
  <c r="M105" i="10"/>
  <c r="M119" i="10"/>
  <c r="Q34" i="3"/>
  <c r="R34" i="3" s="1"/>
  <c r="L34" i="3"/>
  <c r="I31" i="3"/>
  <c r="K31" i="3" s="1"/>
  <c r="D30" i="3"/>
  <c r="O14" i="3"/>
  <c r="K14" i="3"/>
  <c r="E14" i="2"/>
  <c r="AK6" i="20"/>
  <c r="AD6" i="20"/>
  <c r="AK4" i="20"/>
  <c r="AD4" i="20"/>
  <c r="G8" i="2"/>
  <c r="C21" i="1"/>
  <c r="AK7" i="20"/>
  <c r="AD7" i="20"/>
  <c r="AK15" i="20"/>
  <c r="AD15" i="20"/>
  <c r="L19" i="3"/>
  <c r="AL2" i="18"/>
  <c r="AK16" i="20"/>
  <c r="AD16" i="20"/>
  <c r="C26" i="2"/>
  <c r="C12" i="1"/>
  <c r="AK9" i="20"/>
  <c r="AD9" i="20"/>
  <c r="F12" i="2"/>
  <c r="G12" i="2" s="1"/>
  <c r="I28" i="3"/>
  <c r="E11" i="13"/>
  <c r="N30" i="3"/>
  <c r="I33" i="3"/>
  <c r="K33" i="3" s="1"/>
  <c r="K37" i="9"/>
  <c r="M37" i="9" s="1"/>
  <c r="K43" i="9"/>
  <c r="M43" i="9" s="1"/>
  <c r="F11" i="13"/>
  <c r="AH4" i="18"/>
  <c r="AH5" i="18"/>
  <c r="AH6" i="18"/>
  <c r="AK5" i="20"/>
  <c r="AK8" i="20"/>
  <c r="AK11" i="20"/>
  <c r="F8" i="2"/>
  <c r="N12" i="3"/>
  <c r="I27" i="3"/>
  <c r="D138" i="4"/>
  <c r="K38" i="9"/>
  <c r="M38" i="9" s="1"/>
  <c r="K44" i="9"/>
  <c r="M44" i="9" s="1"/>
  <c r="I20" i="3"/>
  <c r="K20" i="3" s="1"/>
  <c r="C9" i="2"/>
  <c r="C14" i="2" s="1"/>
  <c r="K39" i="9"/>
  <c r="M39" i="9" s="1"/>
  <c r="K45" i="9"/>
  <c r="M45" i="9" s="1"/>
  <c r="C10" i="13"/>
  <c r="AK2" i="18"/>
  <c r="M2" i="10"/>
  <c r="D10" i="13"/>
  <c r="K34" i="9"/>
  <c r="M34" i="9" s="1"/>
  <c r="K40" i="9"/>
  <c r="M40" i="9" s="1"/>
  <c r="K46" i="9"/>
  <c r="M46" i="9" s="1"/>
  <c r="E10" i="13"/>
  <c r="I4" i="3"/>
  <c r="I24" i="3"/>
  <c r="N37" i="3"/>
  <c r="F10" i="13"/>
  <c r="C17" i="13"/>
  <c r="AC4" i="18"/>
  <c r="AM4" i="18" s="1"/>
  <c r="AC5" i="18"/>
  <c r="AM5" i="18" s="1"/>
  <c r="AN5" i="18" s="1"/>
  <c r="AO5" i="18" s="1"/>
  <c r="AP5" i="18" s="1"/>
  <c r="AQ5" i="18" s="1"/>
  <c r="AR5" i="18" s="1"/>
  <c r="AS5" i="18" s="1"/>
  <c r="AT5" i="18" s="1"/>
  <c r="AC6" i="18"/>
  <c r="AM6" i="18" s="1"/>
  <c r="AN6" i="18" s="1"/>
  <c r="AO6" i="18" s="1"/>
  <c r="AP6" i="18" s="1"/>
  <c r="AQ6" i="18" s="1"/>
  <c r="AR6" i="18" s="1"/>
  <c r="AS6" i="18" s="1"/>
  <c r="AT6" i="18" s="1"/>
  <c r="C39" i="3"/>
  <c r="K35" i="9"/>
  <c r="M35" i="9" s="1"/>
  <c r="K41" i="9"/>
  <c r="M41" i="9" s="1"/>
  <c r="K47" i="9"/>
  <c r="M47" i="9" s="1"/>
  <c r="D17" i="13"/>
  <c r="AD4" i="18"/>
  <c r="AD5" i="18"/>
  <c r="AD6" i="18"/>
  <c r="F7" i="2"/>
  <c r="G7" i="2" s="1"/>
  <c r="E22" i="3"/>
  <c r="K36" i="9"/>
  <c r="M36" i="9" s="1"/>
  <c r="K6" i="3" l="1"/>
  <c r="L9" i="3"/>
  <c r="K8" i="3"/>
  <c r="L7" i="3"/>
  <c r="O19" i="3"/>
  <c r="L32" i="3"/>
  <c r="L25" i="3"/>
  <c r="Q29" i="3"/>
  <c r="R29" i="3" s="1"/>
  <c r="L3" i="3"/>
  <c r="O18" i="3"/>
  <c r="O34" i="3"/>
  <c r="O23" i="3"/>
  <c r="Q35" i="3"/>
  <c r="R35" i="3" s="1"/>
  <c r="K38" i="3"/>
  <c r="Q38" i="3" s="1"/>
  <c r="R38" i="3" s="1"/>
  <c r="L23" i="3"/>
  <c r="O35" i="3"/>
  <c r="I16" i="3"/>
  <c r="O16" i="3" s="1"/>
  <c r="I22" i="3"/>
  <c r="D10" i="2" s="1"/>
  <c r="K10" i="3"/>
  <c r="Q10" i="3" s="1"/>
  <c r="R10" i="3" s="1"/>
  <c r="O37" i="3"/>
  <c r="O17" i="3"/>
  <c r="Q21" i="3"/>
  <c r="R21" i="3" s="1"/>
  <c r="O25" i="3"/>
  <c r="K37" i="3"/>
  <c r="Q37" i="3" s="1"/>
  <c r="R37" i="3" s="1"/>
  <c r="I26" i="3"/>
  <c r="K26" i="3" s="1"/>
  <c r="O7" i="3"/>
  <c r="L13" i="3"/>
  <c r="Q36" i="3"/>
  <c r="R36" i="3" s="1"/>
  <c r="O5" i="3"/>
  <c r="O29" i="3"/>
  <c r="O21" i="3"/>
  <c r="K15" i="3"/>
  <c r="Q15" i="3" s="1"/>
  <c r="R15" i="3" s="1"/>
  <c r="L18" i="3"/>
  <c r="I12" i="3"/>
  <c r="K12" i="3" s="1"/>
  <c r="L12" i="3" s="1"/>
  <c r="O11" i="3"/>
  <c r="I2" i="3"/>
  <c r="D7" i="2" s="1"/>
  <c r="L17" i="3"/>
  <c r="O32" i="3"/>
  <c r="O36" i="3"/>
  <c r="O33" i="3"/>
  <c r="N39" i="3"/>
  <c r="M39" i="3" s="1"/>
  <c r="O9" i="3"/>
  <c r="L11" i="3"/>
  <c r="O3" i="3"/>
  <c r="O13" i="3"/>
  <c r="M48" i="9"/>
  <c r="AN4" i="18"/>
  <c r="AM2" i="18"/>
  <c r="K48" i="9"/>
  <c r="D39" i="3"/>
  <c r="C18" i="13" s="1"/>
  <c r="I30" i="3"/>
  <c r="O30" i="3" s="1"/>
  <c r="F14" i="2"/>
  <c r="C11" i="1" s="1"/>
  <c r="L31" i="3"/>
  <c r="Q31" i="3"/>
  <c r="R31" i="3" s="1"/>
  <c r="C22" i="2"/>
  <c r="C9" i="1"/>
  <c r="O27" i="3"/>
  <c r="K27" i="3"/>
  <c r="E39" i="3"/>
  <c r="D18" i="13" s="1"/>
  <c r="L10" i="3"/>
  <c r="Q33" i="3"/>
  <c r="R33" i="3" s="1"/>
  <c r="L33" i="3"/>
  <c r="K24" i="3"/>
  <c r="O24" i="3"/>
  <c r="Q6" i="3"/>
  <c r="R6" i="3" s="1"/>
  <c r="L6" i="3"/>
  <c r="L8" i="3"/>
  <c r="Q8" i="3"/>
  <c r="R8" i="3" s="1"/>
  <c r="O31" i="3"/>
  <c r="C41" i="3"/>
  <c r="Q20" i="3"/>
  <c r="R20" i="3" s="1"/>
  <c r="L20" i="3"/>
  <c r="K4" i="3"/>
  <c r="O4" i="3"/>
  <c r="Q5" i="3"/>
  <c r="R5" i="3" s="1"/>
  <c r="L5" i="3"/>
  <c r="F9" i="2"/>
  <c r="G9" i="2" s="1"/>
  <c r="G14" i="2" s="1"/>
  <c r="O28" i="3"/>
  <c r="K28" i="3"/>
  <c r="O20" i="3"/>
  <c r="Q14" i="3"/>
  <c r="R14" i="3" s="1"/>
  <c r="L14" i="3"/>
  <c r="D11" i="2" l="1"/>
  <c r="O26" i="3"/>
  <c r="L38" i="3"/>
  <c r="D9" i="2"/>
  <c r="K16" i="3"/>
  <c r="K22" i="3"/>
  <c r="Q22" i="3" s="1"/>
  <c r="R22" i="3" s="1"/>
  <c r="O22" i="3"/>
  <c r="L37" i="3"/>
  <c r="Q12" i="3"/>
  <c r="R12" i="3" s="1"/>
  <c r="O12" i="3"/>
  <c r="L15" i="3"/>
  <c r="D8" i="2"/>
  <c r="O2" i="3"/>
  <c r="O39" i="3" s="1"/>
  <c r="Q26" i="3"/>
  <c r="R26" i="3" s="1"/>
  <c r="L26" i="3"/>
  <c r="K2" i="3"/>
  <c r="L2" i="3" s="1"/>
  <c r="Q2" i="3"/>
  <c r="L4" i="3"/>
  <c r="Q4" i="3"/>
  <c r="R4" i="3" s="1"/>
  <c r="L24" i="3"/>
  <c r="Q24" i="3"/>
  <c r="R24" i="3" s="1"/>
  <c r="K30" i="3"/>
  <c r="D12" i="2"/>
  <c r="I39" i="3"/>
  <c r="AO4" i="18"/>
  <c r="AN2" i="18"/>
  <c r="Q28" i="3"/>
  <c r="R28" i="3" s="1"/>
  <c r="L28" i="3"/>
  <c r="Q27" i="3"/>
  <c r="R27" i="3" s="1"/>
  <c r="L27" i="3"/>
  <c r="D14" i="2" l="1"/>
  <c r="C21" i="2" s="1"/>
  <c r="L22" i="3"/>
  <c r="Q16" i="3"/>
  <c r="R16" i="3" s="1"/>
  <c r="L16" i="3"/>
  <c r="AP4" i="18"/>
  <c r="AO2" i="18"/>
  <c r="Q30" i="3"/>
  <c r="R30" i="3" s="1"/>
  <c r="L30" i="3"/>
  <c r="K39" i="3"/>
  <c r="R2" i="3"/>
  <c r="R39" i="3" l="1"/>
  <c r="Q39" i="3"/>
  <c r="C10" i="1"/>
  <c r="L39" i="3"/>
  <c r="AQ4" i="18"/>
  <c r="AP2" i="18"/>
  <c r="C27" i="2"/>
  <c r="C14" i="1" s="1"/>
  <c r="C25" i="2"/>
  <c r="AR4" i="18" l="1"/>
  <c r="AQ2" i="18"/>
  <c r="AS4" i="18" l="1"/>
  <c r="AR2" i="18"/>
  <c r="AT4" i="18" l="1"/>
  <c r="AT2" i="18" s="1"/>
  <c r="AS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tc={DDC249E8-04D2-4F11-BF57-507F9F8C8DAB}</author>
    <author>tc={6F55923A-C662-4B5D-812C-A65531E4DB5C}</author>
    <author>tc={FD6D4F04-0C09-45F8-BDB2-BE6F66812C7D}</author>
    <author>tc={AA9A5E73-90B4-4DBF-871C-7A1A7F8D9E3C}</author>
  </authors>
  <commentList>
    <comment ref="D8" authorId="0" shapeId="0" xr:uid="{DDC249E8-04D2-4F11-BF57-507F9F8C8D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Examen y Acreditación como M1. 
A entregar descriptor de cargo agregando funciones de apoyo a Topógrafo</t>
      </text>
    </comment>
    <comment ref="D14" authorId="1" shapeId="0" xr:uid="{6F55923A-C662-4B5D-812C-A65531E4DB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ACREDITAR COMO RIGGER</t>
      </text>
    </comment>
    <comment ref="D16" authorId="2" shapeId="0" xr:uid="{FD6D4F04-0C09-45F8-BDB2-BE6F66812C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Contrato como M2...A la espera de resultado de 3D CEIM</t>
      </text>
    </comment>
    <comment ref="D23" authorId="3" shapeId="0" xr:uid="{AA9A5E73-90B4-4DBF-871C-7A1A7F8D9E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Induccion documnetada</t>
      </text>
    </comment>
  </commentList>
</comments>
</file>

<file path=xl/sharedStrings.xml><?xml version="1.0" encoding="utf-8"?>
<sst xmlns="http://schemas.openxmlformats.org/spreadsheetml/2006/main" count="4555" uniqueCount="1329">
  <si>
    <t>ID</t>
  </si>
  <si>
    <t>Cargo</t>
  </si>
  <si>
    <t>Código</t>
  </si>
  <si>
    <t>Nombre</t>
  </si>
  <si>
    <t xml:space="preserve">Examen Méd. </t>
  </si>
  <si>
    <t xml:space="preserve">Test A&amp;D </t>
  </si>
  <si>
    <t>Gran Altura Geografica</t>
  </si>
  <si>
    <t>Gran Altura Física</t>
  </si>
  <si>
    <t>Psicosenso.</t>
  </si>
  <si>
    <t>Aversión al Riesgo</t>
  </si>
  <si>
    <t>Indicadores Medidos en Aversion al Riesgo</t>
  </si>
  <si>
    <t xml:space="preserve">Adecuación a normas y procedimientos </t>
  </si>
  <si>
    <t>Capacidad de atención y concentración</t>
  </si>
  <si>
    <t>Capacidad para trabajar bajo presión</t>
  </si>
  <si>
    <t>Conducta precavida</t>
  </si>
  <si>
    <t>Control de impulsos</t>
  </si>
  <si>
    <t>Disposición al aprendizaje y capacitación</t>
  </si>
  <si>
    <t>Estabilidad emocional</t>
  </si>
  <si>
    <t>Carta Oferta</t>
  </si>
  <si>
    <t>Documentos Solicitados STN</t>
  </si>
  <si>
    <t>Contrato / Anexo</t>
  </si>
  <si>
    <t xml:space="preserve">Ficha Trab. MEL </t>
  </si>
  <si>
    <t xml:space="preserve">Cert. Anteced. </t>
  </si>
  <si>
    <t xml:space="preserve">Cédula Ident. </t>
  </si>
  <si>
    <t xml:space="preserve">Regl. Transp </t>
  </si>
  <si>
    <t xml:space="preserve">Portal PMF </t>
  </si>
  <si>
    <t>Coaching 3D</t>
  </si>
  <si>
    <t xml:space="preserve">3D-CEIM </t>
  </si>
  <si>
    <t xml:space="preserve">Lic. Rigger </t>
  </si>
  <si>
    <t xml:space="preserve">Lic. Operador </t>
  </si>
  <si>
    <t>Valid. Deloitte</t>
  </si>
  <si>
    <t>Avance HDR (%)</t>
  </si>
  <si>
    <t>% Cumpl. MEL</t>
  </si>
  <si>
    <t>Estado Final</t>
  </si>
  <si>
    <t>Semáforo</t>
  </si>
  <si>
    <t>Cumplimiento Consolidado</t>
  </si>
  <si>
    <t>Observaciones</t>
  </si>
  <si>
    <t>P01</t>
  </si>
  <si>
    <t>Administrador Contrato</t>
  </si>
  <si>
    <t>ADM_01</t>
  </si>
  <si>
    <t>Andrés Tebes</t>
  </si>
  <si>
    <t>Pendiente doc.</t>
  </si>
  <si>
    <t>N/A</t>
  </si>
  <si>
    <t>No Iniciado</t>
  </si>
  <si>
    <t>En proceso</t>
  </si>
  <si>
    <t>Sincronizado</t>
  </si>
  <si>
    <t>P02</t>
  </si>
  <si>
    <t>Asesor de Seguridad</t>
  </si>
  <si>
    <t>HSEC_01</t>
  </si>
  <si>
    <t>Juan Carlos Santander</t>
  </si>
  <si>
    <t>P03</t>
  </si>
  <si>
    <t>Jefe de Terreno</t>
  </si>
  <si>
    <t>JT_01</t>
  </si>
  <si>
    <t>Leonel Sanchez</t>
  </si>
  <si>
    <t>P04</t>
  </si>
  <si>
    <t>Supervisor de Terreno</t>
  </si>
  <si>
    <t>SUP_01</t>
  </si>
  <si>
    <t>Ulises Psijas</t>
  </si>
  <si>
    <t>Aprobado</t>
  </si>
  <si>
    <t>P05</t>
  </si>
  <si>
    <t>Encargado Administrativo</t>
  </si>
  <si>
    <t>ADM_02</t>
  </si>
  <si>
    <t>Jesenia Tapia</t>
  </si>
  <si>
    <t>P06</t>
  </si>
  <si>
    <t>Topógrafo</t>
  </si>
  <si>
    <t>TOPO_01</t>
  </si>
  <si>
    <t>Manuel Tapia</t>
  </si>
  <si>
    <t>P07</t>
  </si>
  <si>
    <t>Alarife</t>
  </si>
  <si>
    <t>ALA_01</t>
  </si>
  <si>
    <t>Javier Lucas</t>
  </si>
  <si>
    <t>Alterado</t>
  </si>
  <si>
    <t>P08</t>
  </si>
  <si>
    <t>Maestro 1° Líneas</t>
  </si>
  <si>
    <t>M1_01</t>
  </si>
  <si>
    <t>Wilmer Chambi</t>
  </si>
  <si>
    <t>P09</t>
  </si>
  <si>
    <t>M1_02</t>
  </si>
  <si>
    <t>Ronald Orellana</t>
  </si>
  <si>
    <t>P10</t>
  </si>
  <si>
    <t>M1_03</t>
  </si>
  <si>
    <t>Wilber Corrales</t>
  </si>
  <si>
    <t>P11</t>
  </si>
  <si>
    <t>M1_04</t>
  </si>
  <si>
    <t>Erasmo Castellon</t>
  </si>
  <si>
    <t>P12</t>
  </si>
  <si>
    <t>M1_05</t>
  </si>
  <si>
    <t>Maica Villca</t>
  </si>
  <si>
    <t>P13</t>
  </si>
  <si>
    <t>M1_06</t>
  </si>
  <si>
    <t>Fredy Arena</t>
  </si>
  <si>
    <t>P14</t>
  </si>
  <si>
    <t>Maestro 2° Líneas</t>
  </si>
  <si>
    <t>M2_01</t>
  </si>
  <si>
    <t>Roly Ipurani</t>
  </si>
  <si>
    <t>P15</t>
  </si>
  <si>
    <t>M2_02</t>
  </si>
  <si>
    <t>Teodoro Paca</t>
  </si>
  <si>
    <t>P16</t>
  </si>
  <si>
    <t>Operador</t>
  </si>
  <si>
    <t>OP_01</t>
  </si>
  <si>
    <t xml:space="preserve">Matias Quiñenao </t>
  </si>
  <si>
    <t>P17</t>
  </si>
  <si>
    <t>Rigger</t>
  </si>
  <si>
    <t>RIG_01</t>
  </si>
  <si>
    <t>P18</t>
  </si>
  <si>
    <t>CTC_01</t>
  </si>
  <si>
    <t xml:space="preserve">Ismael Dones </t>
  </si>
  <si>
    <t>P19</t>
  </si>
  <si>
    <t>David Flores</t>
  </si>
  <si>
    <t>OK -Dentro de lo esperado</t>
  </si>
  <si>
    <t>P20</t>
  </si>
  <si>
    <t>Orlando Maita</t>
  </si>
  <si>
    <t>DASHBOARD EJECUTIVO - CONTROL INTEGRAL DEL PROYECTO</t>
  </si>
  <si>
    <t>Proyecto: Aumento Capacidad BP1 SE O'Higgins</t>
  </si>
  <si>
    <t>Fecha de Corte: 26 de Mayo 2026</t>
  </si>
  <si>
    <t>1. SALUD FINANCIERA (EVM &amp; CURVA S)</t>
  </si>
  <si>
    <t>Presupuesto Total (BAC)</t>
  </si>
  <si>
    <t>Costo Real Incurrido (AC)</t>
  </si>
  <si>
    <t>Estimación al Cierre (EAC)</t>
  </si>
  <si>
    <t>Índice Desempeño Costo (CPI)</t>
  </si>
  <si>
    <t>Índice Desempeño Crono (SPI)</t>
  </si>
  <si>
    <t>Variación al Término (VAC)</t>
  </si>
  <si>
    <t>2. RECURSOS HUMANOS Y PRODUCTIVIDAD</t>
  </si>
  <si>
    <t>Recurso</t>
  </si>
  <si>
    <t>HH Plan</t>
  </si>
  <si>
    <t>HH Real</t>
  </si>
  <si>
    <t>Dotación Total (Organigrama)</t>
  </si>
  <si>
    <t>May</t>
  </si>
  <si>
    <t>Personal con Examenes Aprobados</t>
  </si>
  <si>
    <t>Jun</t>
  </si>
  <si>
    <t>Personal con Carta Oferta / Anexo</t>
  </si>
  <si>
    <t>Personal 100% Acreditado</t>
  </si>
  <si>
    <t>Promedio Avance HDR</t>
  </si>
  <si>
    <t>Horas Hombre (HH) Consumidas</t>
  </si>
  <si>
    <t>Riesgos Abiertos</t>
  </si>
  <si>
    <t>Avance Carpeta de Arranque STN (N°)</t>
  </si>
  <si>
    <t>Avance Carpeta de Arranque STN (%)</t>
  </si>
  <si>
    <t>3. CALIDAD (QA/QC) Y COMPROMISOS</t>
  </si>
  <si>
    <t>Tareas Compromisos Totales</t>
  </si>
  <si>
    <t>Protocolos QA/QC Generados</t>
  </si>
  <si>
    <t>Protocolos QA/QC Aprobados MEL</t>
  </si>
  <si>
    <t>% Liberación QA/QC</t>
  </si>
  <si>
    <t>Procedimientos a Generar</t>
  </si>
  <si>
    <t>Vincular</t>
  </si>
  <si>
    <t>% Procedimientos Generados</t>
  </si>
  <si>
    <t>4. EQUIPOS RODANTES Y TOPOGRAFÍA</t>
  </si>
  <si>
    <t>Total Equipos y Vehículos</t>
  </si>
  <si>
    <t>Equipos 100% Acreditados</t>
  </si>
  <si>
    <t>Avance Promedio Flota</t>
  </si>
  <si>
    <t xml:space="preserve">N° de Camionetas </t>
  </si>
  <si>
    <t>% de Avance en Acreditación Camionetas</t>
  </si>
  <si>
    <t xml:space="preserve">N° Camión Pluma </t>
  </si>
  <si>
    <t>% de Avance en Acreditación Camion</t>
  </si>
  <si>
    <t>5. DOCUMENTACION CONTRACTUAL</t>
  </si>
  <si>
    <t>Orden de Servicio STN</t>
  </si>
  <si>
    <t>OK</t>
  </si>
  <si>
    <t>Contrato KELTI / STN</t>
  </si>
  <si>
    <t>NA</t>
  </si>
  <si>
    <t>Contrato STN creado en PMF</t>
  </si>
  <si>
    <t>Orden de Servicio CTC Global</t>
  </si>
  <si>
    <t>Contrato CTC creado en PMF</t>
  </si>
  <si>
    <t>CONTROL DE COSTOS Y GESTIÓN DEL VALOR GANADO (EVM)</t>
  </si>
  <si>
    <t>PRESUPUESTO BASE (BAC) Y FORECAST POR CUENTA</t>
  </si>
  <si>
    <t>Cuenta / Item</t>
  </si>
  <si>
    <t>Presupuesto (BAC)</t>
  </si>
  <si>
    <t>Real a la Fecha (AC)</t>
  </si>
  <si>
    <t>Comprometido</t>
  </si>
  <si>
    <t>Estimación a Término (EAC)</t>
  </si>
  <si>
    <t>Desviación al Cierre (VAC)</t>
  </si>
  <si>
    <t>RRHH</t>
  </si>
  <si>
    <t>MATERIALES</t>
  </si>
  <si>
    <t>EQUIPOS MAQUINARIA</t>
  </si>
  <si>
    <t>SUBCONTRATOS</t>
  </si>
  <si>
    <t>CTC GLOBAL</t>
  </si>
  <si>
    <t>GASTOS GENERALES</t>
  </si>
  <si>
    <t>IMPREVISTOS</t>
  </si>
  <si>
    <t>TOTAL COSTOS</t>
  </si>
  <si>
    <t>INDICADORES CLAVE DE DESEMPEÑO (KPIs EVM - PMI) - MAYO 2026</t>
  </si>
  <si>
    <t>Indicador</t>
  </si>
  <si>
    <t>Valor</t>
  </si>
  <si>
    <t>Descripción</t>
  </si>
  <si>
    <t>Valor Planeado (PV)</t>
  </si>
  <si>
    <t>Presupuesto autorizado asignado al trabajo programado.</t>
  </si>
  <si>
    <t>Valor Ganado (EV)</t>
  </si>
  <si>
    <t>Medida del trabajo realizado en términos del presupuesto.</t>
  </si>
  <si>
    <t>Costo Real (AC)</t>
  </si>
  <si>
    <t>Costo incurrido por el trabajo realizado a la fecha.</t>
  </si>
  <si>
    <t>Presupuesto total al finalizar.</t>
  </si>
  <si>
    <t>Índice Desempeño Cronograma (SPI)</t>
  </si>
  <si>
    <t>EV / PV (&gt;1 es adelantado, &lt;1 atrasado)</t>
  </si>
  <si>
    <t>EV / AC (&gt;1 es ahorro, &lt;1 sobrecosto)</t>
  </si>
  <si>
    <t>Costo total estimado al finalizar el proyecto (BAC/CPI).</t>
  </si>
  <si>
    <t>Estimación para Terminar (ETC)</t>
  </si>
  <si>
    <t>Costo esperado para terminar el trabajo restante (EAC - AC).</t>
  </si>
  <si>
    <t>Déficit o superávit proyectado (BAC - EAC).</t>
  </si>
  <si>
    <t>WBS</t>
  </si>
  <si>
    <t>Descripción de la Partida</t>
  </si>
  <si>
    <t>Presupuesto Base (BAC)</t>
  </si>
  <si>
    <t>Gasto Real Mayo 2026</t>
  </si>
  <si>
    <t>Gasto Real Junio 2026</t>
  </si>
  <si>
    <t>Gasto Real Julio 2026</t>
  </si>
  <si>
    <t>Gasto Real Agosto 2026</t>
  </si>
  <si>
    <t>Gasto Real Sept 2026</t>
  </si>
  <si>
    <t>Costo Real Acumulado (AC)</t>
  </si>
  <si>
    <t>Comprometido (OC)</t>
  </si>
  <si>
    <t>Costo Total Actual</t>
  </si>
  <si>
    <t>Presupuesto Disponible</t>
  </si>
  <si>
    <t>Avance Real (%)</t>
  </si>
  <si>
    <t>Desviación a la fecha (CV)</t>
  </si>
  <si>
    <t>Estimación p/Terminar (ETC)</t>
  </si>
  <si>
    <t>Forecast (EAC)</t>
  </si>
  <si>
    <t>Desviación Proyectada (VAC)</t>
  </si>
  <si>
    <t>Comentarios</t>
  </si>
  <si>
    <t>1.0</t>
  </si>
  <si>
    <t>RRHH DIRECTO E INDIRECTO</t>
  </si>
  <si>
    <t>1.1</t>
  </si>
  <si>
    <t>1.2</t>
  </si>
  <si>
    <t>Administrativo de Obras y RRLL</t>
  </si>
  <si>
    <t>1.3</t>
  </si>
  <si>
    <t>1.4</t>
  </si>
  <si>
    <t>1.5</t>
  </si>
  <si>
    <t>Maestro 1° Líneas Senior</t>
  </si>
  <si>
    <t>1.6</t>
  </si>
  <si>
    <t>1.7</t>
  </si>
  <si>
    <t>1.8</t>
  </si>
  <si>
    <t>Operador Camión Pluma</t>
  </si>
  <si>
    <t>1.9</t>
  </si>
  <si>
    <t>2.0</t>
  </si>
  <si>
    <t>MATERIALES E INSUMOS</t>
  </si>
  <si>
    <t>2.1</t>
  </si>
  <si>
    <t>Instalación y Equipamiento Oficina Faena</t>
  </si>
  <si>
    <t>2.2</t>
  </si>
  <si>
    <t>Suministros Menores (Agua, Café, etc.)</t>
  </si>
  <si>
    <t>2.3</t>
  </si>
  <si>
    <t>Implementos HSEC (Extintor, Camilla)</t>
  </si>
  <si>
    <t>3.0</t>
  </si>
  <si>
    <t>EQUIPOS Y MAQUINARIA</t>
  </si>
  <si>
    <t>3.1</t>
  </si>
  <si>
    <t>Arriendo Camionetas 4x4</t>
  </si>
  <si>
    <t>3.2</t>
  </si>
  <si>
    <t>Arriendo Camión Pluma 20 Ton</t>
  </si>
  <si>
    <t>3.3</t>
  </si>
  <si>
    <t>Equipos HTLS (Prensa, Alzabobina, Cordina)</t>
  </si>
  <si>
    <t>3.4</t>
  </si>
  <si>
    <t>Generador 30 kVA</t>
  </si>
  <si>
    <t>3.5</t>
  </si>
  <si>
    <t>Herramientas e Implementos Menores (Escalas, Señalética)</t>
  </si>
  <si>
    <t>4.0</t>
  </si>
  <si>
    <t>4.1</t>
  </si>
  <si>
    <t>Arriendo Container Oficina</t>
  </si>
  <si>
    <t>4.2</t>
  </si>
  <si>
    <t>Arriendo Baños Químicos</t>
  </si>
  <si>
    <t>4.3</t>
  </si>
  <si>
    <t>Fletes y Transporte</t>
  </si>
  <si>
    <t>5.0</t>
  </si>
  <si>
    <t>ASESORÍA TÉCNICA CTC GLOBAL</t>
  </si>
  <si>
    <t>5.1</t>
  </si>
  <si>
    <t>Servicios de Asesoría y Standby</t>
  </si>
  <si>
    <t>5.2</t>
  </si>
  <si>
    <t>Logística y Viáticos Asesor</t>
  </si>
  <si>
    <t>5.3</t>
  </si>
  <si>
    <t>EPP Asesor Especialista</t>
  </si>
  <si>
    <t>6.0</t>
  </si>
  <si>
    <t>GASTOS GENERALES Y OPERACIONALES</t>
  </si>
  <si>
    <t>6.1</t>
  </si>
  <si>
    <t>Logística: Alojamiento MOD/MOI/Staff</t>
  </si>
  <si>
    <t>6.2</t>
  </si>
  <si>
    <t>Logística: Alimentación MOD/MOI/Staff</t>
  </si>
  <si>
    <t>6.3</t>
  </si>
  <si>
    <t>Logística: Pasajes y Traslados</t>
  </si>
  <si>
    <t>6.4</t>
  </si>
  <si>
    <t>Costo Operativo Equipos (Combustible, etc.)</t>
  </si>
  <si>
    <t>6.5</t>
  </si>
  <si>
    <t>EPP y Ropa de Trabajo Personal (Directo e Ind.)</t>
  </si>
  <si>
    <t>6.6</t>
  </si>
  <si>
    <t>Certificaciones Externas</t>
  </si>
  <si>
    <t>7.0</t>
  </si>
  <si>
    <t>IMPREVISTOS Y CONTINGENCIAS</t>
  </si>
  <si>
    <t>7.1</t>
  </si>
  <si>
    <t>Provisión Imprevistos (15 días)</t>
  </si>
  <si>
    <t>TOTAL INGRESOS</t>
  </si>
  <si>
    <t>TOTAL MARGEN COMPROMETIDO</t>
  </si>
  <si>
    <t>Descripción del Costo</t>
  </si>
  <si>
    <t>Fecha (Mes)</t>
  </si>
  <si>
    <t>Monto Neto</t>
  </si>
  <si>
    <t>Clasificación (utilizar lista deplegable)</t>
  </si>
  <si>
    <t xml:space="preserve">Tipo de Costo </t>
  </si>
  <si>
    <t>Registrado en Contabilidad</t>
  </si>
  <si>
    <t>Estadia Capacitacion MOD + JC Santander - Iquique S25-29 Mayo</t>
  </si>
  <si>
    <t>Factura Pago 30 días</t>
  </si>
  <si>
    <t>No</t>
  </si>
  <si>
    <t>Examenes Iquique</t>
  </si>
  <si>
    <t>Coaching 3D CEIM</t>
  </si>
  <si>
    <t>Pasajes Iquique - Antofagasta Personal Directo</t>
  </si>
  <si>
    <t>Estadia Antofagasta Personal Directo</t>
  </si>
  <si>
    <t>Alimentacion Antofagasta Personal Directo</t>
  </si>
  <si>
    <t>1. IRL (DS.44)</t>
  </si>
  <si>
    <t>2. Derecho detener trabajo</t>
  </si>
  <si>
    <t>3. Inducción a riesgos</t>
  </si>
  <si>
    <t>4. DDHH</t>
  </si>
  <si>
    <t>5. Inducción Escondida</t>
  </si>
  <si>
    <t>6. Intro a Gral IISS</t>
  </si>
  <si>
    <t>7. Intro Zona Especifica</t>
  </si>
  <si>
    <t>8. Cartilla Identificación</t>
  </si>
  <si>
    <t>9. Obs. Preventivas</t>
  </si>
  <si>
    <t>10. Liderazgo Terreno</t>
  </si>
  <si>
    <t>11. Control critico</t>
  </si>
  <si>
    <t>12. Auditoria Coaching</t>
  </si>
  <si>
    <t>13. Inspecciones</t>
  </si>
  <si>
    <t>14. Aislamiento Bloqueo</t>
  </si>
  <si>
    <t>15. Riesgo materiales</t>
  </si>
  <si>
    <t>16. Procedimiento Emergencia</t>
  </si>
  <si>
    <t>17. Reglas Cardinales</t>
  </si>
  <si>
    <t>18. No en nuestro lugar</t>
  </si>
  <si>
    <t>19. Preocupación Crónica</t>
  </si>
  <si>
    <t>20. Politica Alcohol</t>
  </si>
  <si>
    <t>21. Sustancias Peligrosas</t>
  </si>
  <si>
    <t>22. Nuestro Código</t>
  </si>
  <si>
    <t>23. Entrega RIOHS</t>
  </si>
  <si>
    <t>24. Entrega EPP</t>
  </si>
  <si>
    <t>25. Entrega Procedimiento</t>
  </si>
  <si>
    <t>26. Evaluación 3D</t>
  </si>
  <si>
    <t>27. Exámen Gran Altura</t>
  </si>
  <si>
    <t>28. Exámen Altura Fisica</t>
  </si>
  <si>
    <t>29. Contrato de trabajo</t>
  </si>
  <si>
    <t>30. Permiso Trabajo</t>
  </si>
  <si>
    <t>31. Protec. Respiratoria</t>
  </si>
  <si>
    <t>32. Espacio Confinado</t>
  </si>
  <si>
    <t>33. Trabajo en caliente</t>
  </si>
  <si>
    <t>34. Alta tensión</t>
  </si>
  <si>
    <t>35. Control riesgos electricos</t>
  </si>
  <si>
    <t>36. Trabajo en altura</t>
  </si>
  <si>
    <t>37. Rescate en altura</t>
  </si>
  <si>
    <t>38. Armado andamios</t>
  </si>
  <si>
    <t>39. Riesgo Psicosocial</t>
  </si>
  <si>
    <t>40. Hipobaria</t>
  </si>
  <si>
    <t>41. Protec. Auditiva</t>
  </si>
  <si>
    <t>42. Radiaciones UV</t>
  </si>
  <si>
    <t>43. Conciencia carcinógenos</t>
  </si>
  <si>
    <t>44. Primeros Auxilios</t>
  </si>
  <si>
    <t>45. Uso extintores</t>
  </si>
  <si>
    <t>46. Liderazgo en Terreno</t>
  </si>
  <si>
    <t>47. Manejo defensiva</t>
  </si>
  <si>
    <t>48. Examen Psicosensométrico</t>
  </si>
  <si>
    <t>49. Hoja Vida conductor</t>
  </si>
  <si>
    <t>50. Licencia Municipal</t>
  </si>
  <si>
    <t>51. Operador Grúa</t>
  </si>
  <si>
    <t>52. Operador Equipos</t>
  </si>
  <si>
    <t>53. Operador andamios</t>
  </si>
  <si>
    <t>54. Eventos security</t>
  </si>
  <si>
    <t>55. Condiciones climáticas</t>
  </si>
  <si>
    <t>56. Riesgo caída rocas</t>
  </si>
  <si>
    <t>Total Aplica</t>
  </si>
  <si>
    <t>% Avance HDR</t>
  </si>
  <si>
    <t>Maestro 1°</t>
  </si>
  <si>
    <t>5X2</t>
  </si>
  <si>
    <t>Total Organigrama</t>
  </si>
  <si>
    <t>Administrador</t>
  </si>
  <si>
    <t>Andres Tebes</t>
  </si>
  <si>
    <t>Anexo</t>
  </si>
  <si>
    <t>Supervisor de Montaje y Tendido</t>
  </si>
  <si>
    <t xml:space="preserve"> Administrativo &amp; RRLL</t>
  </si>
  <si>
    <t>HSEC</t>
  </si>
  <si>
    <t xml:space="preserve">Leonel Sanchez </t>
  </si>
  <si>
    <t>Ctto</t>
  </si>
  <si>
    <t>Sup. Terreno</t>
  </si>
  <si>
    <t>M1 Montaje y Tendido</t>
  </si>
  <si>
    <t>/</t>
  </si>
  <si>
    <t>Maestro 1° Senior</t>
  </si>
  <si>
    <t xml:space="preserve">Maestro 1° </t>
  </si>
  <si>
    <t>M2 Montaje y Tendido</t>
  </si>
  <si>
    <t xml:space="preserve">Maestro 2° </t>
  </si>
  <si>
    <t xml:space="preserve">Estado </t>
  </si>
  <si>
    <t>Acreditado</t>
  </si>
  <si>
    <t>Estado KANBAN</t>
  </si>
  <si>
    <t>Responsables</t>
  </si>
  <si>
    <t>Prioridad</t>
  </si>
  <si>
    <t>Aversion al Riesgo</t>
  </si>
  <si>
    <t>Backlog / Por Iniciar</t>
  </si>
  <si>
    <t>Alta</t>
  </si>
  <si>
    <t>Programado</t>
  </si>
  <si>
    <t>Retrasado</t>
  </si>
  <si>
    <t>En Proceso</t>
  </si>
  <si>
    <t>Alex Vergara</t>
  </si>
  <si>
    <t>Media</t>
  </si>
  <si>
    <t xml:space="preserve">Factura Pago Contado </t>
  </si>
  <si>
    <t>Obs. Bajo lo esperado</t>
  </si>
  <si>
    <t>En Revisión / MEL</t>
  </si>
  <si>
    <t>Banesa Garrido</t>
  </si>
  <si>
    <t>Baja</t>
  </si>
  <si>
    <t>Caja Chica / Fondo Fijo</t>
  </si>
  <si>
    <t>Aprobado / Terminado</t>
  </si>
  <si>
    <t>Bárbara Tureo</t>
  </si>
  <si>
    <t>Bloqueado / Riesgo</t>
  </si>
  <si>
    <t>Claudio Cajas</t>
  </si>
  <si>
    <t>Franklin Godoy</t>
  </si>
  <si>
    <t>Javier Gomez</t>
  </si>
  <si>
    <t>Jesenia Ramirez</t>
  </si>
  <si>
    <t>Jessica Ortiz</t>
  </si>
  <si>
    <t>Jose Contuliano</t>
  </si>
  <si>
    <t>Juan Carlos Gonzalez</t>
  </si>
  <si>
    <t>Kathia San Martin</t>
  </si>
  <si>
    <t>Rodrigo Palma</t>
  </si>
  <si>
    <t>Empresa: Sistema de Transmisión del Norte S.A. (STN)</t>
  </si>
  <si>
    <t>RUT: 76.41.374-2</t>
  </si>
  <si>
    <t>Dotación: 68 personas</t>
  </si>
  <si>
    <t>FECHA ULTIMA ACTUALIZACIÓN</t>
  </si>
  <si>
    <t>Descripción del Servicio: Servicios de Mantenimiento Eléctrica para Equipos Primarios, Líneas de Transmisión, Distribución, Salas Eléctricas, SSEE Móviles y Maniobras Sistema Eléctrico de Potencia.</t>
  </si>
  <si>
    <t>N° Contrato: 9100077508</t>
  </si>
  <si>
    <t> </t>
  </si>
  <si>
    <t>Empresa colaboradora</t>
  </si>
  <si>
    <t>Fecha</t>
  </si>
  <si>
    <t>Firma</t>
  </si>
  <si>
    <t>Administrador
Contrato</t>
  </si>
  <si>
    <t>15 de Septiembre 2025</t>
  </si>
  <si>
    <t>Alejandro Morgado</t>
  </si>
  <si>
    <t>Asesor Prevención de
Riesgos</t>
  </si>
  <si>
    <t>II. Revisión  de Antecedentes:</t>
  </si>
  <si>
    <t>Minera
Escondida</t>
  </si>
  <si>
    <t>Camilo Garay</t>
  </si>
  <si>
    <t>Contract Owner</t>
  </si>
  <si>
    <t>Felindo Concha</t>
  </si>
  <si>
    <t>Operador de Contrato</t>
  </si>
  <si>
    <t>16 de Septiembre 2025</t>
  </si>
  <si>
    <t>III. Lista de documentos a presentar antes del inicio del contrato</t>
  </si>
  <si>
    <t>Control de Documentos</t>
  </si>
  <si>
    <t>Fecha Limite para el 100%</t>
  </si>
  <si>
    <t>En Antofagasta (Control Acceso) - ANTES de ingreso a faena</t>
  </si>
  <si>
    <t>SI</t>
  </si>
  <si>
    <t>NO</t>
  </si>
  <si>
    <t>Observación.</t>
  </si>
  <si>
    <t>Planificado</t>
  </si>
  <si>
    <t>Real</t>
  </si>
  <si>
    <t>Variación</t>
  </si>
  <si>
    <t>Comentarios(Fecha)</t>
  </si>
  <si>
    <t xml:space="preserve">Justificación </t>
  </si>
  <si>
    <t>Fecha Compromiso</t>
  </si>
  <si>
    <t>Autorización jornada especial Inspección del Trabajo (adherencia a "Jornadas  Marco" de Escondida-BHP).</t>
  </si>
  <si>
    <t>X</t>
  </si>
  <si>
    <t>RRLL</t>
  </si>
  <si>
    <t>Carta aprobación del personal que está autorizado por Escondida-BHP para firma de "Permiso de trabajo".</t>
  </si>
  <si>
    <t>Carta de constitución el comité paritario (&gt; 25 Personas) y copia del acta de reuniones del comité (tres últimos meses).</t>
  </si>
  <si>
    <t>PREV. RIESGOS</t>
  </si>
  <si>
    <t>Acta de constitución del "Comité bipartito" de capacitación (&gt;14 personas).</t>
  </si>
  <si>
    <t>Carta "Inicio de actividades Sernageomin".</t>
  </si>
  <si>
    <t>PREV. RIESGOS - RRLL</t>
  </si>
  <si>
    <t>Certificación de los "Equipos  de protección personal" de acuerdo al ISP y adjuntar listado.</t>
  </si>
  <si>
    <t>Certificación de los equipos móviles de levante y accesorios de levante que utilizaran, adjuntar listado de equipos.</t>
  </si>
  <si>
    <t>RRLL - OPERATIVO</t>
  </si>
  <si>
    <t>Certificación de vehículos equipos móviles, adjuntar listado.</t>
  </si>
  <si>
    <t>OPERATIVO</t>
  </si>
  <si>
    <t>Certificado de afiliación a un organismo administrador de la Ley 16744.</t>
  </si>
  <si>
    <t xml:space="preserve">PREV. RIESGOS </t>
  </si>
  <si>
    <t>Contrato con "Gerencia Escondida-BHP" (contrato comercial).</t>
  </si>
  <si>
    <t>GERENCIAL</t>
  </si>
  <si>
    <t>Copia de "Reglamento interno de orden, higiene y seguridad" de la empresa contratista.</t>
  </si>
  <si>
    <t>Registro de recepción de "Reglamento interno" por parte de los trabajadores.</t>
  </si>
  <si>
    <t>Croquis de instalación de faena identificando áreas, PEE, puntos de almacenamiento temporal de residuos y puntos de almacenamiento de sustancias peligrosas.</t>
  </si>
  <si>
    <t>Curricular y acreditación de o los profesional(es) en "Prevención de Riesgos" DS-95.
Ley 16.744- Decreto 132  Seguridad  Minera.  (Según categoría de acuerdo al reglamento de empresas colaboradoras)/ Estos deben ser aprobados por el Dpto. de Seguridad de Minera Escondida-BHP.</t>
  </si>
  <si>
    <t>Designación de monitores de seguridad (empresas &lt;25 trabajadores).</t>
  </si>
  <si>
    <t>Hoja Ruta de cada trabajador (Ver Hoja de Ruta para Trabajadores), adjuntar respaldos.</t>
  </si>
  <si>
    <t>RRLL - PREV RIESGOS</t>
  </si>
  <si>
    <t>"Inventario de Riesgos Salud, Seguridad y Medio Ambiente"  de acuerdo a formato Escondida-BHP.</t>
  </si>
  <si>
    <t>Listado conductor, recepción reglamento transportes.</t>
  </si>
  <si>
    <t>Listado de vehículo, con sus marcas, capacidad de carga, modelo, año y placa patente.</t>
  </si>
  <si>
    <t>Matriz de Evaluación Cualitativa de exposición (Salud).</t>
  </si>
  <si>
    <t>Medio de Transporte del personal  (Antofagasta - campamento y campamento - Mina).</t>
  </si>
  <si>
    <t>Organigrama de la Empresa  y listado de la dotación  de la empresa.</t>
  </si>
  <si>
    <t>Organigrama del Departamento de Prevención de Riesgos.  (si la empresa  es de &gt;100 trabajadores)/ Los cuales deben depender de la Gerencia General de acuerdo al DS 132.</t>
  </si>
  <si>
    <t>PREV RIESGOS</t>
  </si>
  <si>
    <t>Permisos ambientales y de salud requeridos para ejercer los servicios contratados (según aplicación).</t>
  </si>
  <si>
    <t>Plan de cierre de faena (abandono de instalación faena).</t>
  </si>
  <si>
    <t>Plan de regularización de puntos de almacenamiento temporal de residuos y de puntos de almacenamiento de sustancias peligrosas.</t>
  </si>
  <si>
    <t>Política HSEC y Política de Alcohol y Drogas, adjuntar Programa de envío del personal a Policlínico.</t>
  </si>
  <si>
    <t>Procedimiento de preparación y respuesta ante situaciones de emergencia (con nombre y teléfonos claves de la empresa).</t>
  </si>
  <si>
    <t>Procedimientos de "Trabajo Seguro" con firmas correspondiente (elaboración, revisión y aprobación), adjuntar listado de los procedimientos.</t>
  </si>
  <si>
    <t>OPERATIVO - PREV. RIESGOS</t>
  </si>
  <si>
    <t>Programa de capacitación (HSE) de acuerdo a niveles de riesgo evaluado en los inventarios.</t>
  </si>
  <si>
    <t>"Programa de Gestión en Salud, Seguridad y Medio Ambiente" alineado con el programa de Escondida-BHP (basado en el Check list que indica el "Reglamento de Empresas colaboradoras y Subcontratistas") revisado y timbrado por HSE Escondida-BHP.</t>
  </si>
  <si>
    <t>Programa mantención; vehículos, equipos de apoyo, levante, eléctricos portátiles.</t>
  </si>
  <si>
    <t>Certificación soldador, Rigger, Mufas, operadores, etc</t>
  </si>
  <si>
    <t>Boleta de garantía (sólo si está estipulado en el contrato).</t>
  </si>
  <si>
    <t>Historial de los accidentes del trabajo y enfermedades profesionales "Certificado Organismo Administrador" últimos 3 Periodos (ley 16.744).</t>
  </si>
  <si>
    <t>AVANCE</t>
  </si>
  <si>
    <t>Activity ID</t>
  </si>
  <si>
    <t>Código EDT/WBS</t>
  </si>
  <si>
    <t>Actividad</t>
  </si>
  <si>
    <t>Responsable</t>
  </si>
  <si>
    <t>Estado</t>
  </si>
  <si>
    <t>Fecha de Compromiso</t>
  </si>
  <si>
    <t xml:space="preserve">% Avance Real </t>
  </si>
  <si>
    <t>Fecha de Inicio de Actividad</t>
  </si>
  <si>
    <t>Fecha Limite Cierre Actividad</t>
  </si>
  <si>
    <t>Duración de actividad en días</t>
  </si>
  <si>
    <t xml:space="preserve">% Avance Esperado </t>
  </si>
  <si>
    <t>% Desviación</t>
  </si>
  <si>
    <t>Mitigación / Acción ante Riesgo</t>
  </si>
  <si>
    <t>ACT-001</t>
  </si>
  <si>
    <t>1.2 Obras Civiles y Montaje</t>
  </si>
  <si>
    <t>Traslado de conductor eléctrico desde SSEE Buín a Antofagasta</t>
  </si>
  <si>
    <t>Gestionar como gasto reembolsable con cliente</t>
  </si>
  <si>
    <t>ACT-002</t>
  </si>
  <si>
    <t>2.1 HSEC &amp; Acreditación</t>
  </si>
  <si>
    <t>Cursos Mutual</t>
  </si>
  <si>
    <t>Monitoreo en bloque desde hotel (10:00 a 20:00 hrs)</t>
  </si>
  <si>
    <t>Cursos MEL (5h)</t>
  </si>
  <si>
    <t>Cursos LMS</t>
  </si>
  <si>
    <t>Inscripción Cursos PMF</t>
  </si>
  <si>
    <t>ACT-003</t>
  </si>
  <si>
    <t>Cotizacion Coaching psicológico 3D (10-12 personas)</t>
  </si>
  <si>
    <t>29/05/2026</t>
  </si>
  <si>
    <t>Cotizar opción presencial en Antofagasta (2,5 UF/pax)</t>
  </si>
  <si>
    <t>ACT-004</t>
  </si>
  <si>
    <t>2.2 HSEC &amp; Acreditación</t>
  </si>
  <si>
    <t>Obtener validación de MEL (Osman/Marco) para CV Supervisor</t>
  </si>
  <si>
    <t>27/05/2026</t>
  </si>
  <si>
    <t>Posicionar a Leonel Sánchez como respaldo técnico en terreno</t>
  </si>
  <si>
    <t>ACT-005</t>
  </si>
  <si>
    <t>3.1 Gestión de Flota</t>
  </si>
  <si>
    <t>Retirar 3 camionetas estándar MEL desde Tattersal Antofagasta</t>
  </si>
  <si>
    <t>28/05/2026</t>
  </si>
  <si>
    <t>Validar emisión de certificados de torque</t>
  </si>
  <si>
    <t>ACT-006</t>
  </si>
  <si>
    <t>Emitir OC vía CAPEX para 4 radios APX 1.500</t>
  </si>
  <si>
    <t>05/06/2026</t>
  </si>
  <si>
    <t>Escalar firma a Javier para acelerar entrega</t>
  </si>
  <si>
    <t>ACT-007</t>
  </si>
  <si>
    <t>3.2 Equipamiento Mayor</t>
  </si>
  <si>
    <t>Regularizar certificado Hombre Muerto PESCO para Camión Grúa</t>
  </si>
  <si>
    <t>Gestión urgente para obtención de sello QR SEIM</t>
  </si>
  <si>
    <t>ACT-008</t>
  </si>
  <si>
    <t>4.1 Logística de Instalaciones</t>
  </si>
  <si>
    <t>Confirmar condición de entrega en sitio de Container arrendado</t>
  </si>
  <si>
    <t>Arrendar cama baja en Antofagasta si no incluye flete a terreno</t>
  </si>
  <si>
    <t>ACT-009</t>
  </si>
  <si>
    <t>4.2 Procura Menor</t>
  </si>
  <si>
    <t>Comprar ropa de invierno requerida para test 3D</t>
  </si>
  <si>
    <t>Activar proveedor spot local ante quiebre de stock</t>
  </si>
  <si>
    <t>A1140</t>
  </si>
  <si>
    <t>1.1.5.1</t>
  </si>
  <si>
    <t>Hito: Disponibilidad de Conductor y Herrajes en Faena</t>
  </si>
  <si>
    <t>A1500</t>
  </si>
  <si>
    <t>1.1.5.2</t>
  </si>
  <si>
    <t>Examenes - Cartas Oferta - Contratación</t>
  </si>
  <si>
    <t>A1510</t>
  </si>
  <si>
    <t>Tramitación y Carga de Carpetas Acreditación Personal Delloitte</t>
  </si>
  <si>
    <t>A1520</t>
  </si>
  <si>
    <t>1.1.5.3</t>
  </si>
  <si>
    <t>Pases de Vehículos y Maquinarias (MEL)</t>
  </si>
  <si>
    <t>A1530</t>
  </si>
  <si>
    <t>1.1.5.4</t>
  </si>
  <si>
    <t>Certificación 3D CEIM</t>
  </si>
  <si>
    <t>A1540</t>
  </si>
  <si>
    <t>1.1.5.5</t>
  </si>
  <si>
    <t>Aprobación Final de Planes de Izaje Estándar BHP (Pluma)</t>
  </si>
  <si>
    <t>A1600</t>
  </si>
  <si>
    <t>1.1.6</t>
  </si>
  <si>
    <t>Capacitación CTC Global (Personal STN en Antofagasta)</t>
  </si>
  <si>
    <t>A1700</t>
  </si>
  <si>
    <t>1.1.7</t>
  </si>
  <si>
    <t>Movilización de Equipos y Container a SSEE Ohiggins</t>
  </si>
  <si>
    <t>A2000</t>
  </si>
  <si>
    <t>1.2.1</t>
  </si>
  <si>
    <t>Hito: Ventana Contractual - Inicio Obras Terreno</t>
  </si>
  <si>
    <t>A2010</t>
  </si>
  <si>
    <t>1.2.2</t>
  </si>
  <si>
    <t>Recepción de Área de Trabajo y Bloqueos Eléctricos BP1</t>
  </si>
  <si>
    <t>A2020</t>
  </si>
  <si>
    <t>1.2.3</t>
  </si>
  <si>
    <t>Retiro de Conductor Flint Existente y Desarme de Herrajes</t>
  </si>
  <si>
    <t>A2030</t>
  </si>
  <si>
    <t>1.2.4</t>
  </si>
  <si>
    <t>Mitigación: Limpieza y Medición de Espesores Marcos MB2/MB3</t>
  </si>
  <si>
    <t>A2040</t>
  </si>
  <si>
    <t>1.2.5</t>
  </si>
  <si>
    <t>Preparativos de Tendido y Montaje de Poleas en Pórticos</t>
  </si>
  <si>
    <t>A2050</t>
  </si>
  <si>
    <t>1.2.6</t>
  </si>
  <si>
    <t>Tendido Mecánico y Regulado Conductor ACCC Lisbon (2xF)</t>
  </si>
  <si>
    <t>A2060</t>
  </si>
  <si>
    <t>1.2.6.1</t>
  </si>
  <si>
    <t>Hito de Control: Asesoría Técnica Terreno Especialista CTC</t>
  </si>
  <si>
    <t>A2070</t>
  </si>
  <si>
    <t>1.2.7</t>
  </si>
  <si>
    <t>Engrampado y Templado Final de Conductor HTLS</t>
  </si>
  <si>
    <t>A2080</t>
  </si>
  <si>
    <t>1.2.8</t>
  </si>
  <si>
    <t>Instalación de Amortiguadores y Separadores Rígidos</t>
  </si>
  <si>
    <t>A2090</t>
  </si>
  <si>
    <t>1.2.9</t>
  </si>
  <si>
    <t>Montaje de Conectores Tipo T y Acometidas a Equipos Patio</t>
  </si>
  <si>
    <t>A2100</t>
  </si>
  <si>
    <t>1.2.10</t>
  </si>
  <si>
    <t>Conexión Recta de Conductor ACCC a Mufa de Acoplamiento GIS</t>
  </si>
  <si>
    <t>A2110</t>
  </si>
  <si>
    <t>1.2.11</t>
  </si>
  <si>
    <t>Pruebas de Pre-Comisionamiento y Comisionamiento (Pre-COM/COM)</t>
  </si>
  <si>
    <t>A2120</t>
  </si>
  <si>
    <t>1.2.12</t>
  </si>
  <si>
    <t>Hito: Barra Principal BP1 Energizada y Comercial Operativa</t>
  </si>
  <si>
    <t>A3000</t>
  </si>
  <si>
    <t>1.3.1</t>
  </si>
  <si>
    <t>Desmovilización de IIFF, Equipos y Limpieza Industrial</t>
  </si>
  <si>
    <t>A3010</t>
  </si>
  <si>
    <t>1.3.2</t>
  </si>
  <si>
    <t>Elaboración, Validación y Entrega de Planos As-Built STN</t>
  </si>
  <si>
    <t>A3020</t>
  </si>
  <si>
    <t>1.3.3</t>
  </si>
  <si>
    <t>Cierre Comercial del Contrato y Devolución de Garantías</t>
  </si>
  <si>
    <t>OH-6020</t>
  </si>
  <si>
    <t>Término del Proyecto</t>
  </si>
  <si>
    <t xml:space="preserve"> Proyecto 4518893428- Aumento Capacidad BP1 SE OHiggins-CMDIC</t>
  </si>
  <si>
    <t xml:space="preserve">TABLA DE ACTIVIDADES - FASE DE INICIO </t>
  </si>
  <si>
    <t>Fecha Revisión : 22 Mayo 2026</t>
  </si>
  <si>
    <t>Activity Name</t>
  </si>
  <si>
    <t>Original Duration</t>
  </si>
  <si>
    <t>Remaining Duration</t>
  </si>
  <si>
    <t>Start</t>
  </si>
  <si>
    <t>Finish</t>
  </si>
  <si>
    <t>Total Float</t>
  </si>
  <si>
    <t>Performance % Complete</t>
  </si>
  <si>
    <t>Predecessors</t>
  </si>
  <si>
    <t>Peso</t>
  </si>
  <si>
    <t>A1000</t>
  </si>
  <si>
    <t>1.1.1</t>
  </si>
  <si>
    <t>Hito: Adjudicación de Servicio y Firma Contrato</t>
  </si>
  <si>
    <t>--</t>
  </si>
  <si>
    <t>A1010</t>
  </si>
  <si>
    <t>1.1.2</t>
  </si>
  <si>
    <t>Hito: Kick-Off Meeting (KOM) Oficial con MEL</t>
  </si>
  <si>
    <t>A1100</t>
  </si>
  <si>
    <t>1.1.3</t>
  </si>
  <si>
    <t>Ingeniería de Detalle Aprobada para Construcción (AptC)</t>
  </si>
  <si>
    <t>A1120</t>
  </si>
  <si>
    <t>1.1.4</t>
  </si>
  <si>
    <t>Validación Estructural y Mecánica de Marcos Existentes</t>
  </si>
  <si>
    <t>A1130</t>
  </si>
  <si>
    <t>1.1.5</t>
  </si>
  <si>
    <t>Monitoreo Arribo Suministro Conductor HTLS (RTHO)</t>
  </si>
  <si>
    <t>A1140, A1540</t>
  </si>
  <si>
    <t>A2000, A1700</t>
  </si>
  <si>
    <t>A2050 SS</t>
  </si>
  <si>
    <t>OH-6010</t>
  </si>
  <si>
    <t>KANBAN</t>
  </si>
  <si>
    <t>Tablero Tareas</t>
  </si>
  <si>
    <t>Instalación de faena en S/E</t>
  </si>
  <si>
    <t>Aprobación de CVs (Lote 2)</t>
  </si>
  <si>
    <t>Kick-off Meeting KOM</t>
  </si>
  <si>
    <t>Acreditación de CTC Global</t>
  </si>
  <si>
    <t>Total Tareas:</t>
  </si>
  <si>
    <t>Cursos OTEC</t>
  </si>
  <si>
    <t xml:space="preserve">Finalizar cursos Mutual, inducción MEL (5h) </t>
  </si>
  <si>
    <t>Suministro conductor HTLS ACCC (RTHO) - En Bodega STN Buín</t>
  </si>
  <si>
    <t>% Avance Físico Global:</t>
  </si>
  <si>
    <t>Traslado de conductor eléctrico desde zona sur</t>
  </si>
  <si>
    <t>Resumen por Responsable</t>
  </si>
  <si>
    <t>Tareas Asignadas</t>
  </si>
  <si>
    <t>Movilización especialista CTC Global</t>
  </si>
  <si>
    <t>Homologación Camión Pluma</t>
  </si>
  <si>
    <t>Ingeniería As Built de marcos (KPro)</t>
  </si>
  <si>
    <t>Aprobación de Contrato</t>
  </si>
  <si>
    <t>Coaching psicológico 3D (10-12 personas)</t>
  </si>
  <si>
    <t>Tendido y templado 2 condxfase ACCC</t>
  </si>
  <si>
    <t>Carga de cursos LMS y OTEC</t>
  </si>
  <si>
    <t>Plan de Calidad y SSO</t>
  </si>
  <si>
    <t>Retirar 3 camionetas estándar MEL desde Tatersal Antofagasta</t>
  </si>
  <si>
    <t>CONTROL DE AVANCE FÍSICO Y CURVA S (METODOLOGÍA PMI)</t>
  </si>
  <si>
    <t>CONTROL DE AVANCE FINANCIERO Y CURVA S (METODOLOGÍA PMI)</t>
  </si>
  <si>
    <t>Mayo 2026</t>
  </si>
  <si>
    <t>Junio 2026</t>
  </si>
  <si>
    <t>Julio 2026</t>
  </si>
  <si>
    <t>Agosto 2026</t>
  </si>
  <si>
    <t>Septiembre 2026</t>
  </si>
  <si>
    <t>Mes</t>
  </si>
  <si>
    <t>PV ($)</t>
  </si>
  <si>
    <t>EV ($)</t>
  </si>
  <si>
    <t>AC ($)</t>
  </si>
  <si>
    <t>Avance Planificado Mensual</t>
  </si>
  <si>
    <t>Avance Planificado Acumulado (PV %)</t>
  </si>
  <si>
    <t>Avance Físico Real Mensual</t>
  </si>
  <si>
    <t>Jul</t>
  </si>
  <si>
    <t>Avance Físico Real Acumulado (EV %)</t>
  </si>
  <si>
    <t>Ago</t>
  </si>
  <si>
    <t>Variación del Cronograma (SV % = EV - PV)</t>
  </si>
  <si>
    <t>Índice Desempeño Cronograma (SPI = EV/PV)</t>
  </si>
  <si>
    <t>* Ingrese el Avance Físico Real Mensual en las celdas celestes (Fila 8).</t>
  </si>
  <si>
    <t>CONTROL FINANCIERO (EVM $)</t>
  </si>
  <si>
    <t>May 2026</t>
  </si>
  <si>
    <t>Jun 2026</t>
  </si>
  <si>
    <t>Jul 2026</t>
  </si>
  <si>
    <t>Ago 2026</t>
  </si>
  <si>
    <t>Sep 2026</t>
  </si>
  <si>
    <t>Valor Planeado Acumulado PV ($)</t>
  </si>
  <si>
    <t>Valor Ganado Acumulado EV ($)</t>
  </si>
  <si>
    <t>Costo Real Acumulado AC ($)</t>
  </si>
  <si>
    <t>CONTROL HORAS HOMBRE (HH)</t>
  </si>
  <si>
    <t>Total</t>
  </si>
  <si>
    <t>HH Real Incurridas Mensual</t>
  </si>
  <si>
    <t xml:space="preserve">Dotación Real Total </t>
  </si>
  <si>
    <t>HH Planificadas Mensual</t>
  </si>
  <si>
    <t>Dotación Total Planificada</t>
  </si>
  <si>
    <t>Tipo Equipo</t>
  </si>
  <si>
    <t>Identificador / Patente</t>
  </si>
  <si>
    <t xml:space="preserve">Ubicación </t>
  </si>
  <si>
    <t>Doc. Base</t>
  </si>
  <si>
    <t>Seguro / Rev. Tec.</t>
  </si>
  <si>
    <t>Checklist Faena</t>
  </si>
  <si>
    <t>Op. Habilitado</t>
  </si>
  <si>
    <t>Inspección CEIM</t>
  </si>
  <si>
    <t>Tracktec / Sello</t>
  </si>
  <si>
    <t>Homologación</t>
  </si>
  <si>
    <t>Fecha Vencimiento</t>
  </si>
  <si>
    <t>% Avance Acreditación</t>
  </si>
  <si>
    <t>Semáforo (Icono)</t>
  </si>
  <si>
    <t>V001</t>
  </si>
  <si>
    <t>Camioneta</t>
  </si>
  <si>
    <t>Patente-1</t>
  </si>
  <si>
    <t>Tattersal</t>
  </si>
  <si>
    <t>V002</t>
  </si>
  <si>
    <t>Patente-2</t>
  </si>
  <si>
    <t>V003</t>
  </si>
  <si>
    <t>Patente-3</t>
  </si>
  <si>
    <t>V004</t>
  </si>
  <si>
    <t>Patente-4</t>
  </si>
  <si>
    <t>CP01</t>
  </si>
  <si>
    <t>Camión Pluma</t>
  </si>
  <si>
    <t>SHFS-99</t>
  </si>
  <si>
    <t>STN Antofagasta</t>
  </si>
  <si>
    <t>Ok</t>
  </si>
  <si>
    <t>HR01</t>
  </si>
  <si>
    <t>Herramienta Crítica</t>
  </si>
  <si>
    <t>Torque-01</t>
  </si>
  <si>
    <t>HR02</t>
  </si>
  <si>
    <t>Izaje-01</t>
  </si>
  <si>
    <t>No iniciado</t>
  </si>
  <si>
    <t>EQ-01</t>
  </si>
  <si>
    <t>Estación Total</t>
  </si>
  <si>
    <t>S/N: 12345</t>
  </si>
  <si>
    <t>Certificado de calibración requerido</t>
  </si>
  <si>
    <t>Fase / Entregable Principal</t>
  </si>
  <si>
    <t>Controller / PM</t>
  </si>
  <si>
    <t>Jefe Terreno</t>
  </si>
  <si>
    <t>Oficina Técnica</t>
  </si>
  <si>
    <t>Especialista CTC</t>
  </si>
  <si>
    <t>Acreditación de Personal y Equipos</t>
  </si>
  <si>
    <t>A</t>
  </si>
  <si>
    <t>R</t>
  </si>
  <si>
    <t>I</t>
  </si>
  <si>
    <t>C</t>
  </si>
  <si>
    <t>Ingeniería As Built KPro</t>
  </si>
  <si>
    <t>Suministro Conductor ACCC RTHO</t>
  </si>
  <si>
    <t>R/A</t>
  </si>
  <si>
    <t>Montaje y Tendido de Cable HTLS</t>
  </si>
  <si>
    <t>Pruebas y Comisionamiento (Pre COM/COM)</t>
  </si>
  <si>
    <t>Cierre de Proyecto y Dossier Calidad</t>
  </si>
  <si>
    <t>¿QUÉ ES LA MATRIZ RACI?</t>
  </si>
  <si>
    <t>La Matriz RACI es una herramienta de gestión organizacional que define claramente los roles y responsabilidades para cada tarea crítica de un proyecto. Su sentido fundamental es evitar confusiones sobre quién debe ejecutar el trabajo (R), quién tiene la responsabilidad de aprobación final (A), a quién consultar como experto (C) y a quién se debe mantener informado (I). De este modo, se asegura que el proyecto avance sin superposición de roles ni cuellos de botella.</t>
  </si>
  <si>
    <t>LEYENDA RACI TÉCNICA</t>
  </si>
  <si>
    <t>R (Responsible / Responsable)</t>
  </si>
  <si>
    <t>Quien ejecuta la tarea y hace el trabajo real. Es el hacedor (doer).</t>
  </si>
  <si>
    <t>A (Accountable / Aprobador)</t>
  </si>
  <si>
    <t>Quien tiene la responsabilidad final y aprueba el trabajo (Solo debe haber 1 'A' por tarea).</t>
  </si>
  <si>
    <t>C (Consulted / Consultado)</t>
  </si>
  <si>
    <t>Quien aporta información clave, consejo o expertise antes o durante la tarea.</t>
  </si>
  <si>
    <t>I (Informed / Informado)</t>
  </si>
  <si>
    <t>Quien debe ser notificado del progreso o finalización. Comunicación unidireccional.</t>
  </si>
  <si>
    <t>Faltan titulos</t>
  </si>
  <si>
    <t>R1</t>
  </si>
  <si>
    <t>Vacante crítica operador/rigger</t>
  </si>
  <si>
    <t>9</t>
  </si>
  <si>
    <t>Reclutamiento acelerado + bolsa externa</t>
  </si>
  <si>
    <t>CTRL_01</t>
  </si>
  <si>
    <t>01-06-2026</t>
  </si>
  <si>
    <t>Abierto</t>
  </si>
  <si>
    <t>Rojo</t>
  </si>
  <si>
    <t>R2</t>
  </si>
  <si>
    <t>Flota</t>
  </si>
  <si>
    <t>Demora homologación camión pluma</t>
  </si>
  <si>
    <t>Seguimiento diario y plan de contingencia</t>
  </si>
  <si>
    <t>R3</t>
  </si>
  <si>
    <t>Vencimiento exámenes o cursos antes de movilización</t>
  </si>
  <si>
    <t>6</t>
  </si>
  <si>
    <t>Acreditación por oleadas y control vencimientos</t>
  </si>
  <si>
    <t>15-06-2026</t>
  </si>
  <si>
    <t>R4</t>
  </si>
  <si>
    <t>Demora VB MEL a CVs lote 2</t>
  </si>
  <si>
    <t>Apoyo vía contacto mantenimiento MEL</t>
  </si>
  <si>
    <t>R5</t>
  </si>
  <si>
    <t>Camionetas fuera de estándar Tracktec</t>
  </si>
  <si>
    <t>3</t>
  </si>
  <si>
    <t>Upgrade técnico previo a sello</t>
  </si>
  <si>
    <t>30-05-2026</t>
  </si>
  <si>
    <t>Amarillo</t>
  </si>
  <si>
    <t>Item</t>
  </si>
  <si>
    <t>Descripción del Servicio</t>
  </si>
  <si>
    <t>Proveedor 1</t>
  </si>
  <si>
    <t>Proveedor 2</t>
  </si>
  <si>
    <t>Proveedor 3</t>
  </si>
  <si>
    <t>Fecha inicio</t>
  </si>
  <si>
    <t>Fecha límite</t>
  </si>
  <si>
    <t>Contrato Firma</t>
  </si>
  <si>
    <t>% Real</t>
  </si>
  <si>
    <t>% Esperado</t>
  </si>
  <si>
    <t>Observaciones Semana 11.06</t>
  </si>
  <si>
    <t>Observaciones 27-08-2025</t>
  </si>
  <si>
    <t>Observaciones 24.10.2025</t>
  </si>
  <si>
    <t>Comentarios 15.12.2025</t>
  </si>
  <si>
    <t>Comentarios 07.12.2025</t>
  </si>
  <si>
    <t>Observaciones 30.10.2025</t>
  </si>
  <si>
    <t>Observaciones Semana 5</t>
  </si>
  <si>
    <t>Observaciones Semana 6</t>
  </si>
  <si>
    <t>Observaciones Semana 7</t>
  </si>
  <si>
    <t>Observaciones Semana 8</t>
  </si>
  <si>
    <t>Observaciones Semana 9</t>
  </si>
  <si>
    <t>Observaciones Semana 10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</si>
  <si>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</si>
  <si>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</si>
  <si>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</si>
  <si>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</si>
  <si>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</si>
  <si>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</si>
  <si>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</si>
  <si>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</si>
  <si>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</si>
  <si>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</si>
  <si>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Arriendo Camionetas (Leasing Operativo)</t>
  </si>
  <si>
    <t>Tattersall</t>
  </si>
  <si>
    <t>STN</t>
  </si>
  <si>
    <t>Firmado</t>
  </si>
  <si>
    <t xml:space="preserve">BHP  debe indicar las especificaciones para área mina y  ruta </t>
  </si>
  <si>
    <t>Camionetas en Antofagasta y MEL, en coordinacion bajada para instalación de radios.</t>
  </si>
  <si>
    <t>Flota Completa.</t>
  </si>
  <si>
    <t>Camionetas en Antofagasta y MEL, en coordinacion bajada para instalación de radios, estas ultimas en programación</t>
  </si>
  <si>
    <t>Alojamiento en Faena</t>
  </si>
  <si>
    <t>BHP</t>
  </si>
  <si>
    <t>Especificaciones de distribucion de alojamientos del personal  de STN en Escondida</t>
  </si>
  <si>
    <t>Se debe emitir nomina 10 dias antes del inicio de servicio de STN</t>
  </si>
  <si>
    <t>OK, En programacion según curva de Alojamiento.</t>
  </si>
  <si>
    <t>Alimentación en faena</t>
  </si>
  <si>
    <t>Lavandería</t>
  </si>
  <si>
    <t>Lavanor</t>
  </si>
  <si>
    <t>LeGrand Chic</t>
  </si>
  <si>
    <t>La Maestranza</t>
  </si>
  <si>
    <t>Indicar los requerimientos para ingresos de empresa externa, considerando  que es un svs esporadico.</t>
  </si>
  <si>
    <t>En contacto con proveedor con oferta emitida.</t>
  </si>
  <si>
    <t>Contrato en proceso de firmas, lidera Rodrigo Ackerman (STN)  y Eduardo Varela (Lavanor), Plazo de Termino 30.10.2025</t>
  </si>
  <si>
    <t>Contrato OK, Creado en PMF.
Alejandro Morgado debe indicar estado de carpeta de arranque para ver el ingreso del personal en Deloitte.</t>
  </si>
  <si>
    <t>Contrato OK, Creado en PMF, falta la homologacion de Carpeta de Arranque y Validacion de Personal subcontrato HDR</t>
  </si>
  <si>
    <t>Contrato Firmado, en proceso de habilitación de Subcontrato Lavanor en MEL</t>
  </si>
  <si>
    <t>Combustible</t>
  </si>
  <si>
    <t>TCT Copec</t>
  </si>
  <si>
    <t>Chip Copec</t>
  </si>
  <si>
    <t>Pendiente adhesion chip faena.</t>
  </si>
  <si>
    <t>Contacto Proyectado 01-07-2025</t>
  </si>
  <si>
    <t>TCT para Ruta y Antofagasta, 100%. En gestion  de proceso de combustible de faena.</t>
  </si>
  <si>
    <t>TCT OK, se agrega el Adblue en todas las tarjetas.
Combustible de Faena, OK normalizad 11.12.2025.</t>
  </si>
  <si>
    <t>TCT OK, Se debe revisar con Copec el estado de adhesion de faena, ya que se cuentan con las tarjetas por vehiculo pero estan con Cargo a MEL. Reunion 09.12.2025 con Copec para ver los pasos a seguir.</t>
  </si>
  <si>
    <t>Alojamiento Adicional STN en Antofagasta</t>
  </si>
  <si>
    <t>Hotel Licantay</t>
  </si>
  <si>
    <t>Hotel Ancla Inn</t>
  </si>
  <si>
    <t>Hotel Madero</t>
  </si>
  <si>
    <t>Para personal en Antofagasta</t>
  </si>
  <si>
    <t>Personal de Bajada:
Licantay/Hotel /Madero
Personal 5x2: Madero + Otros</t>
  </si>
  <si>
    <t>Alojamiento Sr. Hugo Gonzalez y Brayan Zepeda (Madero)</t>
  </si>
  <si>
    <t>OK, programados para los turnos de bajada y para el personal de 5x2 (H. Gonzalez, B. Zepeda)</t>
  </si>
  <si>
    <t>Suministro Agua Desmineralizada</t>
  </si>
  <si>
    <t>Spot</t>
  </si>
  <si>
    <t>Proveedor Actual de STN Antofagasta, generar Adenda</t>
  </si>
  <si>
    <t>Proveedor actual de Agua desmineralizada de Spot.</t>
  </si>
  <si>
    <t>OK a traves de proveedor de Spot.</t>
  </si>
  <si>
    <t>Instalaciones de faena</t>
  </si>
  <si>
    <t>Pendiente</t>
  </si>
  <si>
    <t>El mantenimiento de las instalaciones será aporte de BHP ( Baños, techumbres, otros)</t>
  </si>
  <si>
    <t>Revisar los estados de instalaciones, Mobiliario, aire acondicionado,techumbre, entre otros.</t>
  </si>
  <si>
    <t>En estado de puesta en servicio, primera inspeccion 01.12.2025</t>
  </si>
  <si>
    <t>8.1</t>
  </si>
  <si>
    <t>Ampliacion de capacidad Oficinas de Antofagasta</t>
  </si>
  <si>
    <t>Locales Afta</t>
  </si>
  <si>
    <t>Mobiliario:
1.Modificacion Sala de Capacitacion
2.Modificacion Comedor
3.Modificacion Sala de Enlace</t>
  </si>
  <si>
    <t>Traslado de Personal</t>
  </si>
  <si>
    <t>Viggo</t>
  </si>
  <si>
    <t>Identificar los requerimientos de agendamiento</t>
  </si>
  <si>
    <t>Se debe informar a los trabajadores la forma de agendamiento en MEL</t>
  </si>
  <si>
    <t>Agendamiento de Buses de Personal de STN</t>
  </si>
  <si>
    <t>GPS y Somnolencia</t>
  </si>
  <si>
    <t>Samtech</t>
  </si>
  <si>
    <t>En programacion de unidades 27.10 al 10.11.2025</t>
  </si>
  <si>
    <t>En camionetas, administrado por Tattersall
En camiones, administrado por STN</t>
  </si>
  <si>
    <t>Gestion de Comunicaciones Radios Portatiles - Interexport</t>
  </si>
  <si>
    <t>Interexport</t>
  </si>
  <si>
    <t>Se debe gestionar contrato con Interexport por uso de frecuencia</t>
  </si>
  <si>
    <t>Contrato Firmado 24.10.2025, en espera de agenda de programación.</t>
  </si>
  <si>
    <t>Radios OK.</t>
  </si>
  <si>
    <t>Radios Programadas con Interexport, en algunos vehiculos aun falta la instalacion  (Plataforma y Camion de Lavado de MV).</t>
  </si>
  <si>
    <t>Contrato Firmado 24.10.2025, en programación desde el 28.10.2025</t>
  </si>
  <si>
    <t>Inatrans (Empresa Preferente)</t>
  </si>
  <si>
    <t>Inatrans</t>
  </si>
  <si>
    <t>Estudio de Somnolencia Conductores</t>
  </si>
  <si>
    <t>Northealth</t>
  </si>
  <si>
    <t>Ítem</t>
  </si>
  <si>
    <t>Meta Anual Contrato</t>
  </si>
  <si>
    <t>Meta Contrato (Mes)</t>
  </si>
  <si>
    <t>Stock Mínimo (Seguridad)</t>
  </si>
  <si>
    <t>Stock Bodega Faena</t>
  </si>
  <si>
    <t>Stock Of. Antofagasta</t>
  </si>
  <si>
    <t>STOCK TOTAL DISPONIBLE</t>
  </si>
  <si>
    <t>Entregado: Admininistración (7 Pers.)</t>
  </si>
  <si>
    <t>Entregado: Dx y Cables (24 Pers.)</t>
  </si>
  <si>
    <t>Entregado: EEPP
(12 Pers.)</t>
  </si>
  <si>
    <t>Entregado: Salas y SSEE
(15 Pers.)</t>
  </si>
  <si>
    <t>Entregado: Transmisión
(10 Pers.)</t>
  </si>
  <si>
    <t>Total Entregado al 
28-12-25</t>
  </si>
  <si>
    <t xml:space="preserve">Stock Disponible al 28-12-25  </t>
  </si>
  <si>
    <t>ESTADO / ALERTA</t>
  </si>
  <si>
    <t>Bloqueador Solar</t>
  </si>
  <si>
    <t>Barbiquejo</t>
  </si>
  <si>
    <t>Respirador medio rostro</t>
  </si>
  <si>
    <t>Guantes Cabritilla</t>
  </si>
  <si>
    <t>Camisa Ignífuga</t>
  </si>
  <si>
    <t>Geólogo (Chaleco)</t>
  </si>
  <si>
    <t>Audífonos</t>
  </si>
  <si>
    <t>Zapatos Dieléctricos</t>
  </si>
  <si>
    <t>Lentes</t>
  </si>
  <si>
    <t>Casco</t>
  </si>
  <si>
    <t>Pantalón Ignífugo</t>
  </si>
  <si>
    <t>Chaqueta Ignífuga</t>
  </si>
  <si>
    <t>Careta Antiarco</t>
  </si>
  <si>
    <t>Guantes Antigolpes</t>
  </si>
  <si>
    <t>Filtros Máscaras polvo</t>
  </si>
  <si>
    <t>Trajes Agua Lavado</t>
  </si>
  <si>
    <t>Botas agua</t>
  </si>
  <si>
    <t>Polerón Ignífugo</t>
  </si>
  <si>
    <t>Primera Capa</t>
  </si>
  <si>
    <t>Legionario Ignífugo</t>
  </si>
  <si>
    <t>Balaclava Ignífuga</t>
  </si>
  <si>
    <t>Overol Ignífugo</t>
  </si>
  <si>
    <t>Buzo Tivek (Desechable)</t>
  </si>
  <si>
    <t>Bolso EEPP y Ropa Sucia</t>
  </si>
  <si>
    <t>Protector Solar Labial</t>
  </si>
  <si>
    <t>Candado Rojo</t>
  </si>
  <si>
    <t>Candado Naranja</t>
  </si>
  <si>
    <t>Pinza Bloqueo</t>
  </si>
  <si>
    <t>Cono Naranja</t>
  </si>
  <si>
    <t>Cono Flour</t>
  </si>
  <si>
    <t>Cadena Plástica (mts)</t>
  </si>
  <si>
    <t>Barra conectora</t>
  </si>
  <si>
    <t>Guantes Clase 3</t>
  </si>
  <si>
    <t>Protector Mecánico Clase 3</t>
  </si>
  <si>
    <t>Guantes Clase 0</t>
  </si>
  <si>
    <t>Protector Mecánico Clase 0</t>
  </si>
  <si>
    <t>Bolso Guantes</t>
  </si>
  <si>
    <t>Kit Rescate Trabajo Altura</t>
  </si>
  <si>
    <t>Arnés 5 argollas</t>
  </si>
  <si>
    <t>Amortiguador y Tubular</t>
  </si>
  <si>
    <t>Cabo sujeción Python</t>
  </si>
  <si>
    <t>Cabo vida tubular dieléc</t>
  </si>
  <si>
    <t>Mosquetón (Y)</t>
  </si>
  <si>
    <t>Disp. Antitrauma</t>
  </si>
  <si>
    <t>Morral</t>
  </si>
  <si>
    <t>Muñequera porta herramienta</t>
  </si>
  <si>
    <t>Bolso porta SPDC</t>
  </si>
  <si>
    <t>8 Mínimo</t>
  </si>
  <si>
    <t>Rev 22.08.25</t>
  </si>
  <si>
    <t>Rev. 08.09.25</t>
  </si>
  <si>
    <t>CEIM</t>
  </si>
  <si>
    <t>Descripción Vehículo</t>
  </si>
  <si>
    <t>Nombre Equipo</t>
  </si>
  <si>
    <t>Especificacion Equipamiento</t>
  </si>
  <si>
    <t>Patente</t>
  </si>
  <si>
    <t>Administración Equipo</t>
  </si>
  <si>
    <t>Especificación Unidad Movil</t>
  </si>
  <si>
    <t>ECAS</t>
  </si>
  <si>
    <t>Radio Base</t>
  </si>
  <si>
    <t>N° Radio</t>
  </si>
  <si>
    <t>Instalacion GPS+Somnolencia</t>
  </si>
  <si>
    <t>TPMS</t>
  </si>
  <si>
    <t>Supresor de Incendios</t>
  </si>
  <si>
    <t>Certificador / Verificador</t>
  </si>
  <si>
    <t>Fecha 1ra Presentación Certificación</t>
  </si>
  <si>
    <t>Fecha 2da Presentación Certificación</t>
  </si>
  <si>
    <t>Ubicación Actual</t>
  </si>
  <si>
    <t>Solicitud de Sellos</t>
  </si>
  <si>
    <t>Status Sello</t>
  </si>
  <si>
    <t>Detalle / Última Novedad</t>
  </si>
  <si>
    <t>Sello</t>
  </si>
  <si>
    <t>PortaEscala</t>
  </si>
  <si>
    <t>Cupula</t>
  </si>
  <si>
    <t>Fecha Entrega PESCO</t>
  </si>
  <si>
    <t>Check Documental Certificación (N°)</t>
  </si>
  <si>
    <t>N°</t>
  </si>
  <si>
    <t>Días Faltantes</t>
  </si>
  <si>
    <t>Ingreso Proyectado al Contrato</t>
  </si>
  <si>
    <t xml:space="preserve">Fecha Entrega </t>
  </si>
  <si>
    <t>Estado Implementación</t>
  </si>
  <si>
    <t>Observaciones 29.11.2025</t>
  </si>
  <si>
    <t>Observaciones 03.12.2025</t>
  </si>
  <si>
    <t>Fecha Compromiso
 Equipo Habilitado en Faena</t>
  </si>
  <si>
    <t>Comentarios 12.12.2025</t>
  </si>
  <si>
    <t>Comentarios 10.12.25</t>
  </si>
  <si>
    <t>05.12.2025</t>
  </si>
  <si>
    <t>Fecha Subida MEL</t>
  </si>
  <si>
    <t xml:space="preserve">Comentarios </t>
  </si>
  <si>
    <t>Observaciones 27-08</t>
  </si>
  <si>
    <t>Observaciones 08.09.2025</t>
  </si>
  <si>
    <t>Observaciones 03.11.2025</t>
  </si>
  <si>
    <t>Avance Unitario</t>
  </si>
  <si>
    <t>% Avance</t>
  </si>
  <si>
    <t>Empresa Certificadora</t>
  </si>
  <si>
    <t>Fecha Certificación</t>
  </si>
  <si>
    <t>Patente Original Programada</t>
  </si>
  <si>
    <t>P1</t>
  </si>
  <si>
    <t>Camión Enrolla Cable</t>
  </si>
  <si>
    <t xml:space="preserve">Enrrollador CRH 450	</t>
  </si>
  <si>
    <t>VGDY 51</t>
  </si>
  <si>
    <t>Distribución y Cables</t>
  </si>
  <si>
    <t>Scania P410 B6x4</t>
  </si>
  <si>
    <t>Operativo</t>
  </si>
  <si>
    <t>Instalada</t>
  </si>
  <si>
    <t>471CAV1112</t>
  </si>
  <si>
    <t>Instalado</t>
  </si>
  <si>
    <t>VIAL</t>
  </si>
  <si>
    <t>MEL</t>
  </si>
  <si>
    <t>Listo</t>
  </si>
  <si>
    <t>Programada subida a faena el día de hoy 01.12.25</t>
  </si>
  <si>
    <t>Amarillo/
Naranjo</t>
  </si>
  <si>
    <t>Inicio de Montaje, Linea de Producción 11.07.2025</t>
  </si>
  <si>
    <t>Camion Disponible para cambio de sello (Amarillo), lo puede operar Juan Tabilo, Sebastian Escalante y Nilson Rodriguez (Autorizados Ruta), se actualiza conduccion mina.
Actualizacion ECAS 04-12-2025
Sello Amarillo 05-12-2025</t>
  </si>
  <si>
    <t>Equipo Habilitado en MEL, con ingreso Mina desde el 12.12.2025, Operadores N. Rodriguez, V. Salas, J. Tabilo, D. Ortiz</t>
  </si>
  <si>
    <t>11.12.25 tiene fecha para sello amarillo</t>
  </si>
  <si>
    <t xml:space="preserve">Equipo requiere modificaciones de faena, instalacion de letrero mina.
Bajada de Faena 08.12.2025
</t>
  </si>
  <si>
    <t>Camion en Planta de Pesco, este ultimo no ha informado el avance de FMA en la unidad CRH450.
Verificar que el proveedor lo pueda reciibir sabado 06.12.25 para bajrlo y no perder el transporte de cable en faena (mediante escolta)</t>
  </si>
  <si>
    <t>Se debe incluir Radio Base.</t>
  </si>
  <si>
    <t>Se solicitaron 12 unidades de radio base para vehículos. Vehículo a la espera de revisión de CEIM en instalaciones de PESCO</t>
  </si>
  <si>
    <t>Camion en estado de Inscripcion, Facturado 12.10, Traslado programado en periodo 27 al 30.10.2025 a Antofagasta.
Se instalara Samtech en Stgo, Radio Base y CAS en Antofagasta.</t>
  </si>
  <si>
    <t>Instalación de GPS y sistema de somnolencia 07.11.25
Radio Base 07.11.25
ECAS 09.11.25</t>
  </si>
  <si>
    <t>Camión Pluma Articulada</t>
  </si>
  <si>
    <t>Camión Grúa (Pluma)</t>
  </si>
  <si>
    <t xml:space="preserve">HIAB 352 E8	</t>
  </si>
  <si>
    <t>VBHY 89</t>
  </si>
  <si>
    <t>Actualizar ECAS en MEL</t>
  </si>
  <si>
    <t>471CAV1129</t>
  </si>
  <si>
    <t xml:space="preserve">A planificar subida </t>
  </si>
  <si>
    <t>Camión Grua Disponible para subir, en actualización  Licencia para operar Grua.
Documentacion priorizada para Sesbatian Escalnte y Victor Salas, A confirmar subida por Ruta.</t>
  </si>
  <si>
    <t>1.- Pendiente Actualizacion de ECAS
2.- Validar equipo para presentacion en MEL
3.- Trasladado a MEL 14.12.2025</t>
  </si>
  <si>
    <t>1. Actualizar ECAS
2. Actualizar Sello Amarillo
3. Licencia Juan Tabilo TB, Turno A Victor Salas
Traslado V. Salas en Bus 13.12 | 21:00 HRS
Citar 03 personas 14.12.2025 Carga de Camion</t>
  </si>
  <si>
    <t xml:space="preserve">10.12.25 se instala porta neumatico de repuesto. </t>
  </si>
  <si>
    <t>Camión Grua Disponible para subir, en actualización  Licencia para operar Grua
En revisión de frecuencia.</t>
  </si>
  <si>
    <t>Camion en Planta, la Pluma ya se encuentra montada, se enviara a Carrozar (Instalacion de Kit Minero)</t>
  </si>
  <si>
    <t>Vehículo a la espera de revisión de CEIM en instalaciones de PESCO</t>
  </si>
  <si>
    <t>Trabajando sobre las brechas del informe de inspección, Programar Montaje de Radio Base y ECAS en la unidad Semana 27 al 30.10.2025</t>
  </si>
  <si>
    <t>Instalación de GPS y sistema de somnolencia 04.11.25
Radio Base 05.11.25
ECAS 06.11.25</t>
  </si>
  <si>
    <t>Camión Alza-Hombre</t>
  </si>
  <si>
    <t>Hidroelevador (Alza Hombre)</t>
  </si>
  <si>
    <t xml:space="preserve">ALTEC A77T	</t>
  </si>
  <si>
    <t>Sin patente, camión en construcción</t>
  </si>
  <si>
    <t>Por confirmar</t>
  </si>
  <si>
    <t>PESCO Santiago</t>
  </si>
  <si>
    <t>Camión en construcción</t>
  </si>
  <si>
    <t>Naranjo</t>
  </si>
  <si>
    <t>En  montaje, revision el 08.12.2025 en Santiago</t>
  </si>
  <si>
    <t xml:space="preserve">Camion en Montaje, ya tiene TPMS, GPS, Somnolencia, falta inscripcion y pruebas de operatividad del equipo.
Programar Visita CEIM 19.12.2025 (Certificacion) </t>
  </si>
  <si>
    <t>En  montaje, revision el 10.12.2025 en Santiago</t>
  </si>
  <si>
    <t>En  montaje, revision el 09.12.2025 en Santiago</t>
  </si>
  <si>
    <t>En revision por visita a EEUU, validar el nivel de avance del equipo y la linea de tiempo definitiva.</t>
  </si>
  <si>
    <t>En revision unidades STGG50 y VBHY 58 para la acreditacion en MEL</t>
  </si>
  <si>
    <t>En revision unidades STGG50 (Excepción) y VBHY 58 (En coordinacion visita inspectiva) para la acreditacion en MEL</t>
  </si>
  <si>
    <t>Camion Lavador Pitón Manual</t>
  </si>
  <si>
    <t>Lavador (Pitón Manual)</t>
  </si>
  <si>
    <t xml:space="preserve">ALTEC HLIW 1600 SKID	</t>
  </si>
  <si>
    <t>VGDY 49</t>
  </si>
  <si>
    <t>471CAV1126</t>
  </si>
  <si>
    <t>Camion Disponible, lo puede operar Juan Tabilo, Sebastian Escalante y Nilson Rodriguez (Autorizados Ruta), se actualiza conduccion mina.</t>
  </si>
  <si>
    <t>Camion Operativo, utilizado de Apoyo en Lavado de SSEE Coloso (15.12.2025) Camión fallo el 15.12.25  Actualmente en PESCO y se proyecta salida 16.12.25</t>
  </si>
  <si>
    <t>Camion Operativo</t>
  </si>
  <si>
    <t>Camion Operativo en MEL</t>
  </si>
  <si>
    <t>Equipo HIW1600 en Taller de PESCO. Camion de Lavado</t>
  </si>
  <si>
    <t>Equipo en revision por inscricpion, sin emision de patente aun (se debe instalar sistema GPS y somnolencia Samtech)</t>
  </si>
  <si>
    <t xml:space="preserve">En Stgo, instalacion de GPS y Sistema de Somnolencia 30.10 </t>
  </si>
  <si>
    <t xml:space="preserve">Sistema de somnolencia 06.11.25
</t>
  </si>
  <si>
    <t>Camión Aljibe 15 m3 - Scania P410B 6x4</t>
  </si>
  <si>
    <t>Camión Aljibe 15 m3</t>
  </si>
  <si>
    <t xml:space="preserve">ALJIBE 15 M3	</t>
  </si>
  <si>
    <t>VBHY 90</t>
  </si>
  <si>
    <t>Transmisión</t>
  </si>
  <si>
    <t>471CAV1111</t>
  </si>
  <si>
    <t>Falta Radio Base (se instala martes 15 hrs) y aprobación en plataforma (C.O).</t>
  </si>
  <si>
    <t>Se levantaron las brechas deberia ser aprobado.</t>
  </si>
  <si>
    <t>Camion Operativo, está en Antofagasta a espera de coordinación de traslado a MEL</t>
  </si>
  <si>
    <t>Aprobado 09.12.25 
Subida por programar</t>
  </si>
  <si>
    <t>Camion Rechazado en Inspeccion de Sellos.
Se debe cambiar el informe de mantenimiento del equipo. | Progaramado 09.12.2025, 15:00 hrs (Resp. 07.12.2025)</t>
  </si>
  <si>
    <t>Equipo llegado a planta, con estanque montado, se debe validar su recepcion y proceso de emision de informacion.</t>
  </si>
  <si>
    <t>Trabajando sobre las brechas del informe de inspección, Instalación de GPS y sist. Somnolencia 29.10
 Semana 27 al 30.10.2025</t>
  </si>
  <si>
    <t>Pendiente Radio Base.
GPS y Sistema de Somnolencia OK</t>
  </si>
  <si>
    <t>13 de 15</t>
  </si>
  <si>
    <t>Camión con plataforma</t>
  </si>
  <si>
    <t>Camión Plataforma</t>
  </si>
  <si>
    <t xml:space="preserve">ZEPRO Z20-150	</t>
  </si>
  <si>
    <t>VGDY 50</t>
  </si>
  <si>
    <t>Equipos Primarios</t>
  </si>
  <si>
    <t xml:space="preserve"> 471CBH0749</t>
  </si>
  <si>
    <t>Brechas:
Certificado de Fatiga y Somnolencia (Crítico, revisar punto 3).
Certificado GPS.
Certificado de Cabina.
Certificado de Mantenimiento de Torque (No encontrado en revisión ayer).
Radio Base (Falta instalación física).</t>
  </si>
  <si>
    <t>Se levantaron las brechas, pero la radio no esta transmistiendo se genero Ticket a Interexport</t>
  </si>
  <si>
    <t>Revision estado de Radio Base y Sincronizacion GPS
Hora solicitada para revisión sello 17.12.2025</t>
  </si>
  <si>
    <t>Revision estado de Radio Base y Sincronizacion GPS</t>
  </si>
  <si>
    <t>Man Lift</t>
  </si>
  <si>
    <t>TEUPEN TC89AJ</t>
  </si>
  <si>
    <t xml:space="preserve">TEUPEN TC89AJ	</t>
  </si>
  <si>
    <t>OK y se trasladara en el camión pluma</t>
  </si>
  <si>
    <t>No aplica</t>
  </si>
  <si>
    <t>Para programar subida.</t>
  </si>
  <si>
    <t>Equipo Operativo, en validacion de traslado con camion VBHY 89 ó VGDY 50</t>
  </si>
  <si>
    <t>Equipo Operativo</t>
  </si>
  <si>
    <t>Operativo, programar subida.</t>
  </si>
  <si>
    <t>A coordinar por tema logístico</t>
  </si>
  <si>
    <t xml:space="preserve">Equipo en Planta PESCO Santiago, personal de </t>
  </si>
  <si>
    <t>Equipo a la espera de revisión de CEIM en instalaciones de PESCO</t>
  </si>
  <si>
    <t>Trabajando en las brechas del informe de inspección, Semana del 27 al 30.10.2025</t>
  </si>
  <si>
    <t>En levantamiento de brechas</t>
  </si>
  <si>
    <t xml:space="preserve">Camion Lavador Pitón Remoto 2 </t>
  </si>
  <si>
    <t xml:space="preserve"> Lavador (Pitón Remoto) 2</t>
  </si>
  <si>
    <t>ALTEC HW145 (reacondicionado)</t>
  </si>
  <si>
    <t>KZGR 16</t>
  </si>
  <si>
    <t>Freightliner SD 108</t>
  </si>
  <si>
    <t>471CAV1134</t>
  </si>
  <si>
    <t>Excepción</t>
  </si>
  <si>
    <t>KAUFMANN</t>
  </si>
  <si>
    <t>Brechas detectadas: TPMS, barandas de escalera, stickers y pernos.
Lunes: Cerrar brechas mecánicas/TPMS.
Martes: Ingreso a revisión.</t>
  </si>
  <si>
    <t>Arriendo, equipo con solicitud de excepción</t>
  </si>
  <si>
    <t>Camión en Levantamiento de Brechas en Taller de Kaufmann</t>
  </si>
  <si>
    <t>16.12.25 a las 16:00 Hrs PESCO informará fecha de salida. Se estima  viernes 19.12.25</t>
  </si>
  <si>
    <t>Validar las funcionalidades del equipo, en revision de equipo para operar.</t>
  </si>
  <si>
    <t>En Kaufmann por encedido de check engine</t>
  </si>
  <si>
    <t xml:space="preserve">Equipo con Sello04.12.2025, para programacion de lavado la semana proxima.
</t>
  </si>
  <si>
    <t>Inicio de Overhaul equipo KZGR 16, equipo en programacion con Spot. Emision de OC por parte de STN</t>
  </si>
  <si>
    <t>Revisado este equipo, entrega por PESCO 15.11.2025</t>
  </si>
  <si>
    <t>Equipo en mantenimiento</t>
  </si>
  <si>
    <t>Lavador Manual (Plan de Accion)</t>
  </si>
  <si>
    <t xml:space="preserve">ALTEC HLIW 1600 SKID + Alzahombre Axion </t>
  </si>
  <si>
    <t>VBHY 58</t>
  </si>
  <si>
    <t>MAN TGS 18.330</t>
  </si>
  <si>
    <t>16-12-2025, 14:00 hrs</t>
  </si>
  <si>
    <t>471CAV1130</t>
  </si>
  <si>
    <t>16-12-2025, 08:30 hrs</t>
  </si>
  <si>
    <t>16-12-2025, horario PM (Sugerido 17:30 hrs)</t>
  </si>
  <si>
    <t>Habilitacion de Equipo sin Alzahombre, con esto se puede utilizar el equipo de manera anticipada. 17.12.2025. Asignación de sellos planificada para el 16.12.25 a las 17:00 Hrs</t>
  </si>
  <si>
    <t>Habilitacion de Equipo sin Alzahombre, con esto se puede utilizar el equipo de manera anticipada.</t>
  </si>
  <si>
    <t xml:space="preserve">Stickes 15.12.2025
Armado de Carpeta Presentacion: 15.12.2025
</t>
  </si>
  <si>
    <t>Camion en Traslado desde Chañaral a Antofagasta (05.12.20025), en programación instalacion de Aftermrket (TPMS) + GPS + Sistema de Fatiga y Somnolencia | Revisar Programacion de Radio Base</t>
  </si>
  <si>
    <t>Se debe generar Gantt solicitada por Marco Rodriguez el 05.12.25
Se requiere certificacion de los operadores de la marca MAN. Se esta gestionando con PESCO.</t>
  </si>
  <si>
    <t>Camion Lavador Pitón Remoto 1 (Reacondicionado)</t>
  </si>
  <si>
    <t xml:space="preserve">Piton Remoto </t>
  </si>
  <si>
    <t>Freightliner M2 106 Plus 6x6</t>
  </si>
  <si>
    <t>No se ha solicitado</t>
  </si>
  <si>
    <t xml:space="preserve">Camion en Montaje, se instalara el equipamiento en Planta de PESCO en Stgo (GPS+Somnolencia + Ibutton+ TPMS)
</t>
  </si>
  <si>
    <t>Proxima revision  de montaje de equipo 10.12.2025 para plan de aceleración</t>
  </si>
  <si>
    <t>Proxima revision  de montaje de equipo 08.12.2025 para plan de aceleración</t>
  </si>
  <si>
    <t>En plazo de llegada desde EEUU , inicio de trabajos de planta en Santiago 03.11.2025</t>
  </si>
  <si>
    <t>En plazo de llegada desde EEUU , inicio de trabajos de planta en Santiago 03.11.2025, Llegada el 28.10.2025</t>
  </si>
  <si>
    <t>Camion Lavador Pitón Remoto 2 (Reacondicionado)</t>
  </si>
  <si>
    <t>Arriendo PESCO RENTAL</t>
  </si>
  <si>
    <t>Lo Requiere</t>
  </si>
  <si>
    <t>Camion Lavador Pitón Remoto 0 (Nuevo)</t>
  </si>
  <si>
    <t>Piton Remoto 2</t>
  </si>
  <si>
    <t>ALTEC HW145 (new)</t>
  </si>
  <si>
    <t>Inicio de Overhaul equipo HYCZ 45, iniciado 18.08, se cerro acuerdo comercial por 175 MM</t>
  </si>
  <si>
    <t>Llegada en Febrero-Marzo 2027</t>
  </si>
  <si>
    <t xml:space="preserve">Camion Lavador Pitón Remoto 1 </t>
  </si>
  <si>
    <t xml:space="preserve"> Lavador (Pitón Remoto)</t>
  </si>
  <si>
    <t>HYCZ 45</t>
  </si>
  <si>
    <t>Programada</t>
  </si>
  <si>
    <t>Agendado 04.22.2025</t>
  </si>
  <si>
    <t>Levantamiento Brechas</t>
  </si>
  <si>
    <t>Fuera de estandar</t>
  </si>
  <si>
    <t>Proceso se finaliza el 04.12.2025, MEL indica que no habra excepcion por la antigüedad del equipo.</t>
  </si>
  <si>
    <t>Revisado este equipo, entrega por PESCO 30.10.2025, en la semana del 03 al 10 se instalara sistema de GPS y Somnolencia</t>
  </si>
  <si>
    <t>Revisado este equipo, entrega por PESCO 30.10.2025.</t>
  </si>
  <si>
    <t>Equipo recepcionado
 En pruebas
Instalación de GPS y Sistema de Somnolencia 03.11.25</t>
  </si>
  <si>
    <t>Camioneta 1</t>
  </si>
  <si>
    <t>Estandar Tattersall Mina</t>
  </si>
  <si>
    <t>VGLL 80</t>
  </si>
  <si>
    <t>Toyota Hilux 2.4 MT TSS 4x4</t>
  </si>
  <si>
    <t>Pendiente. En uso Bbosch</t>
  </si>
  <si>
    <t>471CAV1135</t>
  </si>
  <si>
    <t>Pendiente ECAS y Sellos 
Amarillo / Rojo</t>
  </si>
  <si>
    <t>Amarillo/Rojo</t>
  </si>
  <si>
    <t>Si</t>
  </si>
  <si>
    <t>Camioneta debe ser trasladada para validacion de sellos. 
Se presentara como Sello Rojo en MEL 02.12.2025</t>
  </si>
  <si>
    <t>Camioneta Operativa</t>
  </si>
  <si>
    <t>Proyectada Bajada de MEL 03.11.2025</t>
  </si>
  <si>
    <t>Camioneta 2</t>
  </si>
  <si>
    <t>VGLL 83</t>
  </si>
  <si>
    <t>471CAV1137</t>
  </si>
  <si>
    <t>Sello Rojo OK
Pend. Amarillo</t>
  </si>
  <si>
    <t>Camioneta puede ser manejada por Jeffrey Troncoso, el estara en turno de contingencia el 01.12.2025</t>
  </si>
  <si>
    <t>Unidad en MEL, en coordinación traslado a Antofagasta para montaje Radio base y ECAS. (27 al 30.10)
ECAS 03 al 10.11.2025</t>
  </si>
  <si>
    <t>Camioneta 3</t>
  </si>
  <si>
    <t>VGLL 68</t>
  </si>
  <si>
    <t>Salas y Subestaciones</t>
  </si>
  <si>
    <t>471CAV1142</t>
  </si>
  <si>
    <t>06.01.26 a las 13:00Hrs: Camioneta será trasladada a Tattersall para Correctivo a las 14:30. La moverán al taller de cables mientras (No marcará Ibutton, el correctivo es para eso)</t>
  </si>
  <si>
    <t>Camioneta 4</t>
  </si>
  <si>
    <t>VGLL 99</t>
  </si>
  <si>
    <t>471CAV2163</t>
  </si>
  <si>
    <t>Camioneta 5</t>
  </si>
  <si>
    <t>VGLL 43</t>
  </si>
  <si>
    <t xml:space="preserve"> 471CBH0765</t>
  </si>
  <si>
    <t>Sello Rojo OK
Pend. Amarillo
Pendiente ECAS</t>
  </si>
  <si>
    <t>Se van a ingresar a Tatersall Antofagasta para Traslado a MEL 01.12.2025 | Gestionar Priorizarizacion</t>
  </si>
  <si>
    <t>En STN</t>
  </si>
  <si>
    <t>Camioneta 6</t>
  </si>
  <si>
    <t>VGLL 77</t>
  </si>
  <si>
    <t xml:space="preserve"> 471CBH0767</t>
  </si>
  <si>
    <t>C. Carmona</t>
  </si>
  <si>
    <t>Camioneta 7</t>
  </si>
  <si>
    <t>Estandar Tattersall Sitios Remotos</t>
  </si>
  <si>
    <t>VGLP 45</t>
  </si>
  <si>
    <t>471CAV1139</t>
  </si>
  <si>
    <t>Sello Naranjo OK
Pend. Azul</t>
  </si>
  <si>
    <t>Naranjo/Azul</t>
  </si>
  <si>
    <t>Subida de Camioneta desde Afta a MEL, Personal Turno B
(Ropa de Trabajo TB) | Instrumentos. 
Victor Aguayo - Jorge Guerrero</t>
  </si>
  <si>
    <t>Unidad en Dependencias de STN, Rev. Estandar MEL</t>
  </si>
  <si>
    <t>Wilmar Forero</t>
  </si>
  <si>
    <t>Camioneta 8</t>
  </si>
  <si>
    <t>VGLS 40</t>
  </si>
  <si>
    <t>471CAV1140</t>
  </si>
  <si>
    <t>Camioneta 9</t>
  </si>
  <si>
    <t>VGLS 55</t>
  </si>
  <si>
    <t>471CAV1141</t>
  </si>
  <si>
    <t>Camioneta con problemas electricos en su partida, en Taller Tattersall.</t>
  </si>
  <si>
    <t>Camioneta 10</t>
  </si>
  <si>
    <t>VGLP 35</t>
  </si>
  <si>
    <t>471CAV1147</t>
  </si>
  <si>
    <t>09-12-2025 | 15:30 hrs</t>
  </si>
  <si>
    <t>En Tattersall por Revision problema electrico</t>
  </si>
  <si>
    <t>Entregar a Brayan Zepeda</t>
  </si>
  <si>
    <t>Camioneta con Observaciones en Ibutton.
Problema Sello</t>
  </si>
  <si>
    <t>Unidad a Cargo de Brayan Zepeda</t>
  </si>
  <si>
    <t>Camioneta 11</t>
  </si>
  <si>
    <t>VGLL 50</t>
  </si>
  <si>
    <t xml:space="preserve"> 471CBH0763</t>
  </si>
  <si>
    <t>Sello OK
Naranjo/Azul</t>
  </si>
  <si>
    <t xml:space="preserve">Entregar a Hugo González </t>
  </si>
  <si>
    <t>Undad a Cargo de Hugo González</t>
  </si>
  <si>
    <t>Nazario</t>
  </si>
  <si>
    <t>Camioneta 12</t>
  </si>
  <si>
    <t>VGLL 87</t>
  </si>
  <si>
    <t xml:space="preserve"> 471CBH0741</t>
  </si>
  <si>
    <t>Camioneta 13</t>
  </si>
  <si>
    <t>VGRD 67</t>
  </si>
  <si>
    <t xml:space="preserve"> 471CBH0755</t>
  </si>
  <si>
    <t>Camioneta 14</t>
  </si>
  <si>
    <t>VGLS 45</t>
  </si>
  <si>
    <t>Administración</t>
  </si>
  <si>
    <t xml:space="preserve"> 471CBH0752</t>
  </si>
  <si>
    <t>Rojo/Azul</t>
  </si>
  <si>
    <t>Unidades confirmadas de Color Rojo</t>
  </si>
  <si>
    <t>Camioneta 15</t>
  </si>
  <si>
    <t>VGLS 39</t>
  </si>
  <si>
    <t>Administración Antofagasta</t>
  </si>
  <si>
    <t>PATENTE</t>
  </si>
  <si>
    <t>MARCA</t>
  </si>
  <si>
    <t>MODELO</t>
  </si>
  <si>
    <t>EQUIPAMIENTO</t>
  </si>
  <si>
    <t>N° DE CHASIS</t>
  </si>
  <si>
    <t>COLOR</t>
  </si>
  <si>
    <t>VGLL80</t>
  </si>
  <si>
    <t>TOYOTA</t>
  </si>
  <si>
    <t>HILUX TSS 2.4 DIESEL 4X4 T/M</t>
  </si>
  <si>
    <t>MINA</t>
  </si>
  <si>
    <t>8AJDB3CD1S1375399</t>
  </si>
  <si>
    <t>ROJO METALICO</t>
  </si>
  <si>
    <t>VGLL83</t>
  </si>
  <si>
    <t>8AJDB3CD8S1375352</t>
  </si>
  <si>
    <t>VGLL68</t>
  </si>
  <si>
    <t>8AJDB3CD3S1375159</t>
  </si>
  <si>
    <t>VGLL99</t>
  </si>
  <si>
    <t>8AJDB3CD8S1375402</t>
  </si>
  <si>
    <t>VGLL43</t>
  </si>
  <si>
    <t>8AJDB3CD1S1375404</t>
  </si>
  <si>
    <t>VGLL77</t>
  </si>
  <si>
    <t>8AJDB3CD2S1375184</t>
  </si>
  <si>
    <t>VGLP45</t>
  </si>
  <si>
    <t>SITIOS REMOTOS</t>
  </si>
  <si>
    <t>8AJDB3CD5S1375292</t>
  </si>
  <si>
    <t>VGLS40</t>
  </si>
  <si>
    <t>8AJDB3CD9S1375201</t>
  </si>
  <si>
    <t>VGLS55</t>
  </si>
  <si>
    <t>8AJDB3CD9S1375263</t>
  </si>
  <si>
    <t>VGLP35</t>
  </si>
  <si>
    <t>8AJDB3CD4S1375266</t>
  </si>
  <si>
    <t>VGLL50</t>
  </si>
  <si>
    <t>8AJDB3CD5S1375146</t>
  </si>
  <si>
    <t>VGLL87</t>
  </si>
  <si>
    <t>8AJDB3CD5S1375311</t>
  </si>
  <si>
    <t>VGRD67</t>
  </si>
  <si>
    <t>8AJDB3CD1S1375127</t>
  </si>
  <si>
    <t>VGLS45</t>
  </si>
  <si>
    <t>8AJDB3CD9S1375232</t>
  </si>
  <si>
    <t>VGLS39</t>
  </si>
  <si>
    <t>8AJDB3CDXS1375224</t>
  </si>
  <si>
    <t>7 de 7 ; 100%</t>
  </si>
  <si>
    <t xml:space="preserve">Eliminado </t>
  </si>
  <si>
    <t xml:space="preserve">Christian Romero - Desiste </t>
  </si>
  <si>
    <t>P21</t>
  </si>
  <si>
    <t>Jefe Especialista Tendido</t>
  </si>
  <si>
    <t>SUBC.</t>
  </si>
  <si>
    <t>Guía de Maniobras.</t>
  </si>
  <si>
    <t>Formulario de Aislación y Bloqueo.</t>
  </si>
  <si>
    <t>SODI, apoyado con el DU que te adjunté previamente.</t>
  </si>
  <si>
    <t>Plan de Trabajo.</t>
  </si>
  <si>
    <t>Tramitación y Carga de Carpetas Acreditación Personal Deloitte</t>
  </si>
  <si>
    <t xml:space="preserve">Cierre Comercial del Contrato </t>
  </si>
  <si>
    <t>Fecha Revisión : 02 de Junio 2026</t>
  </si>
  <si>
    <t>% Complete</t>
  </si>
  <si>
    <t>TABLA DE ACTIVIDADES - PROYECTO INTEGRAL</t>
  </si>
  <si>
    <t>Supervisor Izaje</t>
  </si>
  <si>
    <t>Asistente Izaje</t>
  </si>
  <si>
    <t>Cursos Inatrans Lic. Interna Camionetas (3)</t>
  </si>
  <si>
    <t>Maestro 1° Líneas 
(Interno Alarife)</t>
  </si>
  <si>
    <t>Solicitado el 05-06-26</t>
  </si>
  <si>
    <t>Solicitado el 05-06-27</t>
  </si>
  <si>
    <t>Solicitado el 05-06-28</t>
  </si>
  <si>
    <t>Solicitado el 05-06-29</t>
  </si>
  <si>
    <t>ALA_02</t>
  </si>
  <si>
    <t>Giovany Prandi</t>
  </si>
  <si>
    <t>RIG_02</t>
  </si>
  <si>
    <t>M2_03</t>
  </si>
  <si>
    <r>
      <rPr>
        <b/>
        <sz val="11"/>
        <color theme="1"/>
        <rFont val="Calibri"/>
        <family val="2"/>
        <scheme val="minor"/>
      </rPr>
      <t>Mauro Vega (OP1)</t>
    </r>
    <r>
      <rPr>
        <sz val="11"/>
        <color theme="1"/>
        <rFont val="Calibri"/>
        <family val="2"/>
        <scheme val="minor"/>
      </rPr>
      <t xml:space="preserve">
Sebastian Morales (OP2)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</si>
</sst>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0.0%"/>
    <numFmt numFmtId="165" formatCode="&quot;$&quot;#,##0"/>
    <numFmt numFmtId="166" formatCode="dd\-mm\-yyyy"/>
    <numFmt numFmtId="167" formatCode="dd/mm/yyyy;@"/>
    <numFmt numFmtId="168" formatCode="mm/yyyy"/>
  </numFmts>
  <fonts count="62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  <scheme val="minor"/>
    </font>
    <font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1F1F1F"/>
      <name val="Calibri"/>
      <family val="2"/>
    </font>
    <font>
      <b/>
      <sz val="11"/>
      <color theme="1"/>
      <name val="Calibri"/>
      <family val="2"/>
    </font>
    <font>
      <sz val="11"/>
      <color rgb="FF1F1F1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B05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1"/>
      <color rgb="FF000000"/>
      <name val="Inherit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C00000"/>
      <name val="Calibri"/>
      <family val="2"/>
    </font>
    <font>
      <b/>
      <sz val="9"/>
      <color theme="0"/>
      <name val="Calibri"/>
      <family val="2"/>
      <scheme val="minor"/>
    </font>
    <font>
      <b/>
      <sz val="18"/>
      <name val="Calibri"/>
      <family val="2"/>
    </font>
    <font>
      <sz val="10"/>
      <color rgb="FFFF0000"/>
      <name val="Arial"/>
      <family val="2"/>
    </font>
    <font>
      <u/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808080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9BC2E6"/>
        <bgColor rgb="FF9BC2E6"/>
      </patternFill>
    </fill>
    <fill>
      <patternFill patternType="solid">
        <fgColor rgb="FFE2EFDA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0"/>
        <bgColor rgb="FFC5D9F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/>
        <bgColor rgb="FFC5D9F0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5">
    <xf numFmtId="0" fontId="0" fillId="0" borderId="0"/>
    <xf numFmtId="9" fontId="5" fillId="0" borderId="0"/>
    <xf numFmtId="41" fontId="5" fillId="0" borderId="0"/>
    <xf numFmtId="0" fontId="23" fillId="0" borderId="0"/>
    <xf numFmtId="9" fontId="5" fillId="0" borderId="0"/>
  </cellStyleXfs>
  <cellXfs count="509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4" fillId="0" borderId="1" xfId="0" applyFont="1" applyBorder="1"/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15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vertical="center"/>
    </xf>
    <xf numFmtId="9" fontId="0" fillId="0" borderId="4" xfId="1" applyFont="1" applyBorder="1" applyAlignment="1">
      <alignment horizontal="center"/>
    </xf>
    <xf numFmtId="0" fontId="4" fillId="13" borderId="4" xfId="0" applyFont="1" applyFill="1" applyBorder="1"/>
    <xf numFmtId="0" fontId="4" fillId="13" borderId="4" xfId="0" applyFont="1" applyFill="1" applyBorder="1" applyAlignment="1">
      <alignment horizontal="center"/>
    </xf>
    <xf numFmtId="15" fontId="4" fillId="13" borderId="4" xfId="0" applyNumberFormat="1" applyFont="1" applyFill="1" applyBorder="1" applyAlignment="1">
      <alignment horizontal="center"/>
    </xf>
    <xf numFmtId="10" fontId="4" fillId="13" borderId="4" xfId="0" applyNumberFormat="1" applyFont="1" applyFill="1" applyBorder="1" applyAlignment="1">
      <alignment horizontal="center"/>
    </xf>
    <xf numFmtId="9" fontId="4" fillId="13" borderId="4" xfId="1" applyFont="1" applyFill="1" applyBorder="1" applyAlignment="1">
      <alignment horizontal="center"/>
    </xf>
    <xf numFmtId="0" fontId="0" fillId="11" borderId="4" xfId="0" applyFill="1" applyBorder="1"/>
    <xf numFmtId="0" fontId="0" fillId="11" borderId="4" xfId="0" applyFill="1" applyBorder="1" applyAlignment="1">
      <alignment horizontal="center"/>
    </xf>
    <xf numFmtId="15" fontId="0" fillId="11" borderId="4" xfId="0" applyNumberFormat="1" applyFill="1" applyBorder="1" applyAlignment="1">
      <alignment horizontal="center"/>
    </xf>
    <xf numFmtId="10" fontId="0" fillId="11" borderId="4" xfId="0" applyNumberFormat="1" applyFill="1" applyBorder="1" applyAlignment="1">
      <alignment horizontal="center"/>
    </xf>
    <xf numFmtId="9" fontId="5" fillId="11" borderId="4" xfId="1" applyFill="1" applyBorder="1" applyAlignment="1">
      <alignment horizontal="center"/>
    </xf>
    <xf numFmtId="9" fontId="5" fillId="0" borderId="4" xfId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0" borderId="1" xfId="0" applyFill="1" applyBorder="1"/>
    <xf numFmtId="0" fontId="10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3" fillId="0" borderId="0" xfId="0" applyFont="1"/>
    <xf numFmtId="2" fontId="0" fillId="0" borderId="1" xfId="0" applyNumberFormat="1" applyBorder="1" applyAlignment="1">
      <alignment horizontal="center"/>
    </xf>
    <xf numFmtId="0" fontId="13" fillId="0" borderId="1" xfId="0" applyFont="1" applyBorder="1"/>
    <xf numFmtId="1" fontId="13" fillId="0" borderId="1" xfId="0" applyNumberFormat="1" applyFont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8" fillId="14" borderId="0" xfId="0" applyFont="1" applyFill="1"/>
    <xf numFmtId="0" fontId="18" fillId="15" borderId="0" xfId="0" applyFont="1" applyFill="1"/>
    <xf numFmtId="165" fontId="18" fillId="14" borderId="0" xfId="0" applyNumberFormat="1" applyFont="1" applyFill="1" applyAlignment="1">
      <alignment horizontal="center"/>
    </xf>
    <xf numFmtId="164" fontId="18" fillId="14" borderId="0" xfId="0" applyNumberFormat="1" applyFont="1" applyFill="1" applyAlignment="1">
      <alignment horizontal="center"/>
    </xf>
    <xf numFmtId="0" fontId="18" fillId="14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18" fillId="15" borderId="0" xfId="0" applyNumberFormat="1" applyFont="1" applyFill="1" applyAlignment="1">
      <alignment horizontal="center"/>
    </xf>
    <xf numFmtId="164" fontId="18" fillId="15" borderId="0" xfId="0" applyNumberFormat="1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0" fontId="19" fillId="2" borderId="5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4" fontId="0" fillId="0" borderId="1" xfId="0" applyNumberFormat="1" applyBorder="1"/>
    <xf numFmtId="0" fontId="20" fillId="0" borderId="0" xfId="0" applyFont="1"/>
    <xf numFmtId="0" fontId="18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2" fillId="0" borderId="0" xfId="0" applyFont="1"/>
    <xf numFmtId="0" fontId="2" fillId="12" borderId="4" xfId="0" applyFont="1" applyFill="1" applyBorder="1" applyAlignment="1">
      <alignment horizontal="center" vertical="center" wrapText="1"/>
    </xf>
    <xf numFmtId="41" fontId="0" fillId="0" borderId="1" xfId="2" applyFont="1" applyBorder="1" applyAlignment="1">
      <alignment horizontal="center" vertical="center" wrapText="1"/>
    </xf>
    <xf numFmtId="41" fontId="0" fillId="16" borderId="1" xfId="2" applyFont="1" applyFill="1" applyBorder="1" applyAlignment="1">
      <alignment horizontal="center" vertical="center" wrapText="1"/>
    </xf>
    <xf numFmtId="0" fontId="23" fillId="11" borderId="0" xfId="3" applyFill="1" applyAlignment="1">
      <alignment horizontal="left" vertical="center"/>
    </xf>
    <xf numFmtId="0" fontId="23" fillId="11" borderId="0" xfId="3" applyFill="1" applyAlignment="1">
      <alignment vertical="center"/>
    </xf>
    <xf numFmtId="0" fontId="24" fillId="11" borderId="0" xfId="3" applyFont="1" applyFill="1" applyAlignment="1">
      <alignment vertical="center"/>
    </xf>
    <xf numFmtId="9" fontId="23" fillId="11" borderId="0" xfId="1" applyFont="1" applyFill="1" applyAlignment="1">
      <alignment vertical="center"/>
    </xf>
    <xf numFmtId="9" fontId="25" fillId="11" borderId="0" xfId="3" applyNumberFormat="1" applyFont="1" applyFill="1" applyAlignment="1">
      <alignment vertical="center"/>
    </xf>
    <xf numFmtId="0" fontId="23" fillId="11" borderId="0" xfId="3" applyFill="1" applyAlignment="1">
      <alignment horizontal="center" vertical="center"/>
    </xf>
    <xf numFmtId="0" fontId="23" fillId="11" borderId="0" xfId="3" applyFill="1"/>
    <xf numFmtId="1" fontId="23" fillId="11" borderId="0" xfId="3" applyNumberFormat="1" applyFill="1" applyAlignment="1">
      <alignment horizontal="left" vertical="center"/>
    </xf>
    <xf numFmtId="0" fontId="25" fillId="11" borderId="0" xfId="3" applyFont="1" applyFill="1" applyAlignment="1">
      <alignment vertical="center"/>
    </xf>
    <xf numFmtId="1" fontId="26" fillId="17" borderId="4" xfId="3" applyNumberFormat="1" applyFont="1" applyFill="1" applyBorder="1" applyAlignment="1">
      <alignment horizontal="center" vertical="center"/>
    </xf>
    <xf numFmtId="0" fontId="23" fillId="0" borderId="0" xfId="3" applyAlignment="1">
      <alignment vertical="center"/>
    </xf>
    <xf numFmtId="1" fontId="23" fillId="11" borderId="0" xfId="3" applyNumberFormat="1" applyFill="1" applyAlignment="1">
      <alignment vertical="center"/>
    </xf>
    <xf numFmtId="1" fontId="23" fillId="11" borderId="0" xfId="3" applyNumberFormat="1" applyFill="1" applyAlignment="1">
      <alignment horizontal="left"/>
    </xf>
    <xf numFmtId="0" fontId="25" fillId="11" borderId="0" xfId="3" applyFont="1" applyFill="1"/>
    <xf numFmtId="0" fontId="23" fillId="11" borderId="0" xfId="3" applyFill="1" applyAlignment="1">
      <alignment horizontal="center"/>
    </xf>
    <xf numFmtId="9" fontId="23" fillId="11" borderId="0" xfId="3" applyNumberFormat="1" applyFill="1"/>
    <xf numFmtId="1" fontId="23" fillId="11" borderId="4" xfId="3" applyNumberFormat="1" applyFill="1" applyBorder="1" applyAlignment="1">
      <alignment horizontal="center" vertical="center"/>
    </xf>
    <xf numFmtId="1" fontId="23" fillId="11" borderId="0" xfId="3" applyNumberFormat="1" applyFill="1" applyAlignment="1">
      <alignment horizontal="center" vertical="center"/>
    </xf>
    <xf numFmtId="1" fontId="23" fillId="11" borderId="6" xfId="3" applyNumberFormat="1" applyFill="1" applyBorder="1" applyAlignment="1">
      <alignment horizontal="center" vertical="center"/>
    </xf>
    <xf numFmtId="0" fontId="23" fillId="11" borderId="7" xfId="3" applyFill="1" applyBorder="1"/>
    <xf numFmtId="0" fontId="23" fillId="0" borderId="0" xfId="3" applyAlignment="1">
      <alignment horizontal="center"/>
    </xf>
    <xf numFmtId="0" fontId="23" fillId="11" borderId="8" xfId="3" applyFill="1" applyBorder="1"/>
    <xf numFmtId="1" fontId="23" fillId="11" borderId="8" xfId="3" applyNumberFormat="1" applyFill="1" applyBorder="1" applyAlignment="1">
      <alignment horizontal="center" vertical="center"/>
    </xf>
    <xf numFmtId="0" fontId="23" fillId="11" borderId="9" xfId="3" applyFill="1" applyBorder="1"/>
    <xf numFmtId="0" fontId="24" fillId="11" borderId="8" xfId="3" applyFont="1" applyFill="1" applyBorder="1" applyAlignment="1">
      <alignment horizontal="center" vertical="center"/>
    </xf>
    <xf numFmtId="0" fontId="25" fillId="11" borderId="10" xfId="3" applyFont="1" applyFill="1" applyBorder="1"/>
    <xf numFmtId="0" fontId="23" fillId="11" borderId="11" xfId="3" applyFill="1" applyBorder="1"/>
    <xf numFmtId="0" fontId="25" fillId="11" borderId="11" xfId="3" applyFont="1" applyFill="1" applyBorder="1"/>
    <xf numFmtId="1" fontId="23" fillId="11" borderId="11" xfId="3" applyNumberFormat="1" applyFill="1" applyBorder="1" applyAlignment="1">
      <alignment horizontal="center" vertical="center"/>
    </xf>
    <xf numFmtId="0" fontId="23" fillId="11" borderId="12" xfId="3" applyFill="1" applyBorder="1"/>
    <xf numFmtId="0" fontId="24" fillId="11" borderId="0" xfId="3" applyFont="1" applyFill="1" applyAlignment="1">
      <alignment horizontal="center" vertical="center"/>
    </xf>
    <xf numFmtId="1" fontId="23" fillId="11" borderId="11" xfId="3" applyNumberFormat="1" applyFill="1" applyBorder="1"/>
    <xf numFmtId="0" fontId="23" fillId="11" borderId="13" xfId="3" applyFill="1" applyBorder="1"/>
    <xf numFmtId="1" fontId="24" fillId="11" borderId="15" xfId="3" applyNumberFormat="1" applyFont="1" applyFill="1" applyBorder="1" applyAlignment="1">
      <alignment vertical="center"/>
    </xf>
    <xf numFmtId="1" fontId="24" fillId="11" borderId="16" xfId="3" applyNumberFormat="1" applyFont="1" applyFill="1" applyBorder="1" applyAlignment="1">
      <alignment horizontal="center" vertical="center"/>
    </xf>
    <xf numFmtId="1" fontId="24" fillId="11" borderId="17" xfId="3" applyNumberFormat="1" applyFont="1" applyFill="1" applyBorder="1" applyAlignment="1">
      <alignment vertical="center"/>
    </xf>
    <xf numFmtId="1" fontId="24" fillId="11" borderId="18" xfId="3" applyNumberFormat="1" applyFont="1" applyFill="1" applyBorder="1" applyAlignment="1">
      <alignment vertical="center"/>
    </xf>
    <xf numFmtId="1" fontId="23" fillId="11" borderId="16" xfId="3" applyNumberFormat="1" applyFill="1" applyBorder="1" applyAlignment="1">
      <alignment horizontal="center" vertical="center"/>
    </xf>
    <xf numFmtId="1" fontId="23" fillId="11" borderId="14" xfId="3" applyNumberFormat="1" applyFill="1" applyBorder="1" applyAlignment="1">
      <alignment horizontal="center" vertical="center"/>
    </xf>
    <xf numFmtId="1" fontId="23" fillId="11" borderId="17" xfId="3" applyNumberFormat="1" applyFill="1" applyBorder="1" applyAlignment="1">
      <alignment horizontal="center" vertical="center"/>
    </xf>
    <xf numFmtId="1" fontId="23" fillId="11" borderId="15" xfId="3" applyNumberFormat="1" applyFill="1" applyBorder="1" applyAlignment="1">
      <alignment horizontal="center" vertical="center"/>
    </xf>
    <xf numFmtId="0" fontId="25" fillId="11" borderId="0" xfId="3" applyFont="1" applyFill="1" applyAlignment="1">
      <alignment horizontal="center" vertical="center"/>
    </xf>
    <xf numFmtId="0" fontId="24" fillId="11" borderId="0" xfId="3" applyFont="1" applyFill="1" applyAlignment="1">
      <alignment horizontal="left"/>
    </xf>
    <xf numFmtId="0" fontId="23" fillId="11" borderId="20" xfId="3" applyFill="1" applyBorder="1"/>
    <xf numFmtId="1" fontId="23" fillId="11" borderId="20" xfId="3" applyNumberFormat="1" applyFill="1" applyBorder="1" applyAlignment="1">
      <alignment horizontal="center" vertical="center"/>
    </xf>
    <xf numFmtId="0" fontId="23" fillId="0" borderId="0" xfId="3"/>
    <xf numFmtId="0" fontId="24" fillId="0" borderId="0" xfId="3" applyFont="1" applyAlignment="1">
      <alignment vertical="distributed"/>
    </xf>
    <xf numFmtId="0" fontId="23" fillId="11" borderId="26" xfId="3" applyFill="1" applyBorder="1"/>
    <xf numFmtId="1" fontId="23" fillId="11" borderId="0" xfId="3" applyNumberFormat="1" applyFill="1" applyAlignment="1">
      <alignment horizontal="center"/>
    </xf>
    <xf numFmtId="0" fontId="24" fillId="11" borderId="0" xfId="3" applyFont="1" applyFill="1" applyAlignment="1">
      <alignment horizontal="left" vertical="center"/>
    </xf>
    <xf numFmtId="1" fontId="24" fillId="18" borderId="4" xfId="3" applyNumberFormat="1" applyFont="1" applyFill="1" applyBorder="1" applyAlignment="1">
      <alignment horizontal="center" vertical="center"/>
    </xf>
    <xf numFmtId="0" fontId="23" fillId="11" borderId="17" xfId="3" applyFill="1" applyBorder="1"/>
    <xf numFmtId="1" fontId="24" fillId="11" borderId="27" xfId="3" applyNumberFormat="1" applyFont="1" applyFill="1" applyBorder="1" applyAlignment="1">
      <alignment vertical="center"/>
    </xf>
    <xf numFmtId="1" fontId="24" fillId="11" borderId="16" xfId="3" applyNumberFormat="1" applyFont="1" applyFill="1" applyBorder="1" applyAlignment="1">
      <alignment vertical="center"/>
    </xf>
    <xf numFmtId="1" fontId="24" fillId="11" borderId="0" xfId="3" applyNumberFormat="1" applyFont="1" applyFill="1" applyAlignment="1">
      <alignment horizontal="center" vertical="center"/>
    </xf>
    <xf numFmtId="0" fontId="23" fillId="11" borderId="0" xfId="3" applyFill="1" applyAlignment="1">
      <alignment horizontal="center" vertical="center" wrapText="1"/>
    </xf>
    <xf numFmtId="0" fontId="24" fillId="11" borderId="0" xfId="3" applyFont="1" applyFill="1" applyAlignment="1">
      <alignment horizontal="center" vertical="center" wrapText="1"/>
    </xf>
    <xf numFmtId="1" fontId="24" fillId="11" borderId="0" xfId="3" applyNumberFormat="1" applyFont="1" applyFill="1" applyAlignment="1">
      <alignment horizontal="left"/>
    </xf>
    <xf numFmtId="1" fontId="23" fillId="11" borderId="17" xfId="3" applyNumberFormat="1" applyFill="1" applyBorder="1" applyAlignment="1">
      <alignment horizontal="center"/>
    </xf>
    <xf numFmtId="0" fontId="23" fillId="11" borderId="15" xfId="3" applyFill="1" applyBorder="1"/>
    <xf numFmtId="0" fontId="23" fillId="11" borderId="16" xfId="3" applyFill="1" applyBorder="1"/>
    <xf numFmtId="0" fontId="23" fillId="11" borderId="0" xfId="3" applyFill="1" applyAlignment="1">
      <alignment horizontal="left"/>
    </xf>
    <xf numFmtId="1" fontId="24" fillId="18" borderId="4" xfId="3" applyNumberFormat="1" applyFont="1" applyFill="1" applyBorder="1" applyAlignment="1">
      <alignment horizontal="center"/>
    </xf>
    <xf numFmtId="1" fontId="24" fillId="11" borderId="0" xfId="3" applyNumberFormat="1" applyFont="1" applyFill="1" applyAlignment="1">
      <alignment horizontal="center"/>
    </xf>
    <xf numFmtId="0" fontId="24" fillId="11" borderId="0" xfId="3" applyFont="1" applyFill="1" applyAlignment="1">
      <alignment vertical="distributed"/>
    </xf>
    <xf numFmtId="0" fontId="24" fillId="11" borderId="16" xfId="3" applyFont="1" applyFill="1" applyBorder="1" applyAlignment="1">
      <alignment vertical="distributed"/>
    </xf>
    <xf numFmtId="0" fontId="24" fillId="11" borderId="17" xfId="3" applyFont="1" applyFill="1" applyBorder="1" applyAlignment="1">
      <alignment vertical="distributed"/>
    </xf>
    <xf numFmtId="0" fontId="24" fillId="11" borderId="15" xfId="3" applyFont="1" applyFill="1" applyBorder="1" applyAlignment="1">
      <alignment vertical="distributed"/>
    </xf>
    <xf numFmtId="0" fontId="24" fillId="11" borderId="28" xfId="3" applyFont="1" applyFill="1" applyBorder="1" applyAlignment="1">
      <alignment vertical="distributed"/>
    </xf>
    <xf numFmtId="1" fontId="23" fillId="11" borderId="0" xfId="3" applyNumberFormat="1" applyFill="1"/>
    <xf numFmtId="1" fontId="25" fillId="11" borderId="0" xfId="3" applyNumberFormat="1" applyFont="1" applyFill="1" applyAlignment="1">
      <alignment horizontal="left" vertical="center"/>
    </xf>
    <xf numFmtId="1" fontId="25" fillId="11" borderId="0" xfId="3" applyNumberFormat="1" applyFont="1" applyFill="1"/>
    <xf numFmtId="1" fontId="23" fillId="0" borderId="0" xfId="3" applyNumberFormat="1" applyAlignment="1">
      <alignment horizontal="center" vertical="center"/>
    </xf>
    <xf numFmtId="0" fontId="23" fillId="0" borderId="0" xfId="3" applyAlignment="1">
      <alignment horizontal="left"/>
    </xf>
    <xf numFmtId="0" fontId="25" fillId="11" borderId="0" xfId="3" applyFont="1" applyFill="1" applyAlignment="1">
      <alignment horizontal="left"/>
    </xf>
    <xf numFmtId="0" fontId="25" fillId="11" borderId="0" xfId="3" applyFont="1" applyFill="1" applyAlignment="1">
      <alignment horizontal="center"/>
    </xf>
    <xf numFmtId="1" fontId="23" fillId="11" borderId="24" xfId="3" applyNumberFormat="1" applyFill="1" applyBorder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5" fillId="19" borderId="4" xfId="0" applyFont="1" applyFill="1" applyBorder="1" applyAlignment="1">
      <alignment horizontal="left" vertical="center"/>
    </xf>
    <xf numFmtId="0" fontId="15" fillId="19" borderId="4" xfId="0" applyFont="1" applyFill="1" applyBorder="1"/>
    <xf numFmtId="0" fontId="0" fillId="0" borderId="4" xfId="0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14" fontId="0" fillId="0" borderId="4" xfId="0" applyNumberForma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9" fontId="4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 readingOrder="1"/>
    </xf>
    <xf numFmtId="0" fontId="27" fillId="20" borderId="4" xfId="0" applyFont="1" applyFill="1" applyBorder="1" applyAlignment="1">
      <alignment horizontal="center" vertical="center" wrapText="1" readingOrder="1"/>
    </xf>
    <xf numFmtId="0" fontId="27" fillId="21" borderId="4" xfId="0" applyFont="1" applyFill="1" applyBorder="1" applyAlignment="1">
      <alignment horizontal="center" vertical="center" wrapText="1" readingOrder="1"/>
    </xf>
    <xf numFmtId="0" fontId="28" fillId="0" borderId="4" xfId="0" applyFont="1" applyBorder="1" applyAlignment="1">
      <alignment horizontal="center" vertical="center"/>
    </xf>
    <xf numFmtId="0" fontId="16" fillId="0" borderId="0" xfId="0" applyFont="1"/>
    <xf numFmtId="0" fontId="29" fillId="0" borderId="4" xfId="0" applyFont="1" applyBorder="1" applyAlignment="1">
      <alignment horizontal="center" vertical="center" wrapText="1" readingOrder="1"/>
    </xf>
    <xf numFmtId="1" fontId="29" fillId="0" borderId="4" xfId="0" applyNumberFormat="1" applyFont="1" applyBorder="1" applyAlignment="1">
      <alignment horizontal="center" vertical="center" wrapText="1" readingOrder="1"/>
    </xf>
    <xf numFmtId="0" fontId="29" fillId="22" borderId="4" xfId="0" applyFont="1" applyFill="1" applyBorder="1" applyAlignment="1">
      <alignment horizontal="center" vertical="center" wrapText="1" readingOrder="1"/>
    </xf>
    <xf numFmtId="0" fontId="29" fillId="23" borderId="4" xfId="0" applyFont="1" applyFill="1" applyBorder="1" applyAlignment="1">
      <alignment horizontal="center" vertical="center" wrapText="1" readingOrder="1"/>
    </xf>
    <xf numFmtId="0" fontId="16" fillId="0" borderId="4" xfId="0" applyFont="1" applyBorder="1" applyAlignment="1">
      <alignment horizontal="center"/>
    </xf>
    <xf numFmtId="0" fontId="29" fillId="10" borderId="4" xfId="0" applyFont="1" applyFill="1" applyBorder="1" applyAlignment="1">
      <alignment horizontal="center" vertical="center" wrapText="1" readingOrder="1"/>
    </xf>
    <xf numFmtId="1" fontId="29" fillId="10" borderId="4" xfId="0" applyNumberFormat="1" applyFont="1" applyFill="1" applyBorder="1" applyAlignment="1">
      <alignment horizontal="center" vertical="center" wrapText="1" readingOrder="1"/>
    </xf>
    <xf numFmtId="41" fontId="16" fillId="0" borderId="0" xfId="2" applyFont="1" applyAlignment="1">
      <alignment horizontal="center"/>
    </xf>
    <xf numFmtId="0" fontId="16" fillId="0" borderId="0" xfId="0" applyFont="1" applyAlignment="1">
      <alignment horizontal="center"/>
    </xf>
    <xf numFmtId="0" fontId="30" fillId="11" borderId="0" xfId="0" applyFont="1" applyFill="1"/>
    <xf numFmtId="0" fontId="31" fillId="0" borderId="0" xfId="0" applyFont="1"/>
    <xf numFmtId="0" fontId="30" fillId="0" borderId="0" xfId="0" applyFont="1"/>
    <xf numFmtId="0" fontId="31" fillId="0" borderId="0" xfId="0" applyFont="1" applyAlignment="1">
      <alignment horizontal="center"/>
    </xf>
    <xf numFmtId="14" fontId="30" fillId="0" borderId="0" xfId="0" applyNumberFormat="1" applyFont="1"/>
    <xf numFmtId="0" fontId="30" fillId="0" borderId="0" xfId="0" applyFont="1" applyAlignment="1">
      <alignment horizontal="center"/>
    </xf>
    <xf numFmtId="0" fontId="30" fillId="24" borderId="0" xfId="0" applyFont="1" applyFill="1"/>
    <xf numFmtId="0" fontId="32" fillId="25" borderId="29" xfId="0" applyFont="1" applyFill="1" applyBorder="1" applyAlignment="1">
      <alignment horizontal="center" vertical="center" wrapText="1"/>
    </xf>
    <xf numFmtId="0" fontId="32" fillId="25" borderId="0" xfId="0" applyFont="1" applyFill="1" applyAlignment="1">
      <alignment horizontal="center" vertical="center" wrapText="1"/>
    </xf>
    <xf numFmtId="0" fontId="32" fillId="25" borderId="30" xfId="0" applyFont="1" applyFill="1" applyBorder="1" applyAlignment="1">
      <alignment horizontal="center" vertical="center" wrapText="1"/>
    </xf>
    <xf numFmtId="0" fontId="32" fillId="25" borderId="31" xfId="0" applyFont="1" applyFill="1" applyBorder="1" applyAlignment="1">
      <alignment horizontal="center" vertical="center" wrapText="1"/>
    </xf>
    <xf numFmtId="0" fontId="32" fillId="26" borderId="30" xfId="0" applyFont="1" applyFill="1" applyBorder="1" applyAlignment="1">
      <alignment horizontal="center" vertical="center" wrapText="1"/>
    </xf>
    <xf numFmtId="14" fontId="32" fillId="25" borderId="30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 readingOrder="1"/>
    </xf>
    <xf numFmtId="0" fontId="32" fillId="25" borderId="32" xfId="0" applyFont="1" applyFill="1" applyBorder="1" applyAlignment="1">
      <alignment horizontal="center" vertical="center" wrapText="1"/>
    </xf>
    <xf numFmtId="0" fontId="30" fillId="11" borderId="0" xfId="0" applyFont="1" applyFill="1" applyAlignment="1">
      <alignment horizontal="center" vertical="center"/>
    </xf>
    <xf numFmtId="0" fontId="30" fillId="27" borderId="33" xfId="0" applyFont="1" applyFill="1" applyBorder="1" applyAlignment="1">
      <alignment horizontal="center" vertical="center" wrapText="1"/>
    </xf>
    <xf numFmtId="0" fontId="34" fillId="27" borderId="33" xfId="0" applyFont="1" applyFill="1" applyBorder="1" applyAlignment="1">
      <alignment horizontal="center" vertical="center" wrapText="1" readingOrder="1"/>
    </xf>
    <xf numFmtId="1" fontId="33" fillId="27" borderId="33" xfId="0" applyNumberFormat="1" applyFont="1" applyFill="1" applyBorder="1" applyAlignment="1">
      <alignment horizontal="center" vertical="center" wrapText="1"/>
    </xf>
    <xf numFmtId="14" fontId="30" fillId="27" borderId="33" xfId="0" applyNumberFormat="1" applyFont="1" applyFill="1" applyBorder="1" applyAlignment="1">
      <alignment horizontal="center" vertical="center" wrapText="1"/>
    </xf>
    <xf numFmtId="0" fontId="35" fillId="27" borderId="33" xfId="0" applyFont="1" applyFill="1" applyBorder="1" applyAlignment="1">
      <alignment horizontal="center" vertical="center" wrapText="1" readingOrder="1"/>
    </xf>
    <xf numFmtId="167" fontId="30" fillId="27" borderId="33" xfId="0" applyNumberFormat="1" applyFont="1" applyFill="1" applyBorder="1" applyAlignment="1">
      <alignment horizontal="center" vertical="center" wrapText="1"/>
    </xf>
    <xf numFmtId="167" fontId="31" fillId="27" borderId="33" xfId="0" applyNumberFormat="1" applyFont="1" applyFill="1" applyBorder="1" applyAlignment="1">
      <alignment horizontal="center" vertical="center" wrapText="1"/>
    </xf>
    <xf numFmtId="0" fontId="34" fillId="27" borderId="33" xfId="0" applyFont="1" applyFill="1" applyBorder="1" applyAlignment="1">
      <alignment horizontal="center" vertical="center" wrapText="1" shrinkToFit="1"/>
    </xf>
    <xf numFmtId="9" fontId="30" fillId="27" borderId="33" xfId="0" applyNumberFormat="1" applyFont="1" applyFill="1" applyBorder="1" applyAlignment="1">
      <alignment horizontal="center" vertical="center" wrapText="1"/>
    </xf>
    <xf numFmtId="9" fontId="33" fillId="27" borderId="33" xfId="0" applyNumberFormat="1" applyFont="1" applyFill="1" applyBorder="1" applyAlignment="1">
      <alignment horizontal="center" vertical="center" wrapText="1"/>
    </xf>
    <xf numFmtId="0" fontId="33" fillId="27" borderId="33" xfId="0" applyFont="1" applyFill="1" applyBorder="1" applyAlignment="1">
      <alignment horizontal="center" vertical="center" wrapText="1" readingOrder="1"/>
    </xf>
    <xf numFmtId="14" fontId="36" fillId="27" borderId="33" xfId="0" applyNumberFormat="1" applyFont="1" applyFill="1" applyBorder="1" applyAlignment="1">
      <alignment horizontal="center" vertical="center" wrapText="1" readingOrder="1"/>
    </xf>
    <xf numFmtId="14" fontId="33" fillId="27" borderId="33" xfId="0" applyNumberFormat="1" applyFont="1" applyFill="1" applyBorder="1" applyAlignment="1">
      <alignment horizontal="center" vertical="center" wrapText="1" readingOrder="1"/>
    </xf>
    <xf numFmtId="0" fontId="33" fillId="11" borderId="33" xfId="0" applyFont="1" applyFill="1" applyBorder="1" applyAlignment="1">
      <alignment horizontal="center" vertical="center" wrapText="1" readingOrder="1"/>
    </xf>
    <xf numFmtId="167" fontId="30" fillId="0" borderId="33" xfId="0" applyNumberFormat="1" applyFont="1" applyBorder="1" applyAlignment="1">
      <alignment horizontal="center" vertical="center" wrapText="1"/>
    </xf>
    <xf numFmtId="0" fontId="33" fillId="11" borderId="0" xfId="0" applyFont="1" applyFill="1" applyAlignment="1">
      <alignment horizontal="center" vertical="center" wrapText="1" readingOrder="1"/>
    </xf>
    <xf numFmtId="14" fontId="30" fillId="11" borderId="33" xfId="0" applyNumberFormat="1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 readingOrder="1"/>
    </xf>
    <xf numFmtId="1" fontId="33" fillId="0" borderId="33" xfId="0" applyNumberFormat="1" applyFont="1" applyBorder="1" applyAlignment="1">
      <alignment horizontal="center" vertical="center" wrapText="1"/>
    </xf>
    <xf numFmtId="14" fontId="30" fillId="0" borderId="33" xfId="0" applyNumberFormat="1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 readingOrder="1"/>
    </xf>
    <xf numFmtId="14" fontId="38" fillId="0" borderId="33" xfId="0" applyNumberFormat="1" applyFont="1" applyBorder="1" applyAlignment="1">
      <alignment horizontal="center" vertical="center" wrapText="1"/>
    </xf>
    <xf numFmtId="167" fontId="38" fillId="0" borderId="33" xfId="0" applyNumberFormat="1" applyFont="1" applyBorder="1" applyAlignment="1">
      <alignment horizontal="center" vertical="center" wrapText="1"/>
    </xf>
    <xf numFmtId="0" fontId="34" fillId="11" borderId="33" xfId="0" applyFont="1" applyFill="1" applyBorder="1" applyAlignment="1">
      <alignment horizontal="center" vertical="center" wrapText="1" shrinkToFit="1"/>
    </xf>
    <xf numFmtId="1" fontId="33" fillId="11" borderId="33" xfId="0" applyNumberFormat="1" applyFont="1" applyFill="1" applyBorder="1" applyAlignment="1">
      <alignment horizontal="center" vertical="center" wrapText="1"/>
    </xf>
    <xf numFmtId="9" fontId="30" fillId="11" borderId="33" xfId="0" applyNumberFormat="1" applyFont="1" applyFill="1" applyBorder="1" applyAlignment="1">
      <alignment horizontal="center" vertical="center" wrapText="1"/>
    </xf>
    <xf numFmtId="9" fontId="33" fillId="11" borderId="33" xfId="0" applyNumberFormat="1" applyFont="1" applyFill="1" applyBorder="1" applyAlignment="1">
      <alignment horizontal="center" vertical="center" wrapText="1"/>
    </xf>
    <xf numFmtId="14" fontId="39" fillId="11" borderId="33" xfId="0" applyNumberFormat="1" applyFont="1" applyFill="1" applyBorder="1" applyAlignment="1">
      <alignment horizontal="center" vertical="center" wrapText="1" readingOrder="1"/>
    </xf>
    <xf numFmtId="14" fontId="33" fillId="11" borderId="33" xfId="0" applyNumberFormat="1" applyFont="1" applyFill="1" applyBorder="1" applyAlignment="1">
      <alignment horizontal="center" vertical="center" wrapText="1" readingOrder="1"/>
    </xf>
    <xf numFmtId="14" fontId="30" fillId="28" borderId="33" xfId="0" applyNumberFormat="1" applyFont="1" applyFill="1" applyBorder="1" applyAlignment="1">
      <alignment horizontal="center" vertical="center" wrapText="1"/>
    </xf>
    <xf numFmtId="167" fontId="30" fillId="11" borderId="33" xfId="0" applyNumberFormat="1" applyFont="1" applyFill="1" applyBorder="1" applyAlignment="1">
      <alignment horizontal="center" vertical="center" wrapText="1"/>
    </xf>
    <xf numFmtId="0" fontId="30" fillId="11" borderId="33" xfId="0" applyFont="1" applyFill="1" applyBorder="1" applyAlignment="1">
      <alignment horizontal="center" vertical="center" wrapText="1"/>
    </xf>
    <xf numFmtId="0" fontId="34" fillId="11" borderId="33" xfId="0" applyFont="1" applyFill="1" applyBorder="1" applyAlignment="1">
      <alignment horizontal="center" vertical="center" wrapText="1" readingOrder="1"/>
    </xf>
    <xf numFmtId="167" fontId="30" fillId="11" borderId="33" xfId="0" applyNumberFormat="1" applyFont="1" applyFill="1" applyBorder="1" applyAlignment="1">
      <alignment horizontal="left" vertical="center" wrapText="1"/>
    </xf>
    <xf numFmtId="14" fontId="36" fillId="11" borderId="33" xfId="0" applyNumberFormat="1" applyFont="1" applyFill="1" applyBorder="1" applyAlignment="1">
      <alignment horizontal="center" vertical="center" wrapText="1" readingOrder="1"/>
    </xf>
    <xf numFmtId="0" fontId="38" fillId="27" borderId="33" xfId="0" applyFont="1" applyFill="1" applyBorder="1" applyAlignment="1">
      <alignment horizontal="center" vertical="center" wrapText="1" readingOrder="1"/>
    </xf>
    <xf numFmtId="1" fontId="38" fillId="27" borderId="33" xfId="0" applyNumberFormat="1" applyFont="1" applyFill="1" applyBorder="1" applyAlignment="1">
      <alignment horizontal="center" vertical="center" wrapText="1"/>
    </xf>
    <xf numFmtId="14" fontId="38" fillId="27" borderId="33" xfId="0" applyNumberFormat="1" applyFont="1" applyFill="1" applyBorder="1" applyAlignment="1">
      <alignment horizontal="center" vertical="center" wrapText="1"/>
    </xf>
    <xf numFmtId="0" fontId="37" fillId="27" borderId="33" xfId="0" applyFont="1" applyFill="1" applyBorder="1" applyAlignment="1">
      <alignment horizontal="center" vertical="center" wrapText="1" readingOrder="1"/>
    </xf>
    <xf numFmtId="167" fontId="38" fillId="27" borderId="33" xfId="0" applyNumberFormat="1" applyFont="1" applyFill="1" applyBorder="1" applyAlignment="1">
      <alignment horizontal="center" vertical="center" wrapText="1"/>
    </xf>
    <xf numFmtId="0" fontId="38" fillId="27" borderId="33" xfId="0" applyFont="1" applyFill="1" applyBorder="1" applyAlignment="1">
      <alignment horizontal="center" vertical="center" wrapText="1" shrinkToFit="1"/>
    </xf>
    <xf numFmtId="9" fontId="38" fillId="27" borderId="33" xfId="0" applyNumberFormat="1" applyFont="1" applyFill="1" applyBorder="1" applyAlignment="1">
      <alignment horizontal="center" vertical="center" wrapText="1"/>
    </xf>
    <xf numFmtId="14" fontId="37" fillId="27" borderId="33" xfId="0" applyNumberFormat="1" applyFont="1" applyFill="1" applyBorder="1" applyAlignment="1">
      <alignment horizontal="center" vertical="center" wrapText="1" readingOrder="1"/>
    </xf>
    <xf numFmtId="14" fontId="38" fillId="27" borderId="33" xfId="0" applyNumberFormat="1" applyFont="1" applyFill="1" applyBorder="1" applyAlignment="1">
      <alignment horizontal="center" vertical="center" wrapText="1" readingOrder="1"/>
    </xf>
    <xf numFmtId="0" fontId="30" fillId="10" borderId="33" xfId="0" applyFont="1" applyFill="1" applyBorder="1" applyAlignment="1">
      <alignment horizontal="center" vertical="center" wrapText="1"/>
    </xf>
    <xf numFmtId="0" fontId="34" fillId="10" borderId="33" xfId="0" applyFont="1" applyFill="1" applyBorder="1" applyAlignment="1">
      <alignment horizontal="center" vertical="center" wrapText="1" readingOrder="1"/>
    </xf>
    <xf numFmtId="1" fontId="33" fillId="10" borderId="33" xfId="0" applyNumberFormat="1" applyFont="1" applyFill="1" applyBorder="1" applyAlignment="1">
      <alignment horizontal="center" vertical="center" wrapText="1"/>
    </xf>
    <xf numFmtId="14" fontId="31" fillId="10" borderId="33" xfId="0" applyNumberFormat="1" applyFont="1" applyFill="1" applyBorder="1" applyAlignment="1">
      <alignment horizontal="center" vertical="center" wrapText="1"/>
    </xf>
    <xf numFmtId="14" fontId="30" fillId="10" borderId="33" xfId="0" applyNumberFormat="1" applyFont="1" applyFill="1" applyBorder="1" applyAlignment="1">
      <alignment horizontal="center" vertical="center" wrapText="1"/>
    </xf>
    <xf numFmtId="167" fontId="30" fillId="10" borderId="33" xfId="0" applyNumberFormat="1" applyFont="1" applyFill="1" applyBorder="1" applyAlignment="1">
      <alignment horizontal="center" vertical="center" wrapText="1"/>
    </xf>
    <xf numFmtId="0" fontId="34" fillId="10" borderId="33" xfId="0" applyFont="1" applyFill="1" applyBorder="1" applyAlignment="1">
      <alignment horizontal="center" vertical="center" wrapText="1" shrinkToFit="1"/>
    </xf>
    <xf numFmtId="9" fontId="30" fillId="10" borderId="33" xfId="0" applyNumberFormat="1" applyFont="1" applyFill="1" applyBorder="1" applyAlignment="1">
      <alignment horizontal="center" vertical="center" wrapText="1"/>
    </xf>
    <xf numFmtId="9" fontId="33" fillId="10" borderId="33" xfId="0" applyNumberFormat="1" applyFont="1" applyFill="1" applyBorder="1" applyAlignment="1">
      <alignment horizontal="center" vertical="center" wrapText="1"/>
    </xf>
    <xf numFmtId="0" fontId="33" fillId="10" borderId="33" xfId="0" applyFont="1" applyFill="1" applyBorder="1" applyAlignment="1">
      <alignment horizontal="center" vertical="center" wrapText="1" readingOrder="1"/>
    </xf>
    <xf numFmtId="14" fontId="36" fillId="10" borderId="33" xfId="0" applyNumberFormat="1" applyFont="1" applyFill="1" applyBorder="1" applyAlignment="1">
      <alignment horizontal="center" vertical="center" wrapText="1" readingOrder="1"/>
    </xf>
    <xf numFmtId="14" fontId="33" fillId="10" borderId="33" xfId="0" applyNumberFormat="1" applyFont="1" applyFill="1" applyBorder="1" applyAlignment="1">
      <alignment horizontal="center" vertical="center" wrapText="1" readingOrder="1"/>
    </xf>
    <xf numFmtId="167" fontId="39" fillId="11" borderId="33" xfId="0" applyNumberFormat="1" applyFont="1" applyFill="1" applyBorder="1" applyAlignment="1">
      <alignment horizontal="center" vertical="center" wrapText="1"/>
    </xf>
    <xf numFmtId="0" fontId="35" fillId="11" borderId="33" xfId="0" applyFont="1" applyFill="1" applyBorder="1" applyAlignment="1">
      <alignment horizontal="center" vertical="center" wrapText="1" readingOrder="1"/>
    </xf>
    <xf numFmtId="0" fontId="40" fillId="11" borderId="0" xfId="0" applyFont="1" applyFill="1" applyAlignment="1">
      <alignment horizontal="center" vertical="center"/>
    </xf>
    <xf numFmtId="0" fontId="40" fillId="11" borderId="33" xfId="0" applyFont="1" applyFill="1" applyBorder="1" applyAlignment="1">
      <alignment horizontal="center" vertical="center" wrapText="1"/>
    </xf>
    <xf numFmtId="0" fontId="40" fillId="11" borderId="33" xfId="0" applyFont="1" applyFill="1" applyBorder="1" applyAlignment="1">
      <alignment horizontal="center" vertical="center" wrapText="1" readingOrder="1"/>
    </xf>
    <xf numFmtId="1" fontId="40" fillId="11" borderId="33" xfId="0" applyNumberFormat="1" applyFont="1" applyFill="1" applyBorder="1" applyAlignment="1">
      <alignment horizontal="center" vertical="center" wrapText="1"/>
    </xf>
    <xf numFmtId="14" fontId="40" fillId="11" borderId="33" xfId="0" applyNumberFormat="1" applyFont="1" applyFill="1" applyBorder="1" applyAlignment="1">
      <alignment horizontal="center" vertical="center" wrapText="1"/>
    </xf>
    <xf numFmtId="167" fontId="40" fillId="11" borderId="33" xfId="0" applyNumberFormat="1" applyFont="1" applyFill="1" applyBorder="1" applyAlignment="1">
      <alignment horizontal="center" vertical="center" wrapText="1"/>
    </xf>
    <xf numFmtId="0" fontId="40" fillId="11" borderId="33" xfId="0" applyFont="1" applyFill="1" applyBorder="1" applyAlignment="1">
      <alignment horizontal="center" vertical="center" wrapText="1" shrinkToFit="1"/>
    </xf>
    <xf numFmtId="9" fontId="40" fillId="11" borderId="33" xfId="0" applyNumberFormat="1" applyFont="1" applyFill="1" applyBorder="1" applyAlignment="1">
      <alignment horizontal="center" vertical="center" wrapText="1"/>
    </xf>
    <xf numFmtId="14" fontId="40" fillId="11" borderId="33" xfId="0" applyNumberFormat="1" applyFont="1" applyFill="1" applyBorder="1" applyAlignment="1">
      <alignment horizontal="center" vertical="center" wrapText="1" readingOrder="1"/>
    </xf>
    <xf numFmtId="0" fontId="40" fillId="11" borderId="0" xfId="0" applyFont="1" applyFill="1" applyAlignment="1">
      <alignment horizontal="center" vertical="center" wrapText="1" readingOrder="1"/>
    </xf>
    <xf numFmtId="0" fontId="41" fillId="0" borderId="33" xfId="0" applyFont="1" applyBorder="1" applyAlignment="1">
      <alignment horizontal="center" vertical="center" readingOrder="1"/>
    </xf>
    <xf numFmtId="0" fontId="42" fillId="0" borderId="33" xfId="0" applyFont="1" applyBorder="1" applyAlignment="1">
      <alignment horizontal="center" vertical="center" readingOrder="1"/>
    </xf>
    <xf numFmtId="0" fontId="44" fillId="0" borderId="33" xfId="0" applyFont="1" applyBorder="1" applyAlignment="1">
      <alignment horizontal="center" vertical="center" wrapText="1" readingOrder="1"/>
    </xf>
    <xf numFmtId="0" fontId="42" fillId="10" borderId="33" xfId="0" applyFont="1" applyFill="1" applyBorder="1" applyAlignment="1">
      <alignment horizontal="center" vertical="center" readingOrder="1"/>
    </xf>
    <xf numFmtId="0" fontId="30" fillId="29" borderId="0" xfId="0" applyFont="1" applyFill="1" applyAlignment="1">
      <alignment horizontal="center" vertical="center"/>
    </xf>
    <xf numFmtId="20" fontId="30" fillId="29" borderId="0" xfId="0" applyNumberFormat="1" applyFont="1" applyFill="1" applyAlignment="1">
      <alignment horizontal="center" vertical="center"/>
    </xf>
    <xf numFmtId="0" fontId="34" fillId="30" borderId="33" xfId="0" applyFont="1" applyFill="1" applyBorder="1" applyAlignment="1">
      <alignment horizontal="center" vertical="center" wrapText="1" shrinkToFit="1"/>
    </xf>
    <xf numFmtId="9" fontId="30" fillId="0" borderId="33" xfId="0" applyNumberFormat="1" applyFont="1" applyBorder="1" applyAlignment="1">
      <alignment horizontal="center" vertical="center" wrapText="1"/>
    </xf>
    <xf numFmtId="9" fontId="33" fillId="0" borderId="33" xfId="0" applyNumberFormat="1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center" vertical="center"/>
    </xf>
    <xf numFmtId="20" fontId="30" fillId="0" borderId="0" xfId="0" applyNumberFormat="1" applyFont="1" applyAlignment="1">
      <alignment horizontal="center" vertical="center"/>
    </xf>
    <xf numFmtId="0" fontId="43" fillId="0" borderId="33" xfId="0" applyFont="1" applyBorder="1" applyAlignment="1">
      <alignment horizontal="center" vertical="center" wrapText="1" readingOrder="1"/>
    </xf>
    <xf numFmtId="0" fontId="28" fillId="0" borderId="33" xfId="0" applyFont="1" applyBorder="1" applyAlignment="1">
      <alignment horizontal="center" vertical="center" readingOrder="1"/>
    </xf>
    <xf numFmtId="14" fontId="33" fillId="0" borderId="33" xfId="0" applyNumberFormat="1" applyFont="1" applyBorder="1" applyAlignment="1">
      <alignment horizontal="center" vertical="center" wrapText="1"/>
    </xf>
    <xf numFmtId="0" fontId="41" fillId="30" borderId="34" xfId="0" applyFont="1" applyFill="1" applyBorder="1" applyAlignment="1">
      <alignment vertical="center" readingOrder="1"/>
    </xf>
    <xf numFmtId="0" fontId="31" fillId="0" borderId="35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45" fillId="30" borderId="36" xfId="0" applyFont="1" applyFill="1" applyBorder="1" applyAlignment="1">
      <alignment vertical="center" readingOrder="1"/>
    </xf>
    <xf numFmtId="0" fontId="45" fillId="30" borderId="37" xfId="0" applyFont="1" applyFill="1" applyBorder="1" applyAlignment="1">
      <alignment vertical="center" readingOrder="1"/>
    </xf>
    <xf numFmtId="0" fontId="45" fillId="30" borderId="37" xfId="0" applyFont="1" applyFill="1" applyBorder="1" applyAlignment="1">
      <alignment horizontal="center" vertical="center" readingOrder="1"/>
    </xf>
    <xf numFmtId="0" fontId="45" fillId="30" borderId="0" xfId="0" applyFont="1" applyFill="1" applyAlignment="1">
      <alignment horizontal="center" vertical="center" readingOrder="1"/>
    </xf>
    <xf numFmtId="0" fontId="41" fillId="30" borderId="38" xfId="0" applyFont="1" applyFill="1" applyBorder="1" applyAlignment="1">
      <alignment vertical="center" readingOrder="1"/>
    </xf>
    <xf numFmtId="0" fontId="41" fillId="30" borderId="38" xfId="0" applyFont="1" applyFill="1" applyBorder="1" applyAlignment="1">
      <alignment horizontal="center" vertical="center" readingOrder="1"/>
    </xf>
    <xf numFmtId="0" fontId="41" fillId="30" borderId="0" xfId="0" applyFont="1" applyFill="1" applyAlignment="1">
      <alignment horizontal="center" vertical="center" readingOrder="1"/>
    </xf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47" fillId="0" borderId="4" xfId="0" applyFont="1" applyBorder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6" fillId="10" borderId="4" xfId="0" applyFont="1" applyFill="1" applyBorder="1" applyAlignment="1">
      <alignment vertical="center"/>
    </xf>
    <xf numFmtId="14" fontId="46" fillId="10" borderId="4" xfId="0" applyNumberFormat="1" applyFont="1" applyFill="1" applyBorder="1" applyAlignment="1">
      <alignment horizontal="center" vertical="center"/>
    </xf>
    <xf numFmtId="0" fontId="47" fillId="0" borderId="38" xfId="0" applyFont="1" applyBorder="1" applyAlignment="1">
      <alignment vertical="center" wrapText="1"/>
    </xf>
    <xf numFmtId="0" fontId="47" fillId="0" borderId="38" xfId="0" applyFont="1" applyBorder="1" applyAlignment="1">
      <alignment vertical="center"/>
    </xf>
    <xf numFmtId="0" fontId="47" fillId="0" borderId="38" xfId="0" applyFont="1" applyBorder="1"/>
    <xf numFmtId="0" fontId="48" fillId="0" borderId="0" xfId="0" applyFont="1"/>
    <xf numFmtId="0" fontId="48" fillId="0" borderId="0" xfId="0" applyFont="1" applyAlignment="1">
      <alignment horizontal="center"/>
    </xf>
    <xf numFmtId="0" fontId="47" fillId="31" borderId="38" xfId="0" applyFont="1" applyFill="1" applyBorder="1"/>
    <xf numFmtId="0" fontId="48" fillId="0" borderId="38" xfId="0" applyFont="1" applyBorder="1" applyAlignment="1">
      <alignment vertical="center"/>
    </xf>
    <xf numFmtId="0" fontId="47" fillId="0" borderId="38" xfId="0" applyFont="1" applyBorder="1" applyAlignment="1">
      <alignment wrapText="1"/>
    </xf>
    <xf numFmtId="0" fontId="48" fillId="0" borderId="38" xfId="0" applyFont="1" applyBorder="1"/>
    <xf numFmtId="0" fontId="48" fillId="32" borderId="34" xfId="0" applyFont="1" applyFill="1" applyBorder="1" applyAlignment="1">
      <alignment horizontal="center" vertical="center" wrapText="1"/>
    </xf>
    <xf numFmtId="0" fontId="47" fillId="11" borderId="38" xfId="0" applyFont="1" applyFill="1" applyBorder="1" applyAlignment="1">
      <alignment horizontal="center" vertical="center" wrapText="1"/>
    </xf>
    <xf numFmtId="0" fontId="49" fillId="11" borderId="38" xfId="0" applyFont="1" applyFill="1" applyBorder="1" applyAlignment="1">
      <alignment horizontal="center" vertical="center" wrapText="1"/>
    </xf>
    <xf numFmtId="0" fontId="48" fillId="11" borderId="40" xfId="0" applyFont="1" applyFill="1" applyBorder="1" applyAlignment="1">
      <alignment horizontal="center" vertical="center" wrapText="1"/>
    </xf>
    <xf numFmtId="9" fontId="48" fillId="11" borderId="27" xfId="0" applyNumberFormat="1" applyFont="1" applyFill="1" applyBorder="1" applyAlignment="1">
      <alignment horizontal="center" vertical="center" wrapText="1"/>
    </xf>
    <xf numFmtId="9" fontId="48" fillId="11" borderId="15" xfId="0" applyNumberFormat="1" applyFont="1" applyFill="1" applyBorder="1" applyAlignment="1">
      <alignment horizontal="center" vertical="center" wrapText="1"/>
    </xf>
    <xf numFmtId="9" fontId="48" fillId="11" borderId="4" xfId="0" applyNumberFormat="1" applyFont="1" applyFill="1" applyBorder="1" applyAlignment="1">
      <alignment horizontal="center" vertical="center" wrapText="1"/>
    </xf>
    <xf numFmtId="0" fontId="48" fillId="11" borderId="15" xfId="0" applyFont="1" applyFill="1" applyBorder="1" applyAlignment="1">
      <alignment wrapText="1"/>
    </xf>
    <xf numFmtId="0" fontId="46" fillId="11" borderId="0" xfId="0" applyFont="1" applyFill="1" applyAlignment="1">
      <alignment vertical="center"/>
    </xf>
    <xf numFmtId="0" fontId="50" fillId="11" borderId="40" xfId="0" applyFont="1" applyFill="1" applyBorder="1" applyAlignment="1">
      <alignment horizontal="center" vertical="center" wrapText="1"/>
    </xf>
    <xf numFmtId="0" fontId="48" fillId="11" borderId="15" xfId="0" applyFont="1" applyFill="1" applyBorder="1" applyAlignment="1">
      <alignment vertical="center" wrapText="1"/>
    </xf>
    <xf numFmtId="0" fontId="50" fillId="11" borderId="15" xfId="0" applyFont="1" applyFill="1" applyBorder="1" applyAlignment="1">
      <alignment wrapText="1"/>
    </xf>
    <xf numFmtId="0" fontId="48" fillId="11" borderId="34" xfId="0" applyFont="1" applyFill="1" applyBorder="1" applyAlignment="1">
      <alignment horizontal="center" vertical="center" wrapText="1"/>
    </xf>
    <xf numFmtId="0" fontId="48" fillId="11" borderId="15" xfId="0" applyFont="1" applyFill="1" applyBorder="1" applyAlignment="1">
      <alignment horizontal="left" vertical="center" wrapText="1"/>
    </xf>
    <xf numFmtId="0" fontId="46" fillId="11" borderId="0" xfId="0" applyFont="1" applyFill="1"/>
    <xf numFmtId="0" fontId="51" fillId="11" borderId="38" xfId="0" applyFont="1" applyFill="1" applyBorder="1" applyAlignment="1">
      <alignment horizontal="center" vertical="center" wrapText="1"/>
    </xf>
    <xf numFmtId="0" fontId="48" fillId="0" borderId="45" xfId="0" applyFont="1" applyBorder="1" applyAlignment="1">
      <alignment vertical="center" wrapText="1"/>
    </xf>
    <xf numFmtId="0" fontId="50" fillId="0" borderId="45" xfId="0" applyFont="1" applyBorder="1" applyAlignment="1">
      <alignment vertical="center"/>
    </xf>
    <xf numFmtId="0" fontId="47" fillId="0" borderId="45" xfId="0" applyFont="1" applyBorder="1" applyAlignment="1">
      <alignment vertical="center" wrapText="1"/>
    </xf>
    <xf numFmtId="0" fontId="49" fillId="0" borderId="45" xfId="0" applyFont="1" applyBorder="1" applyAlignment="1">
      <alignment vertical="center" wrapText="1"/>
    </xf>
    <xf numFmtId="0" fontId="47" fillId="0" borderId="4" xfId="0" applyFont="1" applyBorder="1" applyAlignment="1">
      <alignment horizontal="center" vertical="center" wrapText="1"/>
    </xf>
    <xf numFmtId="9" fontId="47" fillId="0" borderId="4" xfId="0" applyNumberFormat="1" applyFont="1" applyBorder="1" applyAlignment="1">
      <alignment horizontal="center" vertical="center" wrapText="1"/>
    </xf>
    <xf numFmtId="9" fontId="47" fillId="0" borderId="0" xfId="0" applyNumberFormat="1" applyFont="1" applyAlignment="1">
      <alignment horizontal="center" vertical="center" wrapText="1"/>
    </xf>
    <xf numFmtId="0" fontId="48" fillId="0" borderId="0" xfId="0" applyFont="1" applyAlignment="1">
      <alignment wrapText="1"/>
    </xf>
    <xf numFmtId="0" fontId="48" fillId="0" borderId="0" xfId="0" applyFont="1" applyAlignment="1">
      <alignment horizontal="center" wrapText="1"/>
    </xf>
    <xf numFmtId="9" fontId="46" fillId="0" borderId="0" xfId="0" applyNumberFormat="1" applyFont="1" applyAlignment="1">
      <alignment horizontal="center" vertical="center"/>
    </xf>
    <xf numFmtId="0" fontId="18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  <xf numFmtId="1" fontId="17" fillId="0" borderId="0" xfId="0" applyNumberFormat="1" applyFont="1" applyAlignment="1">
      <alignment horizontal="center" vertical="center" wrapText="1"/>
    </xf>
    <xf numFmtId="0" fontId="18" fillId="11" borderId="0" xfId="0" applyFont="1" applyFill="1"/>
    <xf numFmtId="1" fontId="17" fillId="11" borderId="0" xfId="0" applyNumberFormat="1" applyFont="1" applyFill="1" applyAlignment="1">
      <alignment horizontal="center" vertical="center" wrapText="1"/>
    </xf>
    <xf numFmtId="0" fontId="0" fillId="11" borderId="0" xfId="0" applyFill="1"/>
    <xf numFmtId="0" fontId="0" fillId="0" borderId="0" xfId="0" applyAlignment="1">
      <alignment wrapText="1"/>
    </xf>
    <xf numFmtId="14" fontId="48" fillId="11" borderId="15" xfId="0" applyNumberFormat="1" applyFont="1" applyFill="1" applyBorder="1" applyAlignment="1">
      <alignment horizontal="center" vertical="center" wrapText="1"/>
    </xf>
    <xf numFmtId="0" fontId="48" fillId="33" borderId="45" xfId="0" applyFont="1" applyFill="1" applyBorder="1" applyAlignment="1">
      <alignment vertical="center" wrapText="1"/>
    </xf>
    <xf numFmtId="0" fontId="54" fillId="34" borderId="0" xfId="0" applyFont="1" applyFill="1" applyAlignment="1">
      <alignment horizontal="center" wrapText="1"/>
    </xf>
    <xf numFmtId="0" fontId="54" fillId="34" borderId="38" xfId="0" applyFont="1" applyFill="1" applyBorder="1" applyAlignment="1">
      <alignment horizontal="center"/>
    </xf>
    <xf numFmtId="0" fontId="54" fillId="34" borderId="40" xfId="0" applyFont="1" applyFill="1" applyBorder="1" applyAlignment="1">
      <alignment horizontal="center"/>
    </xf>
    <xf numFmtId="0" fontId="54" fillId="34" borderId="27" xfId="0" applyFont="1" applyFill="1" applyBorder="1" applyAlignment="1">
      <alignment horizontal="center" vertical="center"/>
    </xf>
    <xf numFmtId="0" fontId="54" fillId="34" borderId="15" xfId="0" applyFont="1" applyFill="1" applyBorder="1" applyAlignment="1">
      <alignment horizontal="center" vertical="center"/>
    </xf>
    <xf numFmtId="0" fontId="54" fillId="34" borderId="4" xfId="0" applyFont="1" applyFill="1" applyBorder="1" applyAlignment="1">
      <alignment horizontal="center" vertical="center"/>
    </xf>
    <xf numFmtId="0" fontId="54" fillId="34" borderId="25" xfId="0" applyFont="1" applyFill="1" applyBorder="1" applyAlignment="1">
      <alignment horizontal="center"/>
    </xf>
    <xf numFmtId="0" fontId="54" fillId="34" borderId="25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41" fontId="5" fillId="0" borderId="0" xfId="2"/>
    <xf numFmtId="41" fontId="0" fillId="0" borderId="1" xfId="2" applyFont="1" applyBorder="1" applyAlignment="1">
      <alignment vertical="center" wrapText="1"/>
    </xf>
    <xf numFmtId="0" fontId="54" fillId="34" borderId="4" xfId="0" applyFont="1" applyFill="1" applyBorder="1" applyAlignment="1">
      <alignment wrapText="1"/>
    </xf>
    <xf numFmtId="14" fontId="54" fillId="34" borderId="4" xfId="0" applyNumberFormat="1" applyFont="1" applyFill="1" applyBorder="1" applyAlignment="1">
      <alignment horizontal="center" wrapText="1"/>
    </xf>
    <xf numFmtId="1" fontId="0" fillId="0" borderId="4" xfId="0" applyNumberFormat="1" applyBorder="1" applyAlignment="1">
      <alignment horizontal="center" vertical="center"/>
    </xf>
    <xf numFmtId="0" fontId="10" fillId="3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7" fillId="9" borderId="1" xfId="0" applyFont="1" applyFill="1" applyBorder="1" applyAlignment="1">
      <alignment horizontal="left" vertical="top" wrapText="1"/>
    </xf>
    <xf numFmtId="0" fontId="58" fillId="2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0" fillId="10" borderId="0" xfId="0" applyFill="1"/>
    <xf numFmtId="0" fontId="30" fillId="11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37" borderId="1" xfId="0" applyFill="1" applyBorder="1" applyAlignment="1">
      <alignment horizontal="center" vertical="center" wrapText="1"/>
    </xf>
    <xf numFmtId="1" fontId="56" fillId="11" borderId="24" xfId="3" applyNumberFormat="1" applyFont="1" applyFill="1" applyBorder="1" applyAlignment="1">
      <alignment vertical="center"/>
    </xf>
    <xf numFmtId="0" fontId="0" fillId="10" borderId="57" xfId="0" applyFill="1" applyBorder="1" applyAlignment="1">
      <alignment vertical="center"/>
    </xf>
    <xf numFmtId="0" fontId="0" fillId="10" borderId="4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14" fontId="0" fillId="10" borderId="57" xfId="0" applyNumberFormat="1" applyFill="1" applyBorder="1" applyAlignment="1">
      <alignment horizontal="center" vertical="center"/>
    </xf>
    <xf numFmtId="1" fontId="0" fillId="10" borderId="4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vertical="center"/>
    </xf>
    <xf numFmtId="166" fontId="0" fillId="0" borderId="1" xfId="0" applyNumberFormat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41" fontId="0" fillId="0" borderId="0" xfId="0" applyNumberFormat="1" applyAlignment="1">
      <alignment horizont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60" fillId="11" borderId="1" xfId="0" applyFont="1" applyFill="1" applyBorder="1" applyAlignment="1">
      <alignment horizontal="center" vertical="center" wrapText="1"/>
    </xf>
    <xf numFmtId="0" fontId="60" fillId="11" borderId="1" xfId="0" applyFont="1" applyFill="1" applyBorder="1" applyAlignment="1">
      <alignment vertical="center" wrapText="1"/>
    </xf>
    <xf numFmtId="0" fontId="6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60" fillId="0" borderId="1" xfId="0" applyNumberFormat="1" applyFont="1" applyBorder="1" applyAlignment="1">
      <alignment horizontal="center" vertical="center" wrapText="1"/>
    </xf>
    <xf numFmtId="0" fontId="60" fillId="0" borderId="0" xfId="0" applyFont="1" applyAlignment="1">
      <alignment vertical="center" wrapText="1"/>
    </xf>
    <xf numFmtId="0" fontId="0" fillId="39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" fontId="17" fillId="36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" fontId="17" fillId="0" borderId="1" xfId="0" applyNumberFormat="1" applyFont="1" applyBorder="1" applyAlignment="1">
      <alignment horizontal="center" vertical="center" wrapText="1"/>
    </xf>
    <xf numFmtId="1" fontId="17" fillId="10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164" fontId="17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" fontId="17" fillId="11" borderId="1" xfId="0" applyNumberFormat="1" applyFont="1" applyFill="1" applyBorder="1" applyAlignment="1">
      <alignment horizontal="center" vertical="center" wrapText="1"/>
    </xf>
    <xf numFmtId="9" fontId="17" fillId="0" borderId="1" xfId="1" applyFont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0" fillId="0" borderId="1" xfId="0" applyBorder="1"/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3" fillId="11" borderId="0" xfId="3" applyFill="1" applyAlignment="1">
      <alignment horizontal="center" vertical="center" wrapText="1"/>
    </xf>
    <xf numFmtId="0" fontId="23" fillId="11" borderId="0" xfId="3" applyFill="1"/>
    <xf numFmtId="1" fontId="26" fillId="17" borderId="4" xfId="3" applyNumberFormat="1" applyFont="1" applyFill="1" applyBorder="1" applyAlignment="1">
      <alignment horizontal="center" vertical="center"/>
    </xf>
    <xf numFmtId="0" fontId="0" fillId="0" borderId="51" xfId="0" applyBorder="1"/>
    <xf numFmtId="1" fontId="26" fillId="17" borderId="4" xfId="3" applyNumberFormat="1" applyFont="1" applyFill="1" applyBorder="1" applyAlignment="1">
      <alignment horizontal="center" vertical="distributed"/>
    </xf>
    <xf numFmtId="0" fontId="0" fillId="0" borderId="49" xfId="0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26" fillId="17" borderId="21" xfId="3" applyFont="1" applyFill="1" applyBorder="1" applyAlignment="1">
      <alignment horizontal="center" vertical="distributed"/>
    </xf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23" fillId="11" borderId="0" xfId="3" applyFill="1" applyAlignment="1">
      <alignment horizontal="center"/>
    </xf>
    <xf numFmtId="0" fontId="0" fillId="0" borderId="28" xfId="0" applyBorder="1"/>
    <xf numFmtId="1" fontId="23" fillId="11" borderId="19" xfId="3" applyNumberFormat="1" applyFill="1" applyBorder="1" applyAlignment="1">
      <alignment horizontal="center" vertical="center"/>
    </xf>
    <xf numFmtId="0" fontId="0" fillId="0" borderId="24" xfId="0" applyBorder="1"/>
    <xf numFmtId="0" fontId="25" fillId="11" borderId="0" xfId="3" applyFont="1" applyFill="1" applyAlignment="1">
      <alignment horizontal="center" vertical="center" wrapText="1"/>
    </xf>
    <xf numFmtId="0" fontId="25" fillId="11" borderId="0" xfId="3" applyFont="1" applyFill="1" applyAlignment="1">
      <alignment horizontal="center"/>
    </xf>
    <xf numFmtId="1" fontId="23" fillId="11" borderId="57" xfId="3" applyNumberFormat="1" applyFill="1" applyBorder="1" applyAlignment="1">
      <alignment horizontal="center" vertical="center"/>
    </xf>
    <xf numFmtId="0" fontId="0" fillId="0" borderId="25" xfId="0" applyBorder="1"/>
    <xf numFmtId="1" fontId="23" fillId="11" borderId="25" xfId="3" applyNumberFormat="1" applyFill="1" applyBorder="1" applyAlignment="1">
      <alignment horizontal="center" vertical="center"/>
    </xf>
    <xf numFmtId="0" fontId="24" fillId="18" borderId="57" xfId="3" applyFont="1" applyFill="1" applyBorder="1" applyAlignment="1">
      <alignment horizontal="center" vertical="center"/>
    </xf>
    <xf numFmtId="0" fontId="24" fillId="18" borderId="57" xfId="3" applyFont="1" applyFill="1" applyBorder="1" applyAlignment="1">
      <alignment horizontal="center" vertical="distributed"/>
    </xf>
    <xf numFmtId="1" fontId="23" fillId="11" borderId="57" xfId="3" applyNumberFormat="1" applyFill="1" applyBorder="1" applyAlignment="1">
      <alignment horizontal="center" vertical="center" wrapText="1"/>
    </xf>
    <xf numFmtId="1" fontId="26" fillId="17" borderId="55" xfId="3" applyNumberFormat="1" applyFont="1" applyFill="1" applyBorder="1" applyAlignment="1">
      <alignment horizontal="center" vertical="center"/>
    </xf>
    <xf numFmtId="0" fontId="0" fillId="0" borderId="56" xfId="0" applyBorder="1"/>
    <xf numFmtId="1" fontId="56" fillId="11" borderId="19" xfId="3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23" fillId="11" borderId="4" xfId="3" applyNumberFormat="1" applyFill="1" applyBorder="1" applyAlignment="1">
      <alignment horizontal="center" vertical="center"/>
    </xf>
    <xf numFmtId="0" fontId="0" fillId="0" borderId="58" xfId="0" applyBorder="1"/>
    <xf numFmtId="1" fontId="56" fillId="11" borderId="25" xfId="3" applyNumberFormat="1" applyFont="1" applyFill="1" applyBorder="1" applyAlignment="1">
      <alignment horizontal="center" vertical="center"/>
    </xf>
    <xf numFmtId="0" fontId="3" fillId="0" borderId="25" xfId="0" applyFont="1" applyBorder="1"/>
    <xf numFmtId="1" fontId="23" fillId="11" borderId="0" xfId="3" applyNumberFormat="1" applyFill="1" applyAlignment="1">
      <alignment horizontal="center" vertical="center"/>
    </xf>
    <xf numFmtId="0" fontId="26" fillId="17" borderId="57" xfId="3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5" xfId="0" applyBorder="1"/>
    <xf numFmtId="1" fontId="24" fillId="11" borderId="0" xfId="3" applyNumberFormat="1" applyFont="1" applyFill="1" applyAlignment="1">
      <alignment horizontal="center" vertical="center"/>
    </xf>
    <xf numFmtId="0" fontId="23" fillId="11" borderId="0" xfId="3" applyFill="1" applyAlignment="1">
      <alignment vertical="center"/>
    </xf>
    <xf numFmtId="1" fontId="56" fillId="11" borderId="57" xfId="3" applyNumberFormat="1" applyFont="1" applyFill="1" applyBorder="1" applyAlignment="1">
      <alignment horizontal="center" vertical="center"/>
    </xf>
    <xf numFmtId="1" fontId="56" fillId="11" borderId="4" xfId="3" applyNumberFormat="1" applyFont="1" applyFill="1" applyBorder="1" applyAlignment="1">
      <alignment horizontal="center" vertical="center"/>
    </xf>
    <xf numFmtId="0" fontId="48" fillId="11" borderId="37" xfId="0" applyFont="1" applyFill="1" applyBorder="1" applyAlignment="1">
      <alignment vertical="center" wrapText="1"/>
    </xf>
    <xf numFmtId="0" fontId="0" fillId="0" borderId="42" xfId="0" applyBorder="1"/>
    <xf numFmtId="0" fontId="0" fillId="0" borderId="37" xfId="0" applyBorder="1"/>
    <xf numFmtId="0" fontId="54" fillId="34" borderId="4" xfId="0" applyFont="1" applyFill="1" applyBorder="1" applyAlignment="1">
      <alignment horizontal="center" wrapText="1"/>
    </xf>
    <xf numFmtId="0" fontId="0" fillId="0" borderId="27" xfId="0" applyBorder="1"/>
    <xf numFmtId="0" fontId="47" fillId="0" borderId="4" xfId="0" applyFont="1" applyBorder="1" applyAlignment="1">
      <alignment horizontal="center" vertical="center"/>
    </xf>
    <xf numFmtId="0" fontId="47" fillId="0" borderId="34" xfId="0" applyFont="1" applyBorder="1" applyAlignment="1">
      <alignment vertical="center" wrapText="1"/>
    </xf>
    <xf numFmtId="0" fontId="0" fillId="0" borderId="40" xfId="0" applyBorder="1"/>
    <xf numFmtId="0" fontId="0" fillId="0" borderId="38" xfId="0" applyBorder="1"/>
    <xf numFmtId="0" fontId="47" fillId="0" borderId="4" xfId="0" applyFont="1" applyBorder="1" applyAlignment="1">
      <alignment vertical="center"/>
    </xf>
    <xf numFmtId="0" fontId="48" fillId="0" borderId="37" xfId="0" applyFont="1" applyBorder="1"/>
    <xf numFmtId="0" fontId="47" fillId="31" borderId="36" xfId="0" applyFont="1" applyFill="1" applyBorder="1"/>
    <xf numFmtId="0" fontId="47" fillId="0" borderId="38" xfId="0" applyFont="1" applyBorder="1"/>
    <xf numFmtId="0" fontId="47" fillId="31" borderId="36" xfId="0" applyFont="1" applyFill="1" applyBorder="1" applyAlignment="1">
      <alignment vertical="center" wrapText="1"/>
    </xf>
    <xf numFmtId="0" fontId="0" fillId="0" borderId="41" xfId="0" applyBorder="1"/>
    <xf numFmtId="0" fontId="0" fillId="0" borderId="43" xfId="0" applyBorder="1"/>
    <xf numFmtId="0" fontId="0" fillId="0" borderId="44" xfId="0" applyBorder="1"/>
    <xf numFmtId="0" fontId="0" fillId="0" borderId="39" xfId="0" applyBorder="1"/>
    <xf numFmtId="0" fontId="48" fillId="0" borderId="41" xfId="0" applyFont="1" applyBorder="1"/>
    <xf numFmtId="0" fontId="0" fillId="0" borderId="45" xfId="0" applyBorder="1"/>
    <xf numFmtId="0" fontId="47" fillId="31" borderId="41" xfId="0" applyFont="1" applyFill="1" applyBorder="1"/>
    <xf numFmtId="0" fontId="47" fillId="31" borderId="37" xfId="0" applyFont="1" applyFill="1" applyBorder="1"/>
    <xf numFmtId="0" fontId="54" fillId="34" borderId="36" xfId="0" applyFont="1" applyFill="1" applyBorder="1"/>
    <xf numFmtId="0" fontId="47" fillId="31" borderId="36" xfId="0" applyFont="1" applyFill="1" applyBorder="1" applyAlignment="1">
      <alignment wrapText="1"/>
    </xf>
    <xf numFmtId="0" fontId="2" fillId="12" borderId="59" xfId="0" applyFont="1" applyFill="1" applyBorder="1" applyAlignment="1">
      <alignment horizontal="center" vertical="center"/>
    </xf>
    <xf numFmtId="0" fontId="0" fillId="0" borderId="46" xfId="0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2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justify" vertical="top" wrapText="1"/>
    </xf>
    <xf numFmtId="0" fontId="0" fillId="0" borderId="47" xfId="0" applyBorder="1"/>
    <xf numFmtId="0" fontId="0" fillId="0" borderId="48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2" fillId="3" borderId="0" xfId="0" applyFont="1" applyFill="1"/>
    <xf numFmtId="0" fontId="31" fillId="10" borderId="4" xfId="0" applyFont="1" applyFill="1" applyBorder="1" applyAlignment="1">
      <alignment horizontal="center"/>
    </xf>
  </cellXfs>
  <cellStyles count="5">
    <cellStyle name="Millares [0]" xfId="2" builtinId="6"/>
    <cellStyle name="Normal" xfId="0" builtinId="0"/>
    <cellStyle name="Normal 2" xfId="3" xr:uid="{00000000-0005-0000-0000-000003000000}"/>
    <cellStyle name="Porcentaje" xfId="1" builtinId="5"/>
    <cellStyle name="Porcentaje 2" xfId="4" xr:uid="{00000000-0005-0000-0000-000004000000}"/>
  </cellStyles>
  <dxfs count="42">
    <dxf>
      <font>
        <color theme="0"/>
      </font>
      <fill>
        <patternFill>
          <bgColor rgb="FFFF5D5D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Curva S - Gestión del Valor Ganado (EVM $)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61261056240801"/>
          <c:y val="0.17315867923916919"/>
          <c:w val="0.78287864305979094"/>
          <c:h val="0.63732834321635723"/>
        </c:manualLayout>
      </c:layout>
      <c:lineChart>
        <c:grouping val="standard"/>
        <c:varyColors val="0"/>
        <c:ser>
          <c:idx val="0"/>
          <c:order val="0"/>
          <c:tx>
            <c:v>PV ($)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Curva_S_Avance!$C$15:$G$15</c:f>
              <c:strCache>
                <c:ptCount val="5"/>
                <c:pt idx="0">
                  <c:v>May 2026</c:v>
                </c:pt>
                <c:pt idx="1">
                  <c:v>Jun 2026</c:v>
                </c:pt>
                <c:pt idx="2">
                  <c:v>Jul 2026</c:v>
                </c:pt>
                <c:pt idx="3">
                  <c:v>Ago 2026</c:v>
                </c:pt>
                <c:pt idx="4">
                  <c:v>Sep 2026</c:v>
                </c:pt>
              </c:strCache>
            </c:strRef>
          </c:cat>
          <c:val>
            <c:numRef>
              <c:f>Curva_S_Avance!$C$16:$G$16</c:f>
              <c:numCache>
                <c:formatCode>_(* #,##0_);_(* \(#,##0\);_(* "-"_);_(@_)</c:formatCode>
                <c:ptCount val="5"/>
                <c:pt idx="0">
                  <c:v>30363369.854399998</c:v>
                </c:pt>
                <c:pt idx="1">
                  <c:v>75908424.635999992</c:v>
                </c:pt>
                <c:pt idx="2">
                  <c:v>227725273.90799999</c:v>
                </c:pt>
                <c:pt idx="3">
                  <c:v>253028082.11999997</c:v>
                </c:pt>
                <c:pt idx="4">
                  <c:v>253028082.11999997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0-49C2-A427-1D51246A6B64}"/>
            </c:ext>
          </c:extLst>
        </c:ser>
        <c:ser>
          <c:idx val="1"/>
          <c:order val="1"/>
          <c:tx>
            <c:v>EV ($)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Curva_S_Avance!$C$15:$G$15</c:f>
              <c:strCache>
                <c:ptCount val="5"/>
                <c:pt idx="0">
                  <c:v>May 2026</c:v>
                </c:pt>
                <c:pt idx="1">
                  <c:v>Jun 2026</c:v>
                </c:pt>
                <c:pt idx="2">
                  <c:v>Jul 2026</c:v>
                </c:pt>
                <c:pt idx="3">
                  <c:v>Ago 2026</c:v>
                </c:pt>
                <c:pt idx="4">
                  <c:v>Sep 2026</c:v>
                </c:pt>
              </c:strCache>
            </c:strRef>
          </c:cat>
          <c:val>
            <c:numRef>
              <c:f>Curva_S_Avance!$C$17:$G$17</c:f>
              <c:numCache>
                <c:formatCode>_(* #,##0_);_(* \(#,##0\);_(* "-"_);_(@_)</c:formatCode>
                <c:ptCount val="5"/>
                <c:pt idx="0">
                  <c:v>12651404.106000001</c:v>
                </c:pt>
                <c:pt idx="1">
                  <c:v>12651404.106000001</c:v>
                </c:pt>
                <c:pt idx="2">
                  <c:v>12651404.106000001</c:v>
                </c:pt>
                <c:pt idx="3">
                  <c:v>12651404.106000001</c:v>
                </c:pt>
                <c:pt idx="4">
                  <c:v>12651404.106000001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0-49C2-A427-1D51246A6B64}"/>
            </c:ext>
          </c:extLst>
        </c:ser>
        <c:ser>
          <c:idx val="2"/>
          <c:order val="2"/>
          <c:tx>
            <c:v>AC ($)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Curva_S_Avance!$C$15:$G$15</c:f>
              <c:strCache>
                <c:ptCount val="5"/>
                <c:pt idx="0">
                  <c:v>May 2026</c:v>
                </c:pt>
                <c:pt idx="1">
                  <c:v>Jun 2026</c:v>
                </c:pt>
                <c:pt idx="2">
                  <c:v>Jul 2026</c:v>
                </c:pt>
                <c:pt idx="3">
                  <c:v>Ago 2026</c:v>
                </c:pt>
                <c:pt idx="4">
                  <c:v>Sep 2026</c:v>
                </c:pt>
              </c:strCache>
            </c:strRef>
          </c:cat>
          <c:val>
            <c:numRef>
              <c:f>Curva_S_Avance!$C$18:$G$18</c:f>
              <c:numCache>
                <c:formatCode>_(* #,##0_);_(* \(#,##0\);_(* "-"_);_(@_)</c:formatCode>
                <c:ptCount val="5"/>
                <c:pt idx="0">
                  <c:v>200000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00-49C2-A427-1D51246A6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Costo Acumulado ($)</a:t>
                </a:r>
              </a:p>
            </c:rich>
          </c:tx>
          <c:layout>
            <c:manualLayout>
              <c:xMode val="edge"/>
              <c:yMode val="edge"/>
              <c:x val="5.7803468208092483E-3"/>
              <c:y val="0.31988853245196208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318874880524332"/>
          <c:y val="0.92124752924402964"/>
          <c:w val="0.4036705960887837"/>
          <c:h val="7.509769612131816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Curva S - Avance Físico (%)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6626075810291"/>
          <c:y val="0.17867328685825101"/>
          <c:w val="0.85081120673869259"/>
          <c:h val="0.62915391945433574"/>
        </c:manualLayout>
      </c:layout>
      <c:lineChart>
        <c:grouping val="standard"/>
        <c:varyColors val="0"/>
        <c:ser>
          <c:idx val="0"/>
          <c:order val="0"/>
          <c:tx>
            <c:v>Avance Planificado (PV %)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Curva_S_Avance!$C$5:$G$5</c:f>
              <c:strCache>
                <c:ptCount val="5"/>
                <c:pt idx="0">
                  <c:v>Mayo 2026</c:v>
                </c:pt>
                <c:pt idx="1">
                  <c:v>Junio 2026</c:v>
                </c:pt>
                <c:pt idx="2">
                  <c:v>Julio 2026</c:v>
                </c:pt>
                <c:pt idx="3">
                  <c:v>Agosto 2026</c:v>
                </c:pt>
                <c:pt idx="4">
                  <c:v>Septiembre 2026</c:v>
                </c:pt>
              </c:strCache>
            </c:strRef>
          </c:cat>
          <c:val>
            <c:numLit>
              <c:formatCode>General</c:formatCode>
              <c:ptCount val="5"/>
              <c:pt idx="0">
                <c:v>0.12</c:v>
              </c:pt>
              <c:pt idx="1">
                <c:v>0.3</c:v>
              </c:pt>
              <c:pt idx="2">
                <c:v>0.89999999999999991</c:v>
              </c:pt>
              <c:pt idx="3">
                <c:v>0.99999999999999989</c:v>
              </c:pt>
              <c:pt idx="4">
                <c:v>0.99999999999999989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7D2-47B1-981F-2DFD935D7E32}"/>
            </c:ext>
          </c:extLst>
        </c:ser>
        <c:ser>
          <c:idx val="1"/>
          <c:order val="1"/>
          <c:tx>
            <c:v>Avance Real (EV %)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Curva_S_Avance!$C$5:$G$5</c:f>
              <c:strCache>
                <c:ptCount val="5"/>
                <c:pt idx="0">
                  <c:v>Mayo 2026</c:v>
                </c:pt>
                <c:pt idx="1">
                  <c:v>Junio 2026</c:v>
                </c:pt>
                <c:pt idx="2">
                  <c:v>Julio 2026</c:v>
                </c:pt>
                <c:pt idx="3">
                  <c:v>Agosto 2026</c:v>
                </c:pt>
                <c:pt idx="4">
                  <c:v>Septiembre 2026</c:v>
                </c:pt>
              </c:strCache>
            </c:strRef>
          </c:cat>
          <c:val>
            <c:numLit>
              <c:formatCode>General</c:formatCode>
              <c:ptCount val="5"/>
              <c:pt idx="0">
                <c:v>0.05</c:v>
              </c:pt>
              <c:pt idx="1">
                <c:v>0.05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7D2-47B1-981F-2DFD935D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Avance Acumulado (%)</a:t>
                </a:r>
              </a:p>
            </c:rich>
          </c:tx>
          <c:layout>
            <c:manualLayout>
              <c:xMode val="edge"/>
              <c:yMode val="edge"/>
              <c:x val="9.9740819517417194E-3"/>
              <c:y val="0.2584519450992193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6752884087163538E-2"/>
          <c:y val="0.92210007188591869"/>
          <c:w val="0.81216184459500707"/>
          <c:h val="7.71372686694417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7</xdr:row>
      <xdr:rowOff>0</xdr:rowOff>
    </xdr:from>
    <xdr:ext cx="7086600" cy="308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190500</xdr:colOff>
      <xdr:row>25</xdr:row>
      <xdr:rowOff>85725</xdr:rowOff>
    </xdr:from>
    <xdr:ext cx="7099300" cy="29908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Alejandro Contuliano" id="{394B50B8-E3BA-477C-BA48-7BB2A9BDBFE5}" userId="Jose Alejandro Contuliano" providerId="None"/>
  <person displayName="Jose Contuliano Castillo" id="{2FFB3F6D-3B08-4FE9-B923-42D9C5A241B1}" userId="S::jose.contuliano@stn.saesa.cl::45de87fa-e263-4e7a-b299-27439da20a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6-05T17:42:13.81" personId="{394B50B8-E3BA-477C-BA48-7BB2A9BDBFE5}" id="{DDC249E8-04D2-4F11-BF57-507F9F8C8DAB}">
    <text>Examen y Acreditación como M1. 
A entregar descriptor de cargo agregando funciones de apoyo a Topógrafo</text>
  </threadedComment>
  <threadedComment ref="D14" dT="2026-06-10T14:40:37.58" personId="{2FFB3F6D-3B08-4FE9-B923-42D9C5A241B1}" id="{6F55923A-C662-4B5D-812C-A65531E4DB5C}">
    <text>ACREDITAR COMO RIGGER</text>
  </threadedComment>
  <threadedComment ref="D16" dT="2026-06-05T17:43:04.28" personId="{394B50B8-E3BA-477C-BA48-7BB2A9BDBFE5}" id="{FD6D4F04-0C09-45F8-BDB2-BE6F66812C7D}">
    <text>Contrato como M2...A la espera de resultado de 3D CEIM</text>
  </threadedComment>
  <threadedComment ref="D23" dT="2026-06-02T13:24:42.92" personId="{2FFB3F6D-3B08-4FE9-B923-42D9C5A241B1}" id="{AA9A5E73-90B4-4DBF-871C-7A1A7F8D9E3C}">
    <text>Induccion documnetada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9"/>
  <sheetViews>
    <sheetView showGridLines="0" zoomScale="48" zoomScaleNormal="90" workbookViewId="0">
      <pane ySplit="6" topLeftCell="A7" activePane="bottomLeft" state="frozen"/>
      <selection pane="bottomLeft" activeCell="AB20" sqref="AB20"/>
    </sheetView>
  </sheetViews>
  <sheetFormatPr baseColWidth="10" defaultColWidth="8.7265625" defaultRowHeight="14.5"/>
  <cols>
    <col min="2" max="2" width="35.26953125" customWidth="1"/>
    <col min="3" max="5" width="15" customWidth="1"/>
  </cols>
  <sheetData>
    <row r="2" spans="2:17" ht="14.5" customHeight="1">
      <c r="B2" s="415" t="s">
        <v>113</v>
      </c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</row>
    <row r="3" spans="2:17"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</row>
    <row r="4" spans="2:17" ht="23.5" customHeight="1">
      <c r="B4" s="417" t="s">
        <v>114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</row>
    <row r="5" spans="2:17">
      <c r="B5" s="418" t="s">
        <v>115</v>
      </c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</row>
    <row r="7" spans="2:17" ht="28" customHeight="1"/>
    <row r="8" spans="2:17">
      <c r="B8" s="409" t="s">
        <v>116</v>
      </c>
      <c r="C8" s="410"/>
      <c r="D8" s="410"/>
      <c r="E8" s="410"/>
    </row>
    <row r="9" spans="2:17">
      <c r="B9" s="333" t="s">
        <v>117</v>
      </c>
      <c r="C9" s="412">
        <f>+Resumen_Control_Costos!C14</f>
        <v>253028082.12</v>
      </c>
      <c r="D9" s="405"/>
      <c r="E9" s="406"/>
      <c r="M9" s="67"/>
      <c r="N9" s="67"/>
      <c r="O9" s="67"/>
      <c r="P9" s="67"/>
    </row>
    <row r="10" spans="2:17">
      <c r="B10" s="333" t="s">
        <v>118</v>
      </c>
      <c r="C10" s="412">
        <f>+Resumen_Control_Costos!D14</f>
        <v>200000</v>
      </c>
      <c r="D10" s="405"/>
      <c r="E10" s="406"/>
      <c r="M10" s="67"/>
      <c r="N10" s="67"/>
      <c r="O10" s="67"/>
      <c r="P10" s="67"/>
    </row>
    <row r="11" spans="2:17">
      <c r="B11" s="333" t="s">
        <v>119</v>
      </c>
      <c r="C11" s="412">
        <f>+Resumen_Control_Costos!F14</f>
        <v>253028082.12</v>
      </c>
      <c r="D11" s="405"/>
      <c r="E11" s="406"/>
      <c r="M11" s="67"/>
      <c r="N11" s="67"/>
      <c r="O11" s="67"/>
      <c r="P11" s="67"/>
    </row>
    <row r="12" spans="2:17">
      <c r="B12" s="333" t="s">
        <v>120</v>
      </c>
      <c r="C12" s="416">
        <f>+Resumen_Control_Costos!C24</f>
        <v>2.4</v>
      </c>
      <c r="D12" s="405"/>
      <c r="E12" s="406"/>
      <c r="M12" s="67"/>
      <c r="N12" s="67"/>
      <c r="O12" s="67"/>
      <c r="P12" s="67"/>
    </row>
    <row r="13" spans="2:17">
      <c r="B13" s="333" t="s">
        <v>121</v>
      </c>
      <c r="C13" s="416" t="str">
        <f>+Resumen_Control_Costos!C23</f>
        <v>Pendiente datos</v>
      </c>
      <c r="D13" s="405"/>
      <c r="E13" s="406"/>
    </row>
    <row r="14" spans="2:17">
      <c r="B14" s="333" t="s">
        <v>122</v>
      </c>
      <c r="C14" s="412">
        <f>+Resumen_Control_Costos!C27</f>
        <v>199997.6</v>
      </c>
      <c r="D14" s="405"/>
      <c r="E14" s="406"/>
    </row>
    <row r="16" spans="2:17">
      <c r="B16" s="409" t="s">
        <v>123</v>
      </c>
      <c r="C16" s="410"/>
      <c r="D16" s="410"/>
      <c r="E16" s="410"/>
      <c r="M16" s="67" t="s">
        <v>124</v>
      </c>
      <c r="N16" s="67" t="s">
        <v>125</v>
      </c>
      <c r="O16" s="67" t="s">
        <v>126</v>
      </c>
    </row>
    <row r="17" spans="2:15">
      <c r="B17" s="333" t="s">
        <v>127</v>
      </c>
      <c r="C17" s="407">
        <f>COUNTA(RRHH_Control!A2:A19)</f>
        <v>18</v>
      </c>
      <c r="D17" s="405"/>
      <c r="E17" s="406"/>
      <c r="M17" s="67" t="s">
        <v>128</v>
      </c>
      <c r="N17" s="67">
        <v>1500</v>
      </c>
      <c r="O17" s="67">
        <v>1250</v>
      </c>
    </row>
    <row r="18" spans="2:15">
      <c r="B18" s="333" t="s">
        <v>129</v>
      </c>
      <c r="C18" s="413">
        <f>COUNTIFS(RRHH_Control!E:E, "Aprobado", RRHH_Control!F:F, "Aprobado")</f>
        <v>16</v>
      </c>
      <c r="D18" s="405"/>
      <c r="E18" s="406"/>
      <c r="M18" s="67" t="s">
        <v>130</v>
      </c>
      <c r="N18" s="67">
        <v>2000</v>
      </c>
      <c r="O18" s="67">
        <v>0</v>
      </c>
    </row>
    <row r="19" spans="2:15">
      <c r="B19" s="333" t="s">
        <v>131</v>
      </c>
      <c r="C19" s="413">
        <f>COUNTIFS(RRHH_Control!S:S, "Aprobado") + COUNTIFS(RRHH_Control!U:U, "Aprobado")</f>
        <v>15</v>
      </c>
      <c r="D19" s="405"/>
      <c r="E19" s="406"/>
      <c r="M19" s="67"/>
      <c r="N19" s="67"/>
      <c r="O19" s="67"/>
    </row>
    <row r="20" spans="2:15">
      <c r="B20" s="333" t="s">
        <v>132</v>
      </c>
      <c r="C20" s="407">
        <f>COUNTIF(RRHH_Control!AP2:AP99, 3)</f>
        <v>0</v>
      </c>
      <c r="D20" s="405"/>
      <c r="E20" s="406"/>
    </row>
    <row r="21" spans="2:15">
      <c r="B21" s="333" t="s">
        <v>133</v>
      </c>
      <c r="C21" s="411">
        <f>AVERAGE(HDR_Matriz!BI2:BI100)</f>
        <v>0</v>
      </c>
      <c r="D21" s="405"/>
      <c r="E21" s="406"/>
    </row>
    <row r="22" spans="2:15">
      <c r="B22" s="333" t="s">
        <v>134</v>
      </c>
      <c r="C22" s="413">
        <f>SUM(Curva_S_Avance!H22)</f>
        <v>1250</v>
      </c>
      <c r="D22" s="405"/>
      <c r="E22" s="406"/>
    </row>
    <row r="23" spans="2:15">
      <c r="B23" s="333" t="s">
        <v>135</v>
      </c>
      <c r="C23" s="407">
        <f>COUNTIF('Matriz de Riesgos'!I3:I101, "Abierto")</f>
        <v>0</v>
      </c>
      <c r="D23" s="405"/>
      <c r="E23" s="406"/>
    </row>
    <row r="24" spans="2:15">
      <c r="B24" s="333" t="s">
        <v>136</v>
      </c>
      <c r="C24" s="407">
        <f>COUNTIF('Carpeta de Arranque_STN'!L14:L50, 1)</f>
        <v>1</v>
      </c>
      <c r="D24" s="405"/>
      <c r="E24" s="406"/>
    </row>
    <row r="25" spans="2:15">
      <c r="B25" s="333" t="s">
        <v>137</v>
      </c>
      <c r="C25" s="411">
        <f>IFERROR(AVERAGE('Carpeta de Arranque_STN'!L14:L50), 0)</f>
        <v>0.375</v>
      </c>
      <c r="D25" s="405"/>
      <c r="E25" s="406"/>
    </row>
    <row r="27" spans="2:15">
      <c r="B27" s="409" t="s">
        <v>138</v>
      </c>
      <c r="C27" s="410"/>
      <c r="D27" s="410"/>
      <c r="E27" s="410"/>
    </row>
    <row r="28" spans="2:15">
      <c r="B28" s="333" t="s">
        <v>139</v>
      </c>
      <c r="C28" s="407">
        <v>9</v>
      </c>
      <c r="D28" s="405"/>
      <c r="E28" s="406"/>
    </row>
    <row r="29" spans="2:15">
      <c r="B29" s="333" t="s">
        <v>140</v>
      </c>
      <c r="C29" s="407">
        <v>0</v>
      </c>
      <c r="D29" s="405"/>
      <c r="E29" s="406"/>
    </row>
    <row r="30" spans="2:15">
      <c r="B30" s="333" t="s">
        <v>141</v>
      </c>
      <c r="C30" s="407">
        <v>0</v>
      </c>
      <c r="D30" s="405"/>
      <c r="E30" s="406"/>
    </row>
    <row r="31" spans="2:15">
      <c r="B31" s="333" t="s">
        <v>142</v>
      </c>
      <c r="C31" s="414">
        <f>IF(D22&gt;0,D23/D22,0)</f>
        <v>0</v>
      </c>
      <c r="D31" s="405"/>
      <c r="E31" s="406"/>
    </row>
    <row r="32" spans="2:15">
      <c r="B32" s="333" t="s">
        <v>143</v>
      </c>
      <c r="C32" s="408" t="s">
        <v>144</v>
      </c>
      <c r="D32" s="405"/>
      <c r="E32" s="406"/>
    </row>
    <row r="33" spans="2:5">
      <c r="B33" s="333" t="s">
        <v>145</v>
      </c>
      <c r="C33" s="408" t="s">
        <v>144</v>
      </c>
      <c r="D33" s="405"/>
      <c r="E33" s="406"/>
    </row>
    <row r="34" spans="2:5">
      <c r="B34" s="335"/>
      <c r="C34" s="336"/>
    </row>
    <row r="35" spans="2:5">
      <c r="B35" s="409" t="s">
        <v>146</v>
      </c>
      <c r="C35" s="410"/>
      <c r="D35" s="410"/>
      <c r="E35" s="410"/>
    </row>
    <row r="36" spans="2:5">
      <c r="B36" s="333" t="s">
        <v>147</v>
      </c>
      <c r="C36" s="407">
        <f>COUNTA(Equipos_y_Flota!A2:A99)</f>
        <v>8</v>
      </c>
      <c r="D36" s="405"/>
      <c r="E36" s="406"/>
    </row>
    <row r="37" spans="2:5">
      <c r="B37" s="333" t="s">
        <v>148</v>
      </c>
      <c r="C37" s="407">
        <f>COUNTIF(Equipos_y_Flota!P2:P99, 3)</f>
        <v>0</v>
      </c>
      <c r="D37" s="405"/>
      <c r="E37" s="406"/>
    </row>
    <row r="38" spans="2:5">
      <c r="B38" s="333" t="s">
        <v>149</v>
      </c>
      <c r="C38" s="408" t="s">
        <v>144</v>
      </c>
      <c r="D38" s="405"/>
      <c r="E38" s="406"/>
    </row>
    <row r="39" spans="2:5">
      <c r="B39" s="333" t="s">
        <v>150</v>
      </c>
      <c r="C39" s="408" t="s">
        <v>144</v>
      </c>
      <c r="D39" s="405"/>
      <c r="E39" s="406"/>
    </row>
    <row r="40" spans="2:5">
      <c r="B40" s="333" t="s">
        <v>151</v>
      </c>
      <c r="C40" s="408" t="s">
        <v>144</v>
      </c>
      <c r="D40" s="405"/>
      <c r="E40" s="406"/>
    </row>
    <row r="41" spans="2:5">
      <c r="B41" s="333" t="s">
        <v>152</v>
      </c>
      <c r="C41" s="408" t="s">
        <v>144</v>
      </c>
      <c r="D41" s="405"/>
      <c r="E41" s="406"/>
    </row>
    <row r="42" spans="2:5">
      <c r="B42" s="333" t="s">
        <v>153</v>
      </c>
      <c r="C42" s="408" t="s">
        <v>144</v>
      </c>
      <c r="D42" s="405"/>
      <c r="E42" s="406"/>
    </row>
    <row r="43" spans="2:5">
      <c r="B43" s="337"/>
      <c r="C43" s="338"/>
      <c r="D43" s="339"/>
      <c r="E43" s="339"/>
    </row>
    <row r="44" spans="2:5">
      <c r="B44" s="409" t="s">
        <v>154</v>
      </c>
      <c r="C44" s="410"/>
      <c r="D44" s="410"/>
      <c r="E44" s="410"/>
    </row>
    <row r="45" spans="2:5">
      <c r="B45" s="333" t="s">
        <v>155</v>
      </c>
      <c r="C45" s="404" t="s">
        <v>156</v>
      </c>
      <c r="D45" s="405"/>
      <c r="E45" s="406"/>
    </row>
    <row r="46" spans="2:5">
      <c r="B46" s="333" t="s">
        <v>157</v>
      </c>
      <c r="C46" s="404" t="s">
        <v>158</v>
      </c>
      <c r="D46" s="405"/>
      <c r="E46" s="406"/>
    </row>
    <row r="47" spans="2:5">
      <c r="B47" s="333" t="s">
        <v>159</v>
      </c>
      <c r="C47" s="404" t="s">
        <v>156</v>
      </c>
      <c r="D47" s="405"/>
      <c r="E47" s="406"/>
    </row>
    <row r="48" spans="2:5">
      <c r="B48" s="333" t="s">
        <v>160</v>
      </c>
      <c r="C48" s="404" t="s">
        <v>156</v>
      </c>
      <c r="D48" s="405"/>
      <c r="E48" s="406"/>
    </row>
    <row r="49" spans="2:5">
      <c r="B49" s="333" t="s">
        <v>161</v>
      </c>
      <c r="C49" s="404" t="s">
        <v>156</v>
      </c>
      <c r="D49" s="405"/>
      <c r="E49" s="406"/>
    </row>
  </sheetData>
  <mergeCells count="41">
    <mergeCell ref="C9:E9"/>
    <mergeCell ref="C21:E21"/>
    <mergeCell ref="B2:Q3"/>
    <mergeCell ref="C12:E12"/>
    <mergeCell ref="C46:E46"/>
    <mergeCell ref="C36:E36"/>
    <mergeCell ref="C11:E11"/>
    <mergeCell ref="B35:E35"/>
    <mergeCell ref="C23:E23"/>
    <mergeCell ref="C39:E39"/>
    <mergeCell ref="B16:E16"/>
    <mergeCell ref="B4:Q4"/>
    <mergeCell ref="C13:E13"/>
    <mergeCell ref="B5:P5"/>
    <mergeCell ref="C14:E14"/>
    <mergeCell ref="B8:E8"/>
    <mergeCell ref="C10:E10"/>
    <mergeCell ref="C41:E41"/>
    <mergeCell ref="C17:E17"/>
    <mergeCell ref="C32:E32"/>
    <mergeCell ref="C38:E38"/>
    <mergeCell ref="B27:E27"/>
    <mergeCell ref="C28:E28"/>
    <mergeCell ref="C19:E19"/>
    <mergeCell ref="C37:E37"/>
    <mergeCell ref="C18:E18"/>
    <mergeCell ref="C20:E20"/>
    <mergeCell ref="C31:E31"/>
    <mergeCell ref="C22:E22"/>
    <mergeCell ref="C49:E49"/>
    <mergeCell ref="C30:E30"/>
    <mergeCell ref="C24:E24"/>
    <mergeCell ref="C42:E42"/>
    <mergeCell ref="C33:E33"/>
    <mergeCell ref="C45:E45"/>
    <mergeCell ref="B44:E44"/>
    <mergeCell ref="C29:E29"/>
    <mergeCell ref="C25:E25"/>
    <mergeCell ref="C47:E47"/>
    <mergeCell ref="C48:E48"/>
    <mergeCell ref="C40:E4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showGridLines="0" workbookViewId="0">
      <selection activeCell="D32" sqref="D32"/>
    </sheetView>
  </sheetViews>
  <sheetFormatPr baseColWidth="10" defaultColWidth="8.7265625" defaultRowHeight="14.5"/>
  <cols>
    <col min="2" max="2" width="32.26953125" bestFit="1" customWidth="1"/>
    <col min="3" max="3" width="19" customWidth="1"/>
    <col min="4" max="7" width="18" customWidth="1"/>
  </cols>
  <sheetData>
    <row r="2" spans="2:11">
      <c r="B2" s="420" t="s">
        <v>162</v>
      </c>
      <c r="C2" s="410"/>
      <c r="D2" s="410"/>
      <c r="E2" s="410"/>
      <c r="F2" s="410"/>
      <c r="G2" s="410"/>
      <c r="H2" s="410"/>
      <c r="I2" s="410"/>
      <c r="J2" s="410"/>
      <c r="K2" s="410"/>
    </row>
    <row r="3" spans="2:11">
      <c r="B3" s="410"/>
      <c r="C3" s="410"/>
      <c r="D3" s="410"/>
      <c r="E3" s="410"/>
      <c r="F3" s="410"/>
      <c r="G3" s="410"/>
      <c r="H3" s="410"/>
      <c r="I3" s="410"/>
      <c r="J3" s="410"/>
      <c r="K3" s="410"/>
    </row>
    <row r="5" spans="2:11">
      <c r="B5" s="421" t="s">
        <v>163</v>
      </c>
      <c r="C5" s="410"/>
      <c r="D5" s="410"/>
      <c r="E5" s="410"/>
      <c r="F5" s="410"/>
      <c r="G5" s="410"/>
    </row>
    <row r="6" spans="2:11" ht="29" customHeight="1">
      <c r="B6" s="40" t="s">
        <v>164</v>
      </c>
      <c r="C6" s="40" t="s">
        <v>165</v>
      </c>
      <c r="D6" s="40" t="s">
        <v>166</v>
      </c>
      <c r="E6" s="40" t="s">
        <v>167</v>
      </c>
      <c r="F6" s="40" t="s">
        <v>168</v>
      </c>
      <c r="G6" s="40" t="s">
        <v>169</v>
      </c>
    </row>
    <row r="7" spans="2:11">
      <c r="B7" s="35" t="s">
        <v>170</v>
      </c>
      <c r="C7" s="41">
        <f>+Control_Presupuesto!C2</f>
        <v>62700000</v>
      </c>
      <c r="D7" s="41">
        <f>+Control_Presupuesto!I2</f>
        <v>0</v>
      </c>
      <c r="E7" s="41">
        <f>+Control_Presupuesto!J2</f>
        <v>0</v>
      </c>
      <c r="F7" s="41">
        <f t="shared" ref="F7:F13" si="0">IFERROR(C7, "Pendiente datos")</f>
        <v>62700000</v>
      </c>
      <c r="G7" s="41">
        <f t="shared" ref="G7:G13" si="1">IFERROR(C7-F7, "Pendiente datos")</f>
        <v>0</v>
      </c>
    </row>
    <row r="8" spans="2:11">
      <c r="B8" s="35" t="s">
        <v>171</v>
      </c>
      <c r="C8" s="41">
        <f>+Control_Presupuesto!C12</f>
        <v>2956644.3899999997</v>
      </c>
      <c r="D8" s="41">
        <f>+Control_Presupuesto!I12</f>
        <v>0</v>
      </c>
      <c r="E8" s="41">
        <f>+Control_Presupuesto!J12</f>
        <v>0</v>
      </c>
      <c r="F8" s="41">
        <f t="shared" si="0"/>
        <v>2956644.3899999997</v>
      </c>
      <c r="G8" s="41">
        <f t="shared" si="1"/>
        <v>0</v>
      </c>
    </row>
    <row r="9" spans="2:11">
      <c r="B9" s="35" t="s">
        <v>172</v>
      </c>
      <c r="C9" s="41">
        <f>+Control_Presupuesto!C16</f>
        <v>57720796.729999997</v>
      </c>
      <c r="D9" s="41">
        <f>+Control_Presupuesto!I16</f>
        <v>0</v>
      </c>
      <c r="E9" s="41">
        <f>+Control_Presupuesto!J16</f>
        <v>0</v>
      </c>
      <c r="F9" s="41">
        <f t="shared" si="0"/>
        <v>57720796.729999997</v>
      </c>
      <c r="G9" s="41">
        <f t="shared" si="1"/>
        <v>0</v>
      </c>
    </row>
    <row r="10" spans="2:11">
      <c r="B10" s="35" t="s">
        <v>173</v>
      </c>
      <c r="C10" s="41">
        <f>+Control_Presupuesto!C22</f>
        <v>4510650</v>
      </c>
      <c r="D10" s="41">
        <f>+Control_Presupuesto!I22</f>
        <v>0</v>
      </c>
      <c r="E10" s="41">
        <f>+Control_Presupuesto!J22</f>
        <v>0</v>
      </c>
      <c r="F10" s="41">
        <f t="shared" si="0"/>
        <v>4510650</v>
      </c>
      <c r="G10" s="41">
        <f t="shared" si="1"/>
        <v>0</v>
      </c>
    </row>
    <row r="11" spans="2:11">
      <c r="B11" s="35" t="s">
        <v>174</v>
      </c>
      <c r="C11" s="41">
        <f>+Control_Presupuesto!C26</f>
        <v>17980000</v>
      </c>
      <c r="D11" s="41">
        <f>+Control_Presupuesto!I26</f>
        <v>0</v>
      </c>
      <c r="E11" s="41">
        <f>+Control_Presupuesto!J26</f>
        <v>0</v>
      </c>
      <c r="F11" s="41">
        <f t="shared" si="0"/>
        <v>17980000</v>
      </c>
      <c r="G11" s="41">
        <f t="shared" si="1"/>
        <v>0</v>
      </c>
    </row>
    <row r="12" spans="2:11">
      <c r="B12" s="35" t="s">
        <v>175</v>
      </c>
      <c r="C12" s="41">
        <f>+Control_Presupuesto!C30</f>
        <v>80209991</v>
      </c>
      <c r="D12" s="41">
        <f>+Control_Presupuesto!I30</f>
        <v>200000</v>
      </c>
      <c r="E12" s="41">
        <f>+Control_Presupuesto!J30</f>
        <v>0</v>
      </c>
      <c r="F12" s="41">
        <f t="shared" si="0"/>
        <v>80209991</v>
      </c>
      <c r="G12" s="41">
        <f t="shared" si="1"/>
        <v>0</v>
      </c>
    </row>
    <row r="13" spans="2:11">
      <c r="B13" s="35" t="s">
        <v>176</v>
      </c>
      <c r="C13" s="41">
        <f>+Control_Presupuesto!C37</f>
        <v>26950000</v>
      </c>
      <c r="D13" s="41">
        <f>+Control_Presupuesto!I37</f>
        <v>0</v>
      </c>
      <c r="E13" s="41">
        <f>+Control_Presupuesto!J37</f>
        <v>0</v>
      </c>
      <c r="F13" s="41">
        <f t="shared" si="0"/>
        <v>26950000</v>
      </c>
      <c r="G13" s="41">
        <f t="shared" si="1"/>
        <v>0</v>
      </c>
    </row>
    <row r="14" spans="2:11">
      <c r="B14" s="8" t="s">
        <v>177</v>
      </c>
      <c r="C14" s="42">
        <f>IFERROR(SUM(C7:C13), "Pendiente datos")</f>
        <v>253028082.12</v>
      </c>
      <c r="D14" s="42">
        <f>IFERROR(SUM(D7:D13), "Pendiente datos")</f>
        <v>200000</v>
      </c>
      <c r="E14" s="42">
        <f>IFERROR(SUM(E7:E13), "Pendiente datos")</f>
        <v>0</v>
      </c>
      <c r="F14" s="42">
        <f>IFERROR(SUM(F7:F13), "Pendiente datos")</f>
        <v>253028082.12</v>
      </c>
      <c r="G14" s="42">
        <f>IFERROR(SUM(G7:G13), "Pendiente datos")</f>
        <v>0</v>
      </c>
    </row>
    <row r="17" spans="2:11">
      <c r="B17" s="421" t="s">
        <v>178</v>
      </c>
      <c r="C17" s="410"/>
      <c r="D17" s="410"/>
      <c r="E17" s="410"/>
      <c r="F17" s="410"/>
      <c r="G17" s="410"/>
      <c r="H17" s="410"/>
      <c r="I17" s="410"/>
      <c r="J17" s="410"/>
      <c r="K17" s="410"/>
    </row>
    <row r="18" spans="2:11">
      <c r="B18" s="43" t="s">
        <v>179</v>
      </c>
      <c r="C18" s="43" t="s">
        <v>180</v>
      </c>
      <c r="D18" s="43" t="s">
        <v>181</v>
      </c>
    </row>
    <row r="19" spans="2:11">
      <c r="B19" s="35" t="s">
        <v>182</v>
      </c>
      <c r="C19" s="41">
        <f>IFERROR(253028082 * Curva_S_Avance!C7, "Pendiente datos")</f>
        <v>30363369.84</v>
      </c>
      <c r="D19" s="419" t="s">
        <v>183</v>
      </c>
      <c r="E19" s="405"/>
      <c r="F19" s="405"/>
      <c r="G19" s="405"/>
      <c r="H19" s="405"/>
      <c r="I19" s="405"/>
      <c r="J19" s="405"/>
      <c r="K19" s="406"/>
    </row>
    <row r="20" spans="2:11">
      <c r="B20" s="35" t="s">
        <v>184</v>
      </c>
      <c r="C20" s="41">
        <f>IFERROR(253028082 * Curva_S_Avance!C9, "Pendiente datos")</f>
        <v>12651404.100000001</v>
      </c>
      <c r="D20" s="419" t="s">
        <v>185</v>
      </c>
      <c r="E20" s="405"/>
      <c r="F20" s="405"/>
      <c r="G20" s="405"/>
      <c r="H20" s="405"/>
      <c r="I20" s="405"/>
      <c r="J20" s="405"/>
      <c r="K20" s="406"/>
    </row>
    <row r="21" spans="2:11">
      <c r="B21" s="35" t="s">
        <v>186</v>
      </c>
      <c r="C21" s="41">
        <f>IFERROR(D14, "Pendiente datos")</f>
        <v>200000</v>
      </c>
      <c r="D21" s="419" t="s">
        <v>187</v>
      </c>
      <c r="E21" s="405"/>
      <c r="F21" s="405"/>
      <c r="G21" s="405"/>
      <c r="H21" s="405"/>
      <c r="I21" s="405"/>
      <c r="J21" s="405"/>
      <c r="K21" s="406"/>
    </row>
    <row r="22" spans="2:11">
      <c r="B22" s="35" t="s">
        <v>165</v>
      </c>
      <c r="C22" s="41">
        <f>IFERROR(C14, "Pendiente datos")</f>
        <v>253028082.12</v>
      </c>
      <c r="D22" s="419" t="s">
        <v>188</v>
      </c>
      <c r="E22" s="405"/>
      <c r="F22" s="405"/>
      <c r="G22" s="405"/>
      <c r="H22" s="405"/>
      <c r="I22" s="405"/>
      <c r="J22" s="405"/>
      <c r="K22" s="406"/>
    </row>
    <row r="23" spans="2:11">
      <c r="B23" s="35" t="s">
        <v>189</v>
      </c>
      <c r="C23" s="44" t="str">
        <f>IFERROR(C19/C18, "Pendiente datos")</f>
        <v>Pendiente datos</v>
      </c>
      <c r="D23" s="419" t="s">
        <v>190</v>
      </c>
      <c r="E23" s="405"/>
      <c r="F23" s="405"/>
      <c r="G23" s="405"/>
      <c r="H23" s="405"/>
      <c r="I23" s="405"/>
      <c r="J23" s="405"/>
      <c r="K23" s="406"/>
    </row>
    <row r="24" spans="2:11">
      <c r="B24" s="35" t="s">
        <v>120</v>
      </c>
      <c r="C24" s="44">
        <f>IFERROR(C19/C20, "Pendiente datos")</f>
        <v>2.4</v>
      </c>
      <c r="D24" s="419" t="s">
        <v>191</v>
      </c>
      <c r="E24" s="405"/>
      <c r="F24" s="405"/>
      <c r="G24" s="405"/>
      <c r="H24" s="405"/>
      <c r="I24" s="405"/>
      <c r="J24" s="405"/>
      <c r="K24" s="406"/>
    </row>
    <row r="25" spans="2:11">
      <c r="B25" s="35" t="s">
        <v>168</v>
      </c>
      <c r="C25" s="41" t="str">
        <f>IFERROR(C21/C23, "Pendiente datos")</f>
        <v>Pendiente datos</v>
      </c>
      <c r="D25" s="419" t="s">
        <v>192</v>
      </c>
      <c r="E25" s="405"/>
      <c r="F25" s="405"/>
      <c r="G25" s="405"/>
      <c r="H25" s="405"/>
      <c r="I25" s="405"/>
      <c r="J25" s="405"/>
      <c r="K25" s="406"/>
    </row>
    <row r="26" spans="2:11">
      <c r="B26" s="35" t="s">
        <v>193</v>
      </c>
      <c r="C26" s="41">
        <f>IFERROR(C24-C20, "Pendiente datos")</f>
        <v>-12651401.700000001</v>
      </c>
      <c r="D26" s="419" t="s">
        <v>194</v>
      </c>
      <c r="E26" s="405"/>
      <c r="F26" s="405"/>
      <c r="G26" s="405"/>
      <c r="H26" s="405"/>
      <c r="I26" s="405"/>
      <c r="J26" s="405"/>
      <c r="K26" s="406"/>
    </row>
    <row r="27" spans="2:11">
      <c r="B27" s="35" t="s">
        <v>122</v>
      </c>
      <c r="C27" s="41">
        <f>IFERROR(C21-C24, "Pendiente datos")</f>
        <v>199997.6</v>
      </c>
      <c r="D27" s="419" t="s">
        <v>195</v>
      </c>
      <c r="E27" s="405"/>
      <c r="F27" s="405"/>
      <c r="G27" s="405"/>
      <c r="H27" s="405"/>
      <c r="I27" s="405"/>
      <c r="J27" s="405"/>
      <c r="K27" s="406"/>
    </row>
  </sheetData>
  <mergeCells count="12">
    <mergeCell ref="D27:K27"/>
    <mergeCell ref="D22:K22"/>
    <mergeCell ref="D23:K23"/>
    <mergeCell ref="B2:K3"/>
    <mergeCell ref="D20:K20"/>
    <mergeCell ref="D26:K26"/>
    <mergeCell ref="D21:K21"/>
    <mergeCell ref="B5:G5"/>
    <mergeCell ref="D25:K25"/>
    <mergeCell ref="B17:K17"/>
    <mergeCell ref="D19:K19"/>
    <mergeCell ref="D24:K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showGridLines="0" tabSelected="1" zoomScale="64" workbookViewId="0">
      <pane ySplit="1" topLeftCell="A2" activePane="bottomLeft" state="frozen"/>
      <selection pane="bottomLeft" activeCell="L12" sqref="L12"/>
    </sheetView>
  </sheetViews>
  <sheetFormatPr baseColWidth="10" defaultColWidth="8.7265625" defaultRowHeight="14.5" outlineLevelRow="1" outlineLevelCol="1"/>
  <cols>
    <col min="1" max="1" width="6.54296875" style="7" customWidth="1"/>
    <col min="2" max="2" width="51.6328125" customWidth="1"/>
    <col min="3" max="3" width="16.81640625" style="7" customWidth="1"/>
    <col min="4" max="4" width="13.7265625" style="7" hidden="1" customWidth="1" outlineLevel="1"/>
    <col min="5" max="5" width="12.453125" style="7" hidden="1" customWidth="1" outlineLevel="1"/>
    <col min="6" max="6" width="13.1796875" style="7" hidden="1" customWidth="1" outlineLevel="1"/>
    <col min="7" max="7" width="14.1796875" style="7" hidden="1" customWidth="1" outlineLevel="1"/>
    <col min="8" max="8" width="13.453125" style="7" hidden="1" customWidth="1" outlineLevel="1"/>
    <col min="9" max="9" width="17.7265625" style="7" customWidth="1" collapsed="1"/>
    <col min="10" max="10" width="13.90625" style="7" customWidth="1"/>
    <col min="11" max="11" width="12.81640625" style="7" customWidth="1"/>
    <col min="12" max="12" width="14.36328125" style="7" customWidth="1"/>
    <col min="13" max="13" width="9.54296875" style="7" customWidth="1"/>
    <col min="14" max="14" width="11.81640625" style="7" customWidth="1"/>
    <col min="15" max="15" width="15.1796875" style="7" customWidth="1"/>
    <col min="16" max="16" width="19.453125" style="7" customWidth="1"/>
    <col min="17" max="17" width="12.7265625" style="7" customWidth="1"/>
    <col min="18" max="18" width="16.1796875" style="7" customWidth="1"/>
    <col min="19" max="19" width="28.7265625" style="7" customWidth="1"/>
  </cols>
  <sheetData>
    <row r="1" spans="1:19" ht="29" customHeight="1">
      <c r="A1" s="53" t="s">
        <v>196</v>
      </c>
      <c r="B1" s="53" t="s">
        <v>197</v>
      </c>
      <c r="C1" s="53" t="s">
        <v>198</v>
      </c>
      <c r="D1" s="53" t="s">
        <v>199</v>
      </c>
      <c r="E1" s="53" t="s">
        <v>200</v>
      </c>
      <c r="F1" s="53" t="s">
        <v>201</v>
      </c>
      <c r="G1" s="53" t="s">
        <v>202</v>
      </c>
      <c r="H1" s="53" t="s">
        <v>203</v>
      </c>
      <c r="I1" s="53" t="s">
        <v>204</v>
      </c>
      <c r="J1" s="53" t="s">
        <v>205</v>
      </c>
      <c r="K1" s="53" t="s">
        <v>206</v>
      </c>
      <c r="L1" s="53" t="s">
        <v>207</v>
      </c>
      <c r="M1" s="53" t="s">
        <v>208</v>
      </c>
      <c r="N1" s="53" t="s">
        <v>184</v>
      </c>
      <c r="O1" s="53" t="s">
        <v>209</v>
      </c>
      <c r="P1" s="53" t="s">
        <v>210</v>
      </c>
      <c r="Q1" s="53" t="s">
        <v>211</v>
      </c>
      <c r="R1" s="53" t="s">
        <v>212</v>
      </c>
      <c r="S1" s="53" t="s">
        <v>213</v>
      </c>
    </row>
    <row r="2" spans="1:19">
      <c r="A2" s="58" t="s">
        <v>214</v>
      </c>
      <c r="B2" s="54" t="s">
        <v>215</v>
      </c>
      <c r="C2" s="56">
        <f t="shared" ref="C2:H2" si="0">SUM(C3:C11)</f>
        <v>62700000</v>
      </c>
      <c r="D2" s="56">
        <f t="shared" si="0"/>
        <v>0</v>
      </c>
      <c r="E2" s="56">
        <f t="shared" si="0"/>
        <v>0</v>
      </c>
      <c r="F2" s="56">
        <f t="shared" si="0"/>
        <v>0</v>
      </c>
      <c r="G2" s="56">
        <f t="shared" si="0"/>
        <v>0</v>
      </c>
      <c r="H2" s="56">
        <f t="shared" si="0"/>
        <v>0</v>
      </c>
      <c r="I2" s="56">
        <f t="shared" ref="I2:I38" si="1">SUM(D2:G2)</f>
        <v>0</v>
      </c>
      <c r="J2" s="56">
        <v>0</v>
      </c>
      <c r="K2" s="56">
        <f t="shared" ref="K2:K38" si="2">I2+J2</f>
        <v>0</v>
      </c>
      <c r="L2" s="56">
        <f t="shared" ref="L2:L38" si="3">C2-K2</f>
        <v>62700000</v>
      </c>
      <c r="M2" s="57">
        <v>0</v>
      </c>
      <c r="N2" s="56">
        <f t="shared" ref="N2:N38" si="4">C2*M2</f>
        <v>0</v>
      </c>
      <c r="O2" s="56">
        <f t="shared" ref="O2:O38" si="5">N2-I2</f>
        <v>0</v>
      </c>
      <c r="P2" s="56">
        <v>0</v>
      </c>
      <c r="Q2" s="56">
        <f t="shared" ref="Q2:Q38" si="6">K2+P2</f>
        <v>0</v>
      </c>
      <c r="R2" s="56">
        <f t="shared" ref="R2:R38" si="7">C2-Q2</f>
        <v>62700000</v>
      </c>
      <c r="S2" s="58"/>
    </row>
    <row r="3" spans="1:19" outlineLevel="1">
      <c r="A3" s="7" t="s">
        <v>216</v>
      </c>
      <c r="B3" t="s">
        <v>55</v>
      </c>
      <c r="C3" s="59">
        <v>6900000</v>
      </c>
      <c r="D3" s="59">
        <f>SUMIFS(Costos_Extracontables!$D:$D, Costos_Extracontables!$E:$E, $B3, Costos_Extracontables!$C:$C, "&gt;=2026-05-01", Costos_Extracontables!$C:$C, "&lt;=2026-05-31")</f>
        <v>0</v>
      </c>
      <c r="E3" s="59">
        <f>SUMIFS(Costos_Extracontables!$D:$D, Costos_Extracontables!$E:$E, $B3, Costos_Extracontables!$C:$C, "&gt;=2026-06-01", Costos_Extracontables!$C:$C, "&lt;=2026-06-31")</f>
        <v>0</v>
      </c>
      <c r="F3" s="59"/>
      <c r="G3" s="59"/>
      <c r="H3" s="59"/>
      <c r="I3" s="59">
        <f t="shared" si="1"/>
        <v>0</v>
      </c>
      <c r="J3" s="59">
        <v>0</v>
      </c>
      <c r="K3" s="59">
        <f t="shared" si="2"/>
        <v>0</v>
      </c>
      <c r="L3" s="59">
        <f t="shared" si="3"/>
        <v>6900000</v>
      </c>
      <c r="M3" s="60">
        <v>0</v>
      </c>
      <c r="N3" s="59">
        <f t="shared" si="4"/>
        <v>0</v>
      </c>
      <c r="O3" s="59">
        <f t="shared" si="5"/>
        <v>0</v>
      </c>
      <c r="P3" s="59">
        <v>0</v>
      </c>
      <c r="Q3" s="59">
        <f t="shared" si="6"/>
        <v>0</v>
      </c>
      <c r="R3" s="59">
        <f t="shared" si="7"/>
        <v>6900000</v>
      </c>
    </row>
    <row r="4" spans="1:19" outlineLevel="1">
      <c r="A4" s="7" t="s">
        <v>217</v>
      </c>
      <c r="B4" t="s">
        <v>218</v>
      </c>
      <c r="C4" s="59">
        <v>4200000</v>
      </c>
      <c r="D4" s="59">
        <f>SUMIFS(Costos_Extracontables!$D:$D, Costos_Extracontables!$E:$E, $B4, Costos_Extracontables!$C:$C, "&gt;=2026-05-01", Costos_Extracontables!$C:$C, "&lt;=2026-05-31")</f>
        <v>0</v>
      </c>
      <c r="E4" s="59">
        <f>SUMIFS(Costos_Extracontables!$D:$D, Costos_Extracontables!$E:$E, $B4, Costos_Extracontables!$C:$C, "&gt;=2026-06-01", Costos_Extracontables!$C:$C, "&lt;=2026-06-31")</f>
        <v>0</v>
      </c>
      <c r="F4" s="59"/>
      <c r="G4" s="59"/>
      <c r="H4" s="59"/>
      <c r="I4" s="59">
        <f t="shared" si="1"/>
        <v>0</v>
      </c>
      <c r="J4" s="59">
        <v>0</v>
      </c>
      <c r="K4" s="59">
        <f t="shared" si="2"/>
        <v>0</v>
      </c>
      <c r="L4" s="59">
        <f t="shared" si="3"/>
        <v>4200000</v>
      </c>
      <c r="M4" s="60">
        <v>0</v>
      </c>
      <c r="N4" s="59">
        <f t="shared" si="4"/>
        <v>0</v>
      </c>
      <c r="O4" s="59">
        <f t="shared" si="5"/>
        <v>0</v>
      </c>
      <c r="P4" s="59">
        <v>0</v>
      </c>
      <c r="Q4" s="59">
        <f t="shared" si="6"/>
        <v>0</v>
      </c>
      <c r="R4" s="59">
        <f t="shared" si="7"/>
        <v>4200000</v>
      </c>
    </row>
    <row r="5" spans="1:19" outlineLevel="1">
      <c r="A5" s="7" t="s">
        <v>219</v>
      </c>
      <c r="B5" t="s">
        <v>64</v>
      </c>
      <c r="C5" s="59">
        <v>5400000</v>
      </c>
      <c r="D5" s="59">
        <f>SUMIFS(Costos_Extracontables!$D:$D, Costos_Extracontables!$E:$E, $B5, Costos_Extracontables!$C:$C, "&gt;=2026-05-01", Costos_Extracontables!$C:$C, "&lt;=2026-05-31")</f>
        <v>0</v>
      </c>
      <c r="E5" s="59">
        <f>SUMIFS(Costos_Extracontables!$D:$D, Costos_Extracontables!$E:$E, $B5, Costos_Extracontables!$C:$C, "&gt;=2026-06-01", Costos_Extracontables!$C:$C, "&lt;=2026-06-31")</f>
        <v>0</v>
      </c>
      <c r="F5" s="59"/>
      <c r="G5" s="59"/>
      <c r="H5" s="59"/>
      <c r="I5" s="59">
        <f t="shared" si="1"/>
        <v>0</v>
      </c>
      <c r="J5" s="59">
        <v>0</v>
      </c>
      <c r="K5" s="59">
        <f t="shared" si="2"/>
        <v>0</v>
      </c>
      <c r="L5" s="59">
        <f t="shared" si="3"/>
        <v>5400000</v>
      </c>
      <c r="M5" s="60">
        <v>0</v>
      </c>
      <c r="N5" s="59">
        <f t="shared" si="4"/>
        <v>0</v>
      </c>
      <c r="O5" s="59">
        <f t="shared" si="5"/>
        <v>0</v>
      </c>
      <c r="P5" s="59">
        <v>0</v>
      </c>
      <c r="Q5" s="59">
        <f t="shared" si="6"/>
        <v>0</v>
      </c>
      <c r="R5" s="59">
        <f t="shared" si="7"/>
        <v>5400000</v>
      </c>
    </row>
    <row r="6" spans="1:19" outlineLevel="1">
      <c r="A6" s="7" t="s">
        <v>220</v>
      </c>
      <c r="B6" t="s">
        <v>68</v>
      </c>
      <c r="C6" s="59">
        <v>3000000</v>
      </c>
      <c r="D6" s="59">
        <f>SUMIFS(Costos_Extracontables!$D:$D, Costos_Extracontables!$E:$E, $B6, Costos_Extracontables!$C:$C, "&gt;=2026-05-01", Costos_Extracontables!$C:$C, "&lt;=2026-05-31")</f>
        <v>0</v>
      </c>
      <c r="E6" s="59">
        <f>SUMIFS(Costos_Extracontables!$D:$D, Costos_Extracontables!$E:$E, $B6, Costos_Extracontables!$C:$C, "&gt;=2026-06-01", Costos_Extracontables!$C:$C, "&lt;=2026-06-31")</f>
        <v>0</v>
      </c>
      <c r="F6" s="59"/>
      <c r="G6" s="59"/>
      <c r="H6" s="59"/>
      <c r="I6" s="59">
        <f t="shared" si="1"/>
        <v>0</v>
      </c>
      <c r="J6" s="59">
        <v>0</v>
      </c>
      <c r="K6" s="59">
        <f t="shared" si="2"/>
        <v>0</v>
      </c>
      <c r="L6" s="59">
        <f t="shared" si="3"/>
        <v>3000000</v>
      </c>
      <c r="M6" s="60">
        <v>0</v>
      </c>
      <c r="N6" s="59">
        <f t="shared" si="4"/>
        <v>0</v>
      </c>
      <c r="O6" s="59">
        <f t="shared" si="5"/>
        <v>0</v>
      </c>
      <c r="P6" s="59">
        <v>0</v>
      </c>
      <c r="Q6" s="59">
        <f t="shared" si="6"/>
        <v>0</v>
      </c>
      <c r="R6" s="59">
        <f t="shared" si="7"/>
        <v>3000000</v>
      </c>
    </row>
    <row r="7" spans="1:19" outlineLevel="1">
      <c r="A7" s="7" t="s">
        <v>221</v>
      </c>
      <c r="B7" t="s">
        <v>222</v>
      </c>
      <c r="C7" s="59">
        <v>4800000</v>
      </c>
      <c r="D7" s="59">
        <f>SUMIFS(Costos_Extracontables!$D:$D, Costos_Extracontables!$E:$E, $B7, Costos_Extracontables!$C:$C, "&gt;=2026-05-01", Costos_Extracontables!$C:$C, "&lt;=2026-05-31")</f>
        <v>0</v>
      </c>
      <c r="E7" s="59">
        <f>SUMIFS(Costos_Extracontables!$D:$D, Costos_Extracontables!$E:$E, $B7, Costos_Extracontables!$C:$C, "&gt;=2026-06-01", Costos_Extracontables!$C:$C, "&lt;=2026-06-31")</f>
        <v>0</v>
      </c>
      <c r="F7" s="59"/>
      <c r="G7" s="59"/>
      <c r="H7" s="59"/>
      <c r="I7" s="59">
        <f t="shared" si="1"/>
        <v>0</v>
      </c>
      <c r="J7" s="59">
        <v>0</v>
      </c>
      <c r="K7" s="59">
        <f t="shared" si="2"/>
        <v>0</v>
      </c>
      <c r="L7" s="59">
        <f t="shared" si="3"/>
        <v>4800000</v>
      </c>
      <c r="M7" s="60">
        <v>0</v>
      </c>
      <c r="N7" s="59">
        <f t="shared" si="4"/>
        <v>0</v>
      </c>
      <c r="O7" s="59">
        <f t="shared" si="5"/>
        <v>0</v>
      </c>
      <c r="P7" s="59">
        <v>0</v>
      </c>
      <c r="Q7" s="59">
        <f t="shared" si="6"/>
        <v>0</v>
      </c>
      <c r="R7" s="59">
        <f t="shared" si="7"/>
        <v>4800000</v>
      </c>
    </row>
    <row r="8" spans="1:19" outlineLevel="1">
      <c r="A8" s="7" t="s">
        <v>223</v>
      </c>
      <c r="B8" t="s">
        <v>73</v>
      </c>
      <c r="C8" s="59">
        <v>21000000</v>
      </c>
      <c r="D8" s="59">
        <f>SUMIFS(Costos_Extracontables!$D:$D, Costos_Extracontables!$E:$E, $B8, Costos_Extracontables!$C:$C, "&gt;=2026-05-01", Costos_Extracontables!$C:$C, "&lt;=2026-05-31")</f>
        <v>0</v>
      </c>
      <c r="E8" s="59">
        <f>SUMIFS(Costos_Extracontables!$D:$D, Costos_Extracontables!$E:$E, $B8, Costos_Extracontables!$C:$C, "&gt;=2026-06-01", Costos_Extracontables!$C:$C, "&lt;=2026-06-31")</f>
        <v>0</v>
      </c>
      <c r="F8" s="59"/>
      <c r="G8" s="59"/>
      <c r="H8" s="59"/>
      <c r="I8" s="59">
        <f t="shared" si="1"/>
        <v>0</v>
      </c>
      <c r="J8" s="59">
        <v>0</v>
      </c>
      <c r="K8" s="59">
        <f t="shared" si="2"/>
        <v>0</v>
      </c>
      <c r="L8" s="59">
        <f t="shared" si="3"/>
        <v>21000000</v>
      </c>
      <c r="M8" s="60">
        <v>0</v>
      </c>
      <c r="N8" s="59">
        <f t="shared" si="4"/>
        <v>0</v>
      </c>
      <c r="O8" s="59">
        <f t="shared" si="5"/>
        <v>0</v>
      </c>
      <c r="P8" s="59">
        <v>0</v>
      </c>
      <c r="Q8" s="59">
        <f t="shared" si="6"/>
        <v>0</v>
      </c>
      <c r="R8" s="59">
        <f t="shared" si="7"/>
        <v>21000000</v>
      </c>
    </row>
    <row r="9" spans="1:19" outlineLevel="1">
      <c r="A9" s="7" t="s">
        <v>224</v>
      </c>
      <c r="B9" t="s">
        <v>92</v>
      </c>
      <c r="C9" s="59">
        <v>7800000</v>
      </c>
      <c r="D9" s="59">
        <f>SUMIFS(Costos_Extracontables!$D:$D, Costos_Extracontables!$E:$E, $B9, Costos_Extracontables!$C:$C, "&gt;=2026-05-01", Costos_Extracontables!$C:$C, "&lt;=2026-05-31")</f>
        <v>0</v>
      </c>
      <c r="E9" s="59">
        <f>SUMIFS(Costos_Extracontables!$D:$D, Costos_Extracontables!$E:$E, $B9, Costos_Extracontables!$C:$C, "&gt;=2026-06-01", Costos_Extracontables!$C:$C, "&lt;=2026-06-31")</f>
        <v>0</v>
      </c>
      <c r="F9" s="59"/>
      <c r="G9" s="59"/>
      <c r="H9" s="59"/>
      <c r="I9" s="59">
        <f t="shared" si="1"/>
        <v>0</v>
      </c>
      <c r="J9" s="59">
        <v>0</v>
      </c>
      <c r="K9" s="59">
        <f t="shared" si="2"/>
        <v>0</v>
      </c>
      <c r="L9" s="59">
        <f t="shared" si="3"/>
        <v>7800000</v>
      </c>
      <c r="M9" s="60">
        <v>0</v>
      </c>
      <c r="N9" s="59">
        <f t="shared" si="4"/>
        <v>0</v>
      </c>
      <c r="O9" s="59">
        <f t="shared" si="5"/>
        <v>0</v>
      </c>
      <c r="P9" s="59">
        <v>0</v>
      </c>
      <c r="Q9" s="59">
        <f t="shared" si="6"/>
        <v>0</v>
      </c>
      <c r="R9" s="59">
        <f t="shared" si="7"/>
        <v>7800000</v>
      </c>
    </row>
    <row r="10" spans="1:19" outlineLevel="1">
      <c r="A10" s="7" t="s">
        <v>225</v>
      </c>
      <c r="B10" t="s">
        <v>226</v>
      </c>
      <c r="C10" s="59">
        <v>5700000</v>
      </c>
      <c r="D10" s="59">
        <f>SUMIFS(Costos_Extracontables!$D:$D, Costos_Extracontables!$E:$E, $B10, Costos_Extracontables!$C:$C, "&gt;=2026-05-01", Costos_Extracontables!$C:$C, "&lt;=2026-05-31")</f>
        <v>0</v>
      </c>
      <c r="E10" s="59">
        <f>SUMIFS(Costos_Extracontables!$D:$D, Costos_Extracontables!$E:$E, $B10, Costos_Extracontables!$C:$C, "&gt;=2026-06-01", Costos_Extracontables!$C:$C, "&lt;=2026-06-31")</f>
        <v>0</v>
      </c>
      <c r="F10" s="59"/>
      <c r="G10" s="59"/>
      <c r="H10" s="59"/>
      <c r="I10" s="59">
        <f t="shared" si="1"/>
        <v>0</v>
      </c>
      <c r="J10" s="59">
        <v>0</v>
      </c>
      <c r="K10" s="59">
        <f t="shared" si="2"/>
        <v>0</v>
      </c>
      <c r="L10" s="59">
        <f t="shared" si="3"/>
        <v>5700000</v>
      </c>
      <c r="M10" s="60">
        <v>0</v>
      </c>
      <c r="N10" s="59">
        <f t="shared" si="4"/>
        <v>0</v>
      </c>
      <c r="O10" s="59">
        <f t="shared" si="5"/>
        <v>0</v>
      </c>
      <c r="P10" s="59">
        <v>0</v>
      </c>
      <c r="Q10" s="59">
        <f t="shared" si="6"/>
        <v>0</v>
      </c>
      <c r="R10" s="59">
        <f t="shared" si="7"/>
        <v>5700000</v>
      </c>
    </row>
    <row r="11" spans="1:19" outlineLevel="1">
      <c r="A11" s="7" t="s">
        <v>227</v>
      </c>
      <c r="B11" t="s">
        <v>103</v>
      </c>
      <c r="C11" s="59">
        <v>3900000</v>
      </c>
      <c r="D11" s="59">
        <f>SUMIFS(Costos_Extracontables!$D:$D, Costos_Extracontables!$E:$E, $B11, Costos_Extracontables!$C:$C, "&gt;=2026-05-01", Costos_Extracontables!$C:$C, "&lt;=2026-05-31")</f>
        <v>0</v>
      </c>
      <c r="E11" s="59">
        <f>SUMIFS(Costos_Extracontables!$D:$D, Costos_Extracontables!$E:$E, $B11, Costos_Extracontables!$C:$C, "&gt;=2026-06-01", Costos_Extracontables!$C:$C, "&lt;=2026-06-31")</f>
        <v>0</v>
      </c>
      <c r="F11" s="59"/>
      <c r="G11" s="59"/>
      <c r="H11" s="59"/>
      <c r="I11" s="59">
        <f t="shared" si="1"/>
        <v>0</v>
      </c>
      <c r="J11" s="59">
        <v>0</v>
      </c>
      <c r="K11" s="59">
        <f t="shared" si="2"/>
        <v>0</v>
      </c>
      <c r="L11" s="59">
        <f t="shared" si="3"/>
        <v>3900000</v>
      </c>
      <c r="M11" s="60">
        <v>0</v>
      </c>
      <c r="N11" s="59">
        <f t="shared" si="4"/>
        <v>0</v>
      </c>
      <c r="O11" s="59">
        <f t="shared" si="5"/>
        <v>0</v>
      </c>
      <c r="P11" s="59">
        <v>0</v>
      </c>
      <c r="Q11" s="59">
        <f t="shared" si="6"/>
        <v>0</v>
      </c>
      <c r="R11" s="59">
        <f t="shared" si="7"/>
        <v>3900000</v>
      </c>
    </row>
    <row r="12" spans="1:19">
      <c r="A12" s="58" t="s">
        <v>228</v>
      </c>
      <c r="B12" s="54" t="s">
        <v>229</v>
      </c>
      <c r="C12" s="56">
        <f t="shared" ref="C12:H12" si="8">SUM(C13:C15)</f>
        <v>2956644.3899999997</v>
      </c>
      <c r="D12" s="56">
        <f t="shared" si="8"/>
        <v>0</v>
      </c>
      <c r="E12" s="56">
        <f t="shared" si="8"/>
        <v>0</v>
      </c>
      <c r="F12" s="56">
        <f t="shared" si="8"/>
        <v>0</v>
      </c>
      <c r="G12" s="56">
        <f t="shared" si="8"/>
        <v>0</v>
      </c>
      <c r="H12" s="56">
        <f t="shared" si="8"/>
        <v>0</v>
      </c>
      <c r="I12" s="56">
        <f t="shared" si="1"/>
        <v>0</v>
      </c>
      <c r="J12" s="56">
        <v>0</v>
      </c>
      <c r="K12" s="56">
        <f t="shared" si="2"/>
        <v>0</v>
      </c>
      <c r="L12" s="56">
        <f t="shared" si="3"/>
        <v>2956644.3899999997</v>
      </c>
      <c r="M12" s="57">
        <v>0</v>
      </c>
      <c r="N12" s="56">
        <f t="shared" si="4"/>
        <v>0</v>
      </c>
      <c r="O12" s="56">
        <f t="shared" si="5"/>
        <v>0</v>
      </c>
      <c r="P12" s="56">
        <v>0</v>
      </c>
      <c r="Q12" s="56">
        <f t="shared" si="6"/>
        <v>0</v>
      </c>
      <c r="R12" s="56">
        <f t="shared" si="7"/>
        <v>2956644.3899999997</v>
      </c>
      <c r="S12" s="58"/>
    </row>
    <row r="13" spans="1:19" outlineLevel="1">
      <c r="A13" s="7" t="s">
        <v>230</v>
      </c>
      <c r="B13" t="s">
        <v>231</v>
      </c>
      <c r="C13" s="59">
        <v>1509542.92</v>
      </c>
      <c r="D13" s="59">
        <f>SUMIFS(Costos_Extracontables!$D:$D, Costos_Extracontables!$E:$E, $B13, Costos_Extracontables!$C:$C, "&gt;=2026-05-01", Costos_Extracontables!$C:$C, "&lt;=2026-05-31")</f>
        <v>0</v>
      </c>
      <c r="E13" s="59">
        <f>SUMIFS(Costos_Extracontables!$D:$D, Costos_Extracontables!$E:$E, $B13, Costos_Extracontables!$C:$C, "&gt;=2026-06-01", Costos_Extracontables!$C:$C, "&lt;=2026-06-31")</f>
        <v>0</v>
      </c>
      <c r="F13" s="59"/>
      <c r="G13" s="59"/>
      <c r="H13" s="59"/>
      <c r="I13" s="59">
        <f t="shared" si="1"/>
        <v>0</v>
      </c>
      <c r="J13" s="59">
        <v>0</v>
      </c>
      <c r="K13" s="59">
        <f t="shared" si="2"/>
        <v>0</v>
      </c>
      <c r="L13" s="59">
        <f t="shared" si="3"/>
        <v>1509542.92</v>
      </c>
      <c r="M13" s="60">
        <v>0</v>
      </c>
      <c r="N13" s="59">
        <f t="shared" si="4"/>
        <v>0</v>
      </c>
      <c r="O13" s="59">
        <f t="shared" si="5"/>
        <v>0</v>
      </c>
      <c r="P13" s="59">
        <v>0</v>
      </c>
      <c r="Q13" s="59">
        <f t="shared" si="6"/>
        <v>0</v>
      </c>
      <c r="R13" s="59">
        <f t="shared" si="7"/>
        <v>1509542.92</v>
      </c>
    </row>
    <row r="14" spans="1:19" outlineLevel="1">
      <c r="A14" s="7" t="s">
        <v>232</v>
      </c>
      <c r="B14" t="s">
        <v>233</v>
      </c>
      <c r="C14" s="59">
        <v>631832.80000000005</v>
      </c>
      <c r="D14" s="59">
        <f>SUMIFS(Costos_Extracontables!$D:$D, Costos_Extracontables!$E:$E, $B14, Costos_Extracontables!$C:$C, "&gt;=2026-05-01", Costos_Extracontables!$C:$C, "&lt;=2026-05-31")</f>
        <v>0</v>
      </c>
      <c r="E14" s="59">
        <f>SUMIFS(Costos_Extracontables!$D:$D, Costos_Extracontables!$E:$E, $B14, Costos_Extracontables!$C:$C, "&gt;=2026-06-01", Costos_Extracontables!$C:$C, "&lt;=2026-06-31")</f>
        <v>0</v>
      </c>
      <c r="F14" s="59"/>
      <c r="G14" s="59"/>
      <c r="H14" s="59"/>
      <c r="I14" s="59">
        <f t="shared" si="1"/>
        <v>0</v>
      </c>
      <c r="J14" s="59">
        <v>0</v>
      </c>
      <c r="K14" s="59">
        <f t="shared" si="2"/>
        <v>0</v>
      </c>
      <c r="L14" s="59">
        <f t="shared" si="3"/>
        <v>631832.80000000005</v>
      </c>
      <c r="M14" s="60">
        <v>0</v>
      </c>
      <c r="N14" s="59">
        <f t="shared" si="4"/>
        <v>0</v>
      </c>
      <c r="O14" s="59">
        <f t="shared" si="5"/>
        <v>0</v>
      </c>
      <c r="P14" s="59">
        <v>0</v>
      </c>
      <c r="Q14" s="59">
        <f t="shared" si="6"/>
        <v>0</v>
      </c>
      <c r="R14" s="59">
        <f t="shared" si="7"/>
        <v>631832.80000000005</v>
      </c>
    </row>
    <row r="15" spans="1:19" outlineLevel="1">
      <c r="A15" s="7" t="s">
        <v>234</v>
      </c>
      <c r="B15" t="s">
        <v>235</v>
      </c>
      <c r="C15" s="59">
        <v>815268.67</v>
      </c>
      <c r="D15" s="59">
        <f>SUMIFS(Costos_Extracontables!$D:$D, Costos_Extracontables!$E:$E, $B15, Costos_Extracontables!$C:$C, "&gt;=2026-05-01", Costos_Extracontables!$C:$C, "&lt;=2026-05-31")</f>
        <v>0</v>
      </c>
      <c r="E15" s="59">
        <f>SUMIFS(Costos_Extracontables!$D:$D, Costos_Extracontables!$E:$E, $B15, Costos_Extracontables!$C:$C, "&gt;=2026-06-01", Costos_Extracontables!$C:$C, "&lt;=2026-06-31")</f>
        <v>0</v>
      </c>
      <c r="F15" s="59"/>
      <c r="G15" s="59"/>
      <c r="H15" s="59"/>
      <c r="I15" s="59">
        <f t="shared" si="1"/>
        <v>0</v>
      </c>
      <c r="J15" s="59">
        <v>0</v>
      </c>
      <c r="K15" s="59">
        <f t="shared" si="2"/>
        <v>0</v>
      </c>
      <c r="L15" s="59">
        <f t="shared" si="3"/>
        <v>815268.67</v>
      </c>
      <c r="M15" s="60">
        <v>0</v>
      </c>
      <c r="N15" s="59">
        <f t="shared" si="4"/>
        <v>0</v>
      </c>
      <c r="O15" s="59">
        <f t="shared" si="5"/>
        <v>0</v>
      </c>
      <c r="P15" s="59">
        <v>0</v>
      </c>
      <c r="Q15" s="59">
        <f t="shared" si="6"/>
        <v>0</v>
      </c>
      <c r="R15" s="59">
        <f t="shared" si="7"/>
        <v>815268.67</v>
      </c>
    </row>
    <row r="16" spans="1:19">
      <c r="A16" s="58" t="s">
        <v>236</v>
      </c>
      <c r="B16" s="54" t="s">
        <v>237</v>
      </c>
      <c r="C16" s="56">
        <f t="shared" ref="C16:H16" si="9">SUM(C17:C21)</f>
        <v>57720796.729999997</v>
      </c>
      <c r="D16" s="56">
        <f t="shared" si="9"/>
        <v>0</v>
      </c>
      <c r="E16" s="56">
        <f t="shared" si="9"/>
        <v>0</v>
      </c>
      <c r="F16" s="56">
        <f t="shared" si="9"/>
        <v>0</v>
      </c>
      <c r="G16" s="56">
        <f t="shared" si="9"/>
        <v>0</v>
      </c>
      <c r="H16" s="56">
        <f t="shared" si="9"/>
        <v>0</v>
      </c>
      <c r="I16" s="56">
        <f t="shared" si="1"/>
        <v>0</v>
      </c>
      <c r="J16" s="56">
        <v>0</v>
      </c>
      <c r="K16" s="56">
        <f t="shared" si="2"/>
        <v>0</v>
      </c>
      <c r="L16" s="56">
        <f t="shared" si="3"/>
        <v>57720796.729999997</v>
      </c>
      <c r="M16" s="57">
        <v>0</v>
      </c>
      <c r="N16" s="56">
        <f t="shared" si="4"/>
        <v>0</v>
      </c>
      <c r="O16" s="56">
        <f t="shared" si="5"/>
        <v>0</v>
      </c>
      <c r="P16" s="56">
        <v>0</v>
      </c>
      <c r="Q16" s="56">
        <f t="shared" si="6"/>
        <v>0</v>
      </c>
      <c r="R16" s="56">
        <f t="shared" si="7"/>
        <v>57720796.729999997</v>
      </c>
      <c r="S16" s="58"/>
    </row>
    <row r="17" spans="1:19" outlineLevel="1">
      <c r="A17" s="7" t="s">
        <v>238</v>
      </c>
      <c r="B17" t="s">
        <v>239</v>
      </c>
      <c r="C17" s="59">
        <v>19000000</v>
      </c>
      <c r="D17" s="59">
        <f>SUMIFS(Costos_Extracontables!$D:$D, Costos_Extracontables!$E:$E, $B17, Costos_Extracontables!$C:$C, "&gt;=2026-05-01", Costos_Extracontables!$C:$C, "&lt;=2026-05-31")</f>
        <v>0</v>
      </c>
      <c r="E17" s="59">
        <f>SUMIFS(Costos_Extracontables!$D:$D, Costos_Extracontables!$E:$E, $B17, Costos_Extracontables!$C:$C, "&gt;=2026-06-01", Costos_Extracontables!$C:$C, "&lt;=2026-06-31")</f>
        <v>0</v>
      </c>
      <c r="F17" s="59"/>
      <c r="G17" s="59"/>
      <c r="H17" s="59"/>
      <c r="I17" s="59">
        <f t="shared" si="1"/>
        <v>0</v>
      </c>
      <c r="J17" s="59">
        <v>0</v>
      </c>
      <c r="K17" s="59">
        <f t="shared" si="2"/>
        <v>0</v>
      </c>
      <c r="L17" s="59">
        <f t="shared" si="3"/>
        <v>19000000</v>
      </c>
      <c r="M17" s="60">
        <v>0</v>
      </c>
      <c r="N17" s="59">
        <f t="shared" si="4"/>
        <v>0</v>
      </c>
      <c r="O17" s="59">
        <f t="shared" si="5"/>
        <v>0</v>
      </c>
      <c r="P17" s="59">
        <v>0</v>
      </c>
      <c r="Q17" s="59">
        <f t="shared" si="6"/>
        <v>0</v>
      </c>
      <c r="R17" s="59">
        <f t="shared" si="7"/>
        <v>19000000</v>
      </c>
    </row>
    <row r="18" spans="1:19" outlineLevel="1">
      <c r="A18" s="7" t="s">
        <v>240</v>
      </c>
      <c r="B18" t="s">
        <v>241</v>
      </c>
      <c r="C18" s="59">
        <v>22500000</v>
      </c>
      <c r="D18" s="59">
        <f>SUMIFS(Costos_Extracontables!$D:$D, Costos_Extracontables!$E:$E, $B18, Costos_Extracontables!$C:$C, "&gt;=2026-05-01", Costos_Extracontables!$C:$C, "&lt;=2026-05-31")</f>
        <v>0</v>
      </c>
      <c r="E18" s="59">
        <f>SUMIFS(Costos_Extracontables!$D:$D, Costos_Extracontables!$E:$E, $B18, Costos_Extracontables!$C:$C, "&gt;=2026-06-01", Costos_Extracontables!$C:$C, "&lt;=2026-06-31")</f>
        <v>0</v>
      </c>
      <c r="F18" s="59"/>
      <c r="G18" s="59"/>
      <c r="H18" s="59"/>
      <c r="I18" s="59">
        <f t="shared" si="1"/>
        <v>0</v>
      </c>
      <c r="J18" s="59">
        <v>0</v>
      </c>
      <c r="K18" s="59">
        <f t="shared" si="2"/>
        <v>0</v>
      </c>
      <c r="L18" s="59">
        <f t="shared" si="3"/>
        <v>22500000</v>
      </c>
      <c r="M18" s="60">
        <v>0</v>
      </c>
      <c r="N18" s="59">
        <f t="shared" si="4"/>
        <v>0</v>
      </c>
      <c r="O18" s="59">
        <f t="shared" si="5"/>
        <v>0</v>
      </c>
      <c r="P18" s="59">
        <v>0</v>
      </c>
      <c r="Q18" s="59">
        <f t="shared" si="6"/>
        <v>0</v>
      </c>
      <c r="R18" s="59">
        <f t="shared" si="7"/>
        <v>22500000</v>
      </c>
    </row>
    <row r="19" spans="1:19" outlineLevel="1">
      <c r="A19" s="7" t="s">
        <v>242</v>
      </c>
      <c r="B19" t="s">
        <v>243</v>
      </c>
      <c r="C19" s="59">
        <v>10507320</v>
      </c>
      <c r="D19" s="59">
        <f>SUMIFS(Costos_Extracontables!$D:$D, Costos_Extracontables!$E:$E, $B19, Costos_Extracontables!$C:$C, "&gt;=2026-05-01", Costos_Extracontables!$C:$C, "&lt;=2026-05-31")</f>
        <v>0</v>
      </c>
      <c r="E19" s="59">
        <f>SUMIFS(Costos_Extracontables!$D:$D, Costos_Extracontables!$E:$E, $B19, Costos_Extracontables!$C:$C, "&gt;=2026-06-01", Costos_Extracontables!$C:$C, "&lt;=2026-06-31")</f>
        <v>0</v>
      </c>
      <c r="F19" s="59"/>
      <c r="G19" s="59"/>
      <c r="H19" s="59"/>
      <c r="I19" s="59">
        <f t="shared" si="1"/>
        <v>0</v>
      </c>
      <c r="J19" s="59">
        <v>0</v>
      </c>
      <c r="K19" s="59">
        <f t="shared" si="2"/>
        <v>0</v>
      </c>
      <c r="L19" s="59">
        <f t="shared" si="3"/>
        <v>10507320</v>
      </c>
      <c r="M19" s="60">
        <v>0</v>
      </c>
      <c r="N19" s="59">
        <f t="shared" si="4"/>
        <v>0</v>
      </c>
      <c r="O19" s="59">
        <f t="shared" si="5"/>
        <v>0</v>
      </c>
      <c r="P19" s="59">
        <v>0</v>
      </c>
      <c r="Q19" s="59">
        <f t="shared" si="6"/>
        <v>0</v>
      </c>
      <c r="R19" s="59">
        <f t="shared" si="7"/>
        <v>10507320</v>
      </c>
    </row>
    <row r="20" spans="1:19" outlineLevel="1">
      <c r="A20" s="7" t="s">
        <v>244</v>
      </c>
      <c r="B20" t="s">
        <v>245</v>
      </c>
      <c r="C20" s="59">
        <v>2043010.8</v>
      </c>
      <c r="D20" s="59">
        <f>SUMIFS(Costos_Extracontables!$D:$D, Costos_Extracontables!$E:$E, $B20, Costos_Extracontables!$C:$C, "&gt;=2026-05-01", Costos_Extracontables!$C:$C, "&lt;=2026-05-31")</f>
        <v>0</v>
      </c>
      <c r="E20" s="59">
        <f>SUMIFS(Costos_Extracontables!$D:$D, Costos_Extracontables!$E:$E, $B20, Costos_Extracontables!$C:$C, "&gt;=2026-06-01", Costos_Extracontables!$C:$C, "&lt;=2026-06-31")</f>
        <v>0</v>
      </c>
      <c r="F20" s="59"/>
      <c r="G20" s="59"/>
      <c r="H20" s="59"/>
      <c r="I20" s="59">
        <f t="shared" si="1"/>
        <v>0</v>
      </c>
      <c r="J20" s="59">
        <v>0</v>
      </c>
      <c r="K20" s="59">
        <f t="shared" si="2"/>
        <v>0</v>
      </c>
      <c r="L20" s="59">
        <f t="shared" si="3"/>
        <v>2043010.8</v>
      </c>
      <c r="M20" s="60">
        <v>0</v>
      </c>
      <c r="N20" s="59">
        <f t="shared" si="4"/>
        <v>0</v>
      </c>
      <c r="O20" s="59">
        <f t="shared" si="5"/>
        <v>0</v>
      </c>
      <c r="P20" s="59">
        <v>0</v>
      </c>
      <c r="Q20" s="59">
        <f t="shared" si="6"/>
        <v>0</v>
      </c>
      <c r="R20" s="59">
        <f t="shared" si="7"/>
        <v>2043010.8</v>
      </c>
    </row>
    <row r="21" spans="1:19" outlineLevel="1">
      <c r="A21" s="7" t="s">
        <v>246</v>
      </c>
      <c r="B21" t="s">
        <v>247</v>
      </c>
      <c r="C21" s="59">
        <v>3670465.93</v>
      </c>
      <c r="D21" s="59">
        <f>SUMIFS(Costos_Extracontables!$D:$D, Costos_Extracontables!$E:$E, $B21, Costos_Extracontables!$C:$C, "&gt;=2026-05-01", Costos_Extracontables!$C:$C, "&lt;=2026-05-31")</f>
        <v>0</v>
      </c>
      <c r="E21" s="59">
        <f>SUMIFS(Costos_Extracontables!$D:$D, Costos_Extracontables!$E:$E, $B21, Costos_Extracontables!$C:$C, "&gt;=2026-06-01", Costos_Extracontables!$C:$C, "&lt;=2026-06-31")</f>
        <v>0</v>
      </c>
      <c r="F21" s="59"/>
      <c r="G21" s="59"/>
      <c r="H21" s="59"/>
      <c r="I21" s="59">
        <f t="shared" si="1"/>
        <v>0</v>
      </c>
      <c r="J21" s="59">
        <v>0</v>
      </c>
      <c r="K21" s="59">
        <f t="shared" si="2"/>
        <v>0</v>
      </c>
      <c r="L21" s="59">
        <f t="shared" si="3"/>
        <v>3670465.93</v>
      </c>
      <c r="M21" s="60">
        <v>0</v>
      </c>
      <c r="N21" s="59">
        <f t="shared" si="4"/>
        <v>0</v>
      </c>
      <c r="O21" s="59">
        <f t="shared" si="5"/>
        <v>0</v>
      </c>
      <c r="P21" s="59">
        <v>0</v>
      </c>
      <c r="Q21" s="59">
        <f t="shared" si="6"/>
        <v>0</v>
      </c>
      <c r="R21" s="59">
        <f t="shared" si="7"/>
        <v>3670465.93</v>
      </c>
    </row>
    <row r="22" spans="1:19">
      <c r="A22" s="58" t="s">
        <v>248</v>
      </c>
      <c r="B22" s="54" t="s">
        <v>173</v>
      </c>
      <c r="C22" s="56">
        <f t="shared" ref="C22:H22" si="10">SUM(C23:C25)</f>
        <v>4510650</v>
      </c>
      <c r="D22" s="56">
        <f t="shared" si="10"/>
        <v>0</v>
      </c>
      <c r="E22" s="56">
        <f t="shared" si="10"/>
        <v>0</v>
      </c>
      <c r="F22" s="56">
        <f t="shared" si="10"/>
        <v>0</v>
      </c>
      <c r="G22" s="56">
        <f t="shared" si="10"/>
        <v>0</v>
      </c>
      <c r="H22" s="56">
        <f t="shared" si="10"/>
        <v>0</v>
      </c>
      <c r="I22" s="56">
        <f t="shared" si="1"/>
        <v>0</v>
      </c>
      <c r="J22" s="56">
        <v>0</v>
      </c>
      <c r="K22" s="56">
        <f t="shared" si="2"/>
        <v>0</v>
      </c>
      <c r="L22" s="56">
        <f t="shared" si="3"/>
        <v>4510650</v>
      </c>
      <c r="M22" s="57">
        <v>0</v>
      </c>
      <c r="N22" s="56">
        <f t="shared" si="4"/>
        <v>0</v>
      </c>
      <c r="O22" s="56">
        <f t="shared" si="5"/>
        <v>0</v>
      </c>
      <c r="P22" s="56">
        <v>0</v>
      </c>
      <c r="Q22" s="56">
        <f t="shared" si="6"/>
        <v>0</v>
      </c>
      <c r="R22" s="56">
        <f t="shared" si="7"/>
        <v>4510650</v>
      </c>
      <c r="S22" s="58"/>
    </row>
    <row r="23" spans="1:19" outlineLevel="1">
      <c r="A23" s="7" t="s">
        <v>249</v>
      </c>
      <c r="B23" t="s">
        <v>250</v>
      </c>
      <c r="C23" s="59">
        <v>710650</v>
      </c>
      <c r="D23" s="59">
        <f>SUMIFS(Costos_Extracontables!$D:$D, Costos_Extracontables!$E:$E, $B23, Costos_Extracontables!$C:$C, "&gt;=2026-05-01", Costos_Extracontables!$C:$C, "&lt;=2026-05-31")</f>
        <v>0</v>
      </c>
      <c r="E23" s="59">
        <f>SUMIFS(Costos_Extracontables!$D:$D, Costos_Extracontables!$E:$E, $B23, Costos_Extracontables!$C:$C, "&gt;=2026-06-01", Costos_Extracontables!$C:$C, "&lt;=2026-06-31")</f>
        <v>0</v>
      </c>
      <c r="F23" s="59"/>
      <c r="G23" s="59"/>
      <c r="H23" s="59"/>
      <c r="I23" s="59">
        <f t="shared" si="1"/>
        <v>0</v>
      </c>
      <c r="J23" s="59">
        <v>0</v>
      </c>
      <c r="K23" s="59">
        <f t="shared" si="2"/>
        <v>0</v>
      </c>
      <c r="L23" s="59">
        <f t="shared" si="3"/>
        <v>710650</v>
      </c>
      <c r="M23" s="60">
        <v>0</v>
      </c>
      <c r="N23" s="59">
        <f t="shared" si="4"/>
        <v>0</v>
      </c>
      <c r="O23" s="59">
        <f t="shared" si="5"/>
        <v>0</v>
      </c>
      <c r="P23" s="59">
        <v>0</v>
      </c>
      <c r="Q23" s="59">
        <f t="shared" si="6"/>
        <v>0</v>
      </c>
      <c r="R23" s="59">
        <f t="shared" si="7"/>
        <v>710650</v>
      </c>
    </row>
    <row r="24" spans="1:19" outlineLevel="1">
      <c r="A24" s="7" t="s">
        <v>251</v>
      </c>
      <c r="B24" t="s">
        <v>252</v>
      </c>
      <c r="C24" s="59">
        <v>1800000</v>
      </c>
      <c r="D24" s="59">
        <f>SUMIFS(Costos_Extracontables!$D:$D, Costos_Extracontables!$E:$E, $B24, Costos_Extracontables!$C:$C, "&gt;=2026-05-01", Costos_Extracontables!$C:$C, "&lt;=2026-05-31")</f>
        <v>0</v>
      </c>
      <c r="E24" s="59">
        <f>SUMIFS(Costos_Extracontables!$D:$D, Costos_Extracontables!$E:$E, $B24, Costos_Extracontables!$C:$C, "&gt;=2026-06-01", Costos_Extracontables!$C:$C, "&lt;=2026-06-31")</f>
        <v>0</v>
      </c>
      <c r="F24" s="59"/>
      <c r="G24" s="59"/>
      <c r="H24" s="59"/>
      <c r="I24" s="59">
        <f t="shared" si="1"/>
        <v>0</v>
      </c>
      <c r="J24" s="59">
        <v>0</v>
      </c>
      <c r="K24" s="59">
        <f t="shared" si="2"/>
        <v>0</v>
      </c>
      <c r="L24" s="59">
        <f t="shared" si="3"/>
        <v>1800000</v>
      </c>
      <c r="M24" s="60">
        <v>0</v>
      </c>
      <c r="N24" s="59">
        <f t="shared" si="4"/>
        <v>0</v>
      </c>
      <c r="O24" s="59">
        <f t="shared" si="5"/>
        <v>0</v>
      </c>
      <c r="P24" s="59">
        <v>0</v>
      </c>
      <c r="Q24" s="59">
        <f t="shared" si="6"/>
        <v>0</v>
      </c>
      <c r="R24" s="59">
        <f t="shared" si="7"/>
        <v>1800000</v>
      </c>
    </row>
    <row r="25" spans="1:19" outlineLevel="1">
      <c r="A25" s="7" t="s">
        <v>253</v>
      </c>
      <c r="B25" t="s">
        <v>254</v>
      </c>
      <c r="C25" s="59">
        <v>2000000</v>
      </c>
      <c r="D25" s="59">
        <f>SUMIFS(Costos_Extracontables!$D:$D, Costos_Extracontables!$E:$E, $B25, Costos_Extracontables!$C:$C, "&gt;=2026-05-01", Costos_Extracontables!$C:$C, "&lt;=2026-05-31")</f>
        <v>0</v>
      </c>
      <c r="E25" s="59">
        <f>SUMIFS(Costos_Extracontables!$D:$D, Costos_Extracontables!$E:$E, $B25, Costos_Extracontables!$C:$C, "&gt;=2026-06-01", Costos_Extracontables!$C:$C, "&lt;=2026-06-31")</f>
        <v>0</v>
      </c>
      <c r="F25" s="59"/>
      <c r="G25" s="59"/>
      <c r="H25" s="59"/>
      <c r="I25" s="59">
        <f t="shared" si="1"/>
        <v>0</v>
      </c>
      <c r="J25" s="59">
        <v>0</v>
      </c>
      <c r="K25" s="59">
        <f t="shared" si="2"/>
        <v>0</v>
      </c>
      <c r="L25" s="59">
        <f t="shared" si="3"/>
        <v>2000000</v>
      </c>
      <c r="M25" s="60">
        <v>0</v>
      </c>
      <c r="N25" s="59">
        <f t="shared" si="4"/>
        <v>0</v>
      </c>
      <c r="O25" s="59">
        <f t="shared" si="5"/>
        <v>0</v>
      </c>
      <c r="P25" s="59">
        <v>0</v>
      </c>
      <c r="Q25" s="59">
        <f t="shared" si="6"/>
        <v>0</v>
      </c>
      <c r="R25" s="59">
        <f t="shared" si="7"/>
        <v>2000000</v>
      </c>
    </row>
    <row r="26" spans="1:19">
      <c r="A26" s="58" t="s">
        <v>255</v>
      </c>
      <c r="B26" s="54" t="s">
        <v>256</v>
      </c>
      <c r="C26" s="56">
        <f t="shared" ref="C26:H26" si="11">SUM(C27:C29)</f>
        <v>17980000</v>
      </c>
      <c r="D26" s="56">
        <f t="shared" si="11"/>
        <v>0</v>
      </c>
      <c r="E26" s="56">
        <f t="shared" si="11"/>
        <v>0</v>
      </c>
      <c r="F26" s="56">
        <f t="shared" si="11"/>
        <v>0</v>
      </c>
      <c r="G26" s="56">
        <f t="shared" si="11"/>
        <v>0</v>
      </c>
      <c r="H26" s="56">
        <f t="shared" si="11"/>
        <v>0</v>
      </c>
      <c r="I26" s="56">
        <f t="shared" si="1"/>
        <v>0</v>
      </c>
      <c r="J26" s="56">
        <v>0</v>
      </c>
      <c r="K26" s="56">
        <f t="shared" si="2"/>
        <v>0</v>
      </c>
      <c r="L26" s="56">
        <f t="shared" si="3"/>
        <v>17980000</v>
      </c>
      <c r="M26" s="57">
        <v>0</v>
      </c>
      <c r="N26" s="56">
        <f t="shared" si="4"/>
        <v>0</v>
      </c>
      <c r="O26" s="56">
        <f t="shared" si="5"/>
        <v>0</v>
      </c>
      <c r="P26" s="56">
        <v>0</v>
      </c>
      <c r="Q26" s="56">
        <f t="shared" si="6"/>
        <v>0</v>
      </c>
      <c r="R26" s="56">
        <f t="shared" si="7"/>
        <v>17980000</v>
      </c>
      <c r="S26" s="58"/>
    </row>
    <row r="27" spans="1:19" outlineLevel="1">
      <c r="A27" s="7" t="s">
        <v>257</v>
      </c>
      <c r="B27" t="s">
        <v>258</v>
      </c>
      <c r="C27" s="59">
        <v>14800000</v>
      </c>
      <c r="D27" s="59">
        <f>SUMIFS(Costos_Extracontables!$D:$D, Costos_Extracontables!$E:$E, $B27, Costos_Extracontables!$C:$C, "&gt;=2026-05-01", Costos_Extracontables!$C:$C, "&lt;=2026-05-31")</f>
        <v>0</v>
      </c>
      <c r="E27" s="59">
        <f>SUMIFS(Costos_Extracontables!$D:$D, Costos_Extracontables!$E:$E, $B27, Costos_Extracontables!$C:$C, "&gt;=2026-06-01", Costos_Extracontables!$C:$C, "&lt;=2026-06-31")</f>
        <v>0</v>
      </c>
      <c r="F27" s="59"/>
      <c r="G27" s="59"/>
      <c r="H27" s="59"/>
      <c r="I27" s="59">
        <f t="shared" si="1"/>
        <v>0</v>
      </c>
      <c r="J27" s="59">
        <v>0</v>
      </c>
      <c r="K27" s="59">
        <f t="shared" si="2"/>
        <v>0</v>
      </c>
      <c r="L27" s="59">
        <f t="shared" si="3"/>
        <v>14800000</v>
      </c>
      <c r="M27" s="60">
        <v>0</v>
      </c>
      <c r="N27" s="59">
        <f t="shared" si="4"/>
        <v>0</v>
      </c>
      <c r="O27" s="59">
        <f t="shared" si="5"/>
        <v>0</v>
      </c>
      <c r="P27" s="59">
        <v>0</v>
      </c>
      <c r="Q27" s="59">
        <f t="shared" si="6"/>
        <v>0</v>
      </c>
      <c r="R27" s="59">
        <f t="shared" si="7"/>
        <v>14800000</v>
      </c>
    </row>
    <row r="28" spans="1:19" outlineLevel="1">
      <c r="A28" s="7" t="s">
        <v>259</v>
      </c>
      <c r="B28" t="s">
        <v>260</v>
      </c>
      <c r="C28" s="59">
        <v>1680000</v>
      </c>
      <c r="D28" s="59">
        <f>SUMIFS(Costos_Extracontables!$D:$D, Costos_Extracontables!$E:$E, $B28, Costos_Extracontables!$C:$C, "&gt;=2026-05-01", Costos_Extracontables!$C:$C, "&lt;=2026-05-31")</f>
        <v>0</v>
      </c>
      <c r="E28" s="59">
        <f>SUMIFS(Costos_Extracontables!$D:$D, Costos_Extracontables!$E:$E, $B28, Costos_Extracontables!$C:$C, "&gt;=2026-06-01", Costos_Extracontables!$C:$C, "&lt;=2026-06-31")</f>
        <v>0</v>
      </c>
      <c r="F28" s="59"/>
      <c r="G28" s="59"/>
      <c r="H28" s="59"/>
      <c r="I28" s="59">
        <f t="shared" si="1"/>
        <v>0</v>
      </c>
      <c r="J28" s="59">
        <v>0</v>
      </c>
      <c r="K28" s="59">
        <f t="shared" si="2"/>
        <v>0</v>
      </c>
      <c r="L28" s="59">
        <f t="shared" si="3"/>
        <v>1680000</v>
      </c>
      <c r="M28" s="60">
        <v>0</v>
      </c>
      <c r="N28" s="59">
        <f t="shared" si="4"/>
        <v>0</v>
      </c>
      <c r="O28" s="59">
        <f t="shared" si="5"/>
        <v>0</v>
      </c>
      <c r="P28" s="59">
        <v>0</v>
      </c>
      <c r="Q28" s="59">
        <f t="shared" si="6"/>
        <v>0</v>
      </c>
      <c r="R28" s="59">
        <f t="shared" si="7"/>
        <v>1680000</v>
      </c>
    </row>
    <row r="29" spans="1:19" outlineLevel="1">
      <c r="A29" s="7" t="s">
        <v>261</v>
      </c>
      <c r="B29" t="s">
        <v>262</v>
      </c>
      <c r="C29" s="59">
        <v>1500000</v>
      </c>
      <c r="D29" s="59">
        <f>SUMIFS(Costos_Extracontables!$D:$D, Costos_Extracontables!$E:$E, $B29, Costos_Extracontables!$C:$C, "&gt;=2026-05-01", Costos_Extracontables!$C:$C, "&lt;=2026-05-31")</f>
        <v>0</v>
      </c>
      <c r="E29" s="59">
        <f>SUMIFS(Costos_Extracontables!$D:$D, Costos_Extracontables!$E:$E, $B29, Costos_Extracontables!$C:$C, "&gt;=2026-06-01", Costos_Extracontables!$C:$C, "&lt;=2026-06-31")</f>
        <v>0</v>
      </c>
      <c r="F29" s="59"/>
      <c r="G29" s="59"/>
      <c r="H29" s="59"/>
      <c r="I29" s="59">
        <f t="shared" si="1"/>
        <v>0</v>
      </c>
      <c r="J29" s="59">
        <v>0</v>
      </c>
      <c r="K29" s="59">
        <f t="shared" si="2"/>
        <v>0</v>
      </c>
      <c r="L29" s="59">
        <f t="shared" si="3"/>
        <v>1500000</v>
      </c>
      <c r="M29" s="60">
        <v>0</v>
      </c>
      <c r="N29" s="59">
        <f t="shared" si="4"/>
        <v>0</v>
      </c>
      <c r="O29" s="59">
        <f t="shared" si="5"/>
        <v>0</v>
      </c>
      <c r="P29" s="59">
        <v>0</v>
      </c>
      <c r="Q29" s="59">
        <f t="shared" si="6"/>
        <v>0</v>
      </c>
      <c r="R29" s="59">
        <f t="shared" si="7"/>
        <v>1500000</v>
      </c>
    </row>
    <row r="30" spans="1:19">
      <c r="A30" s="58" t="s">
        <v>263</v>
      </c>
      <c r="B30" s="54" t="s">
        <v>264</v>
      </c>
      <c r="C30" s="56">
        <f t="shared" ref="C30:H30" si="12">SUM(C31:C36)</f>
        <v>80209991</v>
      </c>
      <c r="D30" s="56">
        <f t="shared" si="12"/>
        <v>200000</v>
      </c>
      <c r="E30" s="56">
        <f t="shared" si="12"/>
        <v>0</v>
      </c>
      <c r="F30" s="56">
        <f t="shared" si="12"/>
        <v>0</v>
      </c>
      <c r="G30" s="56">
        <f t="shared" si="12"/>
        <v>0</v>
      </c>
      <c r="H30" s="56">
        <f t="shared" si="12"/>
        <v>0</v>
      </c>
      <c r="I30" s="56">
        <f t="shared" si="1"/>
        <v>200000</v>
      </c>
      <c r="J30" s="56">
        <v>0</v>
      </c>
      <c r="K30" s="56">
        <f t="shared" si="2"/>
        <v>200000</v>
      </c>
      <c r="L30" s="56">
        <f t="shared" si="3"/>
        <v>80009991</v>
      </c>
      <c r="M30" s="57">
        <v>0</v>
      </c>
      <c r="N30" s="56">
        <f t="shared" si="4"/>
        <v>0</v>
      </c>
      <c r="O30" s="56">
        <f t="shared" si="5"/>
        <v>-200000</v>
      </c>
      <c r="P30" s="56">
        <v>0</v>
      </c>
      <c r="Q30" s="56">
        <f t="shared" si="6"/>
        <v>200000</v>
      </c>
      <c r="R30" s="56">
        <f t="shared" si="7"/>
        <v>80009991</v>
      </c>
      <c r="S30" s="58"/>
    </row>
    <row r="31" spans="1:19" outlineLevel="1">
      <c r="A31" s="7" t="s">
        <v>265</v>
      </c>
      <c r="B31" t="s">
        <v>266</v>
      </c>
      <c r="C31" s="59">
        <v>20800000</v>
      </c>
      <c r="D31" s="59">
        <f>SUMIFS(Costos_Extracontables!$D:$D, Costos_Extracontables!$E:$E, $B31, Costos_Extracontables!$C:$C, "&gt;=2026-05-01", Costos_Extracontables!$C:$C, "&lt;=2026-05-31")</f>
        <v>200000</v>
      </c>
      <c r="E31" s="59">
        <f>SUMIFS(Costos_Extracontables!$D:$D, Costos_Extracontables!$E:$E, $B31, Costos_Extracontables!$C:$C, "&gt;=2026-06-01", Costos_Extracontables!$C:$C, "&lt;=2026-06-31")</f>
        <v>0</v>
      </c>
      <c r="F31" s="59"/>
      <c r="G31" s="59"/>
      <c r="H31" s="59"/>
      <c r="I31" s="59">
        <f t="shared" si="1"/>
        <v>200000</v>
      </c>
      <c r="J31" s="59">
        <v>0</v>
      </c>
      <c r="K31" s="59">
        <f t="shared" si="2"/>
        <v>200000</v>
      </c>
      <c r="L31" s="59">
        <f t="shared" si="3"/>
        <v>20600000</v>
      </c>
      <c r="M31" s="60">
        <v>0</v>
      </c>
      <c r="N31" s="59">
        <f t="shared" si="4"/>
        <v>0</v>
      </c>
      <c r="O31" s="59">
        <f t="shared" si="5"/>
        <v>-200000</v>
      </c>
      <c r="P31" s="59">
        <v>0</v>
      </c>
      <c r="Q31" s="59">
        <f t="shared" si="6"/>
        <v>200000</v>
      </c>
      <c r="R31" s="59">
        <f t="shared" si="7"/>
        <v>20600000</v>
      </c>
    </row>
    <row r="32" spans="1:19" outlineLevel="1">
      <c r="A32" s="7" t="s">
        <v>267</v>
      </c>
      <c r="B32" t="s">
        <v>268</v>
      </c>
      <c r="C32" s="59">
        <v>11400000</v>
      </c>
      <c r="D32" s="59">
        <f>SUMIFS(Costos_Extracontables!$D:$D, Costos_Extracontables!$E:$E, $B32, Costos_Extracontables!$C:$C, "&gt;=2026-05-01", Costos_Extracontables!$C:$C, "&lt;=2026-05-31")</f>
        <v>0</v>
      </c>
      <c r="E32" s="59">
        <f>SUMIFS(Costos_Extracontables!$D:$D, Costos_Extracontables!$E:$E, $B32, Costos_Extracontables!$C:$C, "&gt;=2026-06-01", Costos_Extracontables!$C:$C, "&lt;=2026-06-31")</f>
        <v>0</v>
      </c>
      <c r="F32" s="59"/>
      <c r="G32" s="59"/>
      <c r="H32" s="59"/>
      <c r="I32" s="59">
        <f t="shared" si="1"/>
        <v>0</v>
      </c>
      <c r="J32" s="59">
        <v>0</v>
      </c>
      <c r="K32" s="59">
        <f t="shared" si="2"/>
        <v>0</v>
      </c>
      <c r="L32" s="59">
        <f t="shared" si="3"/>
        <v>11400000</v>
      </c>
      <c r="M32" s="60">
        <v>0</v>
      </c>
      <c r="N32" s="59">
        <f t="shared" si="4"/>
        <v>0</v>
      </c>
      <c r="O32" s="59">
        <f t="shared" si="5"/>
        <v>0</v>
      </c>
      <c r="P32" s="59">
        <v>0</v>
      </c>
      <c r="Q32" s="59">
        <f t="shared" si="6"/>
        <v>0</v>
      </c>
      <c r="R32" s="59">
        <f t="shared" si="7"/>
        <v>11400000</v>
      </c>
    </row>
    <row r="33" spans="1:19" outlineLevel="1">
      <c r="A33" s="7" t="s">
        <v>269</v>
      </c>
      <c r="B33" t="s">
        <v>270</v>
      </c>
      <c r="C33" s="59">
        <v>12900000</v>
      </c>
      <c r="D33" s="59">
        <f>SUMIFS(Costos_Extracontables!$D:$D, Costos_Extracontables!$E:$E, $B33, Costos_Extracontables!$C:$C, "&gt;=2026-05-01", Costos_Extracontables!$C:$C, "&lt;=2026-05-31")</f>
        <v>0</v>
      </c>
      <c r="E33" s="59">
        <f>SUMIFS(Costos_Extracontables!$D:$D, Costos_Extracontables!$E:$E, $B33, Costos_Extracontables!$C:$C, "&gt;=2026-06-01", Costos_Extracontables!$C:$C, "&lt;=2026-06-31")</f>
        <v>0</v>
      </c>
      <c r="F33" s="59"/>
      <c r="G33" s="59"/>
      <c r="H33" s="59"/>
      <c r="I33" s="59">
        <f t="shared" si="1"/>
        <v>0</v>
      </c>
      <c r="J33" s="59">
        <v>0</v>
      </c>
      <c r="K33" s="59">
        <f t="shared" si="2"/>
        <v>0</v>
      </c>
      <c r="L33" s="59">
        <f t="shared" si="3"/>
        <v>12900000</v>
      </c>
      <c r="M33" s="60">
        <v>0</v>
      </c>
      <c r="N33" s="59">
        <f t="shared" si="4"/>
        <v>0</v>
      </c>
      <c r="O33" s="59">
        <f t="shared" si="5"/>
        <v>0</v>
      </c>
      <c r="P33" s="59">
        <v>0</v>
      </c>
      <c r="Q33" s="59">
        <f t="shared" si="6"/>
        <v>0</v>
      </c>
      <c r="R33" s="59">
        <f t="shared" si="7"/>
        <v>12900000</v>
      </c>
    </row>
    <row r="34" spans="1:19" outlineLevel="1">
      <c r="A34" s="7" t="s">
        <v>271</v>
      </c>
      <c r="B34" t="s">
        <v>272</v>
      </c>
      <c r="C34" s="59">
        <v>3989991</v>
      </c>
      <c r="D34" s="59">
        <f>SUMIFS(Costos_Extracontables!$D:$D, Costos_Extracontables!$E:$E, $B34, Costos_Extracontables!$C:$C, "&gt;=2026-05-01", Costos_Extracontables!$C:$C, "&lt;=2026-05-31")</f>
        <v>0</v>
      </c>
      <c r="E34" s="59">
        <f>SUMIFS(Costos_Extracontables!$D:$D, Costos_Extracontables!$E:$E, $B34, Costos_Extracontables!$C:$C, "&gt;=2026-06-01", Costos_Extracontables!$C:$C, "&lt;=2026-06-31")</f>
        <v>0</v>
      </c>
      <c r="F34" s="59"/>
      <c r="G34" s="59"/>
      <c r="H34" s="59"/>
      <c r="I34" s="59">
        <f t="shared" si="1"/>
        <v>0</v>
      </c>
      <c r="J34" s="59">
        <v>0</v>
      </c>
      <c r="K34" s="59">
        <f t="shared" si="2"/>
        <v>0</v>
      </c>
      <c r="L34" s="59">
        <f t="shared" si="3"/>
        <v>3989991</v>
      </c>
      <c r="M34" s="60">
        <v>0</v>
      </c>
      <c r="N34" s="59">
        <f t="shared" si="4"/>
        <v>0</v>
      </c>
      <c r="O34" s="59">
        <f t="shared" si="5"/>
        <v>0</v>
      </c>
      <c r="P34" s="59">
        <v>0</v>
      </c>
      <c r="Q34" s="59">
        <f t="shared" si="6"/>
        <v>0</v>
      </c>
      <c r="R34" s="59">
        <f t="shared" si="7"/>
        <v>3989991</v>
      </c>
    </row>
    <row r="35" spans="1:19" outlineLevel="1">
      <c r="A35" s="7" t="s">
        <v>273</v>
      </c>
      <c r="B35" t="s">
        <v>274</v>
      </c>
      <c r="C35" s="59">
        <v>25600000</v>
      </c>
      <c r="D35" s="59">
        <f>SUMIFS(Costos_Extracontables!$D:$D, Costos_Extracontables!$E:$E, $B35, Costos_Extracontables!$C:$C, "&gt;=2026-05-01", Costos_Extracontables!$C:$C, "&lt;=2026-05-31")</f>
        <v>0</v>
      </c>
      <c r="E35" s="59">
        <f>SUMIFS(Costos_Extracontables!$D:$D, Costos_Extracontables!$E:$E, $B35, Costos_Extracontables!$C:$C, "&gt;=2026-06-01", Costos_Extracontables!$C:$C, "&lt;=2026-06-31")</f>
        <v>0</v>
      </c>
      <c r="F35" s="59"/>
      <c r="G35" s="59"/>
      <c r="H35" s="59"/>
      <c r="I35" s="59">
        <f t="shared" si="1"/>
        <v>0</v>
      </c>
      <c r="J35" s="59">
        <v>0</v>
      </c>
      <c r="K35" s="59">
        <f t="shared" si="2"/>
        <v>0</v>
      </c>
      <c r="L35" s="59">
        <f t="shared" si="3"/>
        <v>25600000</v>
      </c>
      <c r="M35" s="60">
        <v>0</v>
      </c>
      <c r="N35" s="59">
        <f t="shared" si="4"/>
        <v>0</v>
      </c>
      <c r="O35" s="59">
        <f t="shared" si="5"/>
        <v>0</v>
      </c>
      <c r="P35" s="59">
        <v>0</v>
      </c>
      <c r="Q35" s="59">
        <f t="shared" si="6"/>
        <v>0</v>
      </c>
      <c r="R35" s="59">
        <f t="shared" si="7"/>
        <v>25600000</v>
      </c>
    </row>
    <row r="36" spans="1:19" outlineLevel="1">
      <c r="A36" s="7" t="s">
        <v>275</v>
      </c>
      <c r="B36" t="s">
        <v>276</v>
      </c>
      <c r="C36" s="59">
        <v>5520000</v>
      </c>
      <c r="D36" s="59">
        <f>SUMIFS(Costos_Extracontables!$D:$D, Costos_Extracontables!$E:$E, $B36, Costos_Extracontables!$C:$C, "&gt;=2026-05-01", Costos_Extracontables!$C:$C, "&lt;=2026-05-31")</f>
        <v>0</v>
      </c>
      <c r="E36" s="59">
        <f>SUMIFS(Costos_Extracontables!$D:$D, Costos_Extracontables!$E:$E, $B36, Costos_Extracontables!$C:$C, "&gt;=2026-06-01", Costos_Extracontables!$C:$C, "&lt;=2026-06-31")</f>
        <v>0</v>
      </c>
      <c r="F36" s="59"/>
      <c r="G36" s="59"/>
      <c r="H36" s="59"/>
      <c r="I36" s="59">
        <f t="shared" si="1"/>
        <v>0</v>
      </c>
      <c r="J36" s="59">
        <v>0</v>
      </c>
      <c r="K36" s="59">
        <f t="shared" si="2"/>
        <v>0</v>
      </c>
      <c r="L36" s="59">
        <f t="shared" si="3"/>
        <v>5520000</v>
      </c>
      <c r="M36" s="60">
        <v>0</v>
      </c>
      <c r="N36" s="59">
        <f t="shared" si="4"/>
        <v>0</v>
      </c>
      <c r="O36" s="59">
        <f t="shared" si="5"/>
        <v>0</v>
      </c>
      <c r="P36" s="59">
        <v>0</v>
      </c>
      <c r="Q36" s="59">
        <f t="shared" si="6"/>
        <v>0</v>
      </c>
      <c r="R36" s="59">
        <f t="shared" si="7"/>
        <v>5520000</v>
      </c>
    </row>
    <row r="37" spans="1:19">
      <c r="A37" s="58" t="s">
        <v>277</v>
      </c>
      <c r="B37" s="54" t="s">
        <v>278</v>
      </c>
      <c r="C37" s="56">
        <f t="shared" ref="C37:H37" si="13">SUM(C38)</f>
        <v>26950000</v>
      </c>
      <c r="D37" s="56">
        <f t="shared" si="13"/>
        <v>0</v>
      </c>
      <c r="E37" s="56">
        <f t="shared" si="13"/>
        <v>0</v>
      </c>
      <c r="F37" s="56">
        <f t="shared" si="13"/>
        <v>0</v>
      </c>
      <c r="G37" s="56">
        <f t="shared" si="13"/>
        <v>0</v>
      </c>
      <c r="H37" s="56">
        <f t="shared" si="13"/>
        <v>0</v>
      </c>
      <c r="I37" s="56">
        <f t="shared" si="1"/>
        <v>0</v>
      </c>
      <c r="J37" s="56">
        <v>0</v>
      </c>
      <c r="K37" s="56">
        <f t="shared" si="2"/>
        <v>0</v>
      </c>
      <c r="L37" s="56">
        <f t="shared" si="3"/>
        <v>26950000</v>
      </c>
      <c r="M37" s="57">
        <v>0</v>
      </c>
      <c r="N37" s="56">
        <f t="shared" si="4"/>
        <v>0</v>
      </c>
      <c r="O37" s="56">
        <f t="shared" si="5"/>
        <v>0</v>
      </c>
      <c r="P37" s="56">
        <v>0</v>
      </c>
      <c r="Q37" s="56">
        <f t="shared" si="6"/>
        <v>0</v>
      </c>
      <c r="R37" s="56">
        <f t="shared" si="7"/>
        <v>26950000</v>
      </c>
      <c r="S37" s="58"/>
    </row>
    <row r="38" spans="1:19" outlineLevel="1">
      <c r="A38" s="7" t="s">
        <v>279</v>
      </c>
      <c r="B38" t="s">
        <v>280</v>
      </c>
      <c r="C38" s="59">
        <v>26950000</v>
      </c>
      <c r="D38" s="59">
        <f>SUMIFS(Costos_Extracontables!$D:$D, Costos_Extracontables!$E:$E, $B38, Costos_Extracontables!$C:$C, "&gt;=2026-05-01", Costos_Extracontables!$C:$C, "&lt;=2026-05-31")</f>
        <v>0</v>
      </c>
      <c r="E38" s="59">
        <f>SUMIFS(Costos_Extracontables!$D:$D, Costos_Extracontables!$E:$E, $B38, Costos_Extracontables!$C:$C, "&gt;=2026-06-01", Costos_Extracontables!$C:$C, "&lt;=2026-06-31")</f>
        <v>0</v>
      </c>
      <c r="F38" s="59"/>
      <c r="G38" s="59"/>
      <c r="H38" s="59"/>
      <c r="I38" s="59">
        <f t="shared" si="1"/>
        <v>0</v>
      </c>
      <c r="J38" s="59">
        <v>0</v>
      </c>
      <c r="K38" s="59">
        <f t="shared" si="2"/>
        <v>0</v>
      </c>
      <c r="L38" s="59">
        <f t="shared" si="3"/>
        <v>26950000</v>
      </c>
      <c r="M38" s="60">
        <v>0</v>
      </c>
      <c r="N38" s="59">
        <f t="shared" si="4"/>
        <v>0</v>
      </c>
      <c r="O38" s="59">
        <f t="shared" si="5"/>
        <v>0</v>
      </c>
      <c r="P38" s="59">
        <v>0</v>
      </c>
      <c r="Q38" s="59">
        <f t="shared" si="6"/>
        <v>0</v>
      </c>
      <c r="R38" s="59">
        <f t="shared" si="7"/>
        <v>26950000</v>
      </c>
    </row>
    <row r="39" spans="1:19">
      <c r="A39" s="63"/>
      <c r="B39" s="55" t="s">
        <v>177</v>
      </c>
      <c r="C39" s="61">
        <f t="shared" ref="C39:L39" si="14">+C37+C30+C26+C22+C16+C12+C2</f>
        <v>253028082.11999997</v>
      </c>
      <c r="D39" s="61">
        <f t="shared" si="14"/>
        <v>200000</v>
      </c>
      <c r="E39" s="61">
        <f t="shared" si="14"/>
        <v>0</v>
      </c>
      <c r="F39" s="61">
        <f t="shared" si="14"/>
        <v>0</v>
      </c>
      <c r="G39" s="61">
        <f t="shared" si="14"/>
        <v>0</v>
      </c>
      <c r="H39" s="61">
        <f t="shared" si="14"/>
        <v>0</v>
      </c>
      <c r="I39" s="61">
        <f t="shared" si="14"/>
        <v>200000</v>
      </c>
      <c r="J39" s="61">
        <f t="shared" si="14"/>
        <v>0</v>
      </c>
      <c r="K39" s="61">
        <f t="shared" si="14"/>
        <v>200000</v>
      </c>
      <c r="L39" s="61">
        <f t="shared" si="14"/>
        <v>252828082.11999997</v>
      </c>
      <c r="M39" s="62">
        <f>IF(C39&gt;0,N39/C39,0)</f>
        <v>0</v>
      </c>
      <c r="N39" s="61">
        <f>SUMIF(A2:A38, "*.0", N2:N38)</f>
        <v>0</v>
      </c>
      <c r="O39" s="61">
        <f>SUMIF(A2:A38, "*.0", O2:O38)</f>
        <v>-200000</v>
      </c>
      <c r="P39" s="61">
        <f>SUMIF(A2:A38, "*.0", P2:P38)</f>
        <v>0</v>
      </c>
      <c r="Q39" s="61">
        <f>SUMIF(A2:A38, "*.0", Q2:Q38)</f>
        <v>200000</v>
      </c>
      <c r="R39" s="61">
        <f>SUMIF(A2:A38, "*.0", R2:R38)</f>
        <v>252828082.12</v>
      </c>
      <c r="S39" s="63"/>
    </row>
    <row r="40" spans="1:19">
      <c r="A40" s="58"/>
      <c r="B40" s="54" t="s">
        <v>281</v>
      </c>
      <c r="C40" s="56">
        <v>384358996.73000002</v>
      </c>
      <c r="D40" s="56"/>
      <c r="E40" s="56"/>
      <c r="F40" s="56"/>
      <c r="G40" s="56"/>
      <c r="H40" s="56"/>
      <c r="I40" s="56"/>
      <c r="J40" s="56"/>
      <c r="K40" s="56"/>
      <c r="L40" s="56"/>
      <c r="M40" s="57"/>
      <c r="N40" s="56"/>
      <c r="O40" s="56"/>
      <c r="P40" s="56"/>
      <c r="Q40" s="56"/>
      <c r="R40" s="56"/>
      <c r="S40" s="58"/>
    </row>
    <row r="41" spans="1:19">
      <c r="A41" s="63"/>
      <c r="B41" s="55" t="s">
        <v>282</v>
      </c>
      <c r="C41" s="61">
        <f>-C39+C40</f>
        <v>131330914.61000004</v>
      </c>
      <c r="D41" s="61"/>
      <c r="E41" s="61"/>
      <c r="F41" s="61"/>
      <c r="G41" s="61"/>
      <c r="H41" s="61"/>
      <c r="I41" s="61"/>
      <c r="J41" s="61"/>
      <c r="K41" s="61"/>
      <c r="L41" s="61"/>
      <c r="M41" s="62"/>
      <c r="N41" s="61"/>
      <c r="O41" s="61"/>
      <c r="P41" s="61"/>
      <c r="Q41" s="61"/>
      <c r="R41" s="61"/>
      <c r="S41" s="63"/>
    </row>
    <row r="48" spans="1:19">
      <c r="O48" s="353">
        <f>3500000*5</f>
        <v>17500000</v>
      </c>
    </row>
    <row r="49" spans="15:15">
      <c r="O49" s="353">
        <f>+O48*2</f>
        <v>35000000</v>
      </c>
    </row>
    <row r="50" spans="15:15">
      <c r="O50" s="353">
        <f>+O49*1.2</f>
        <v>42000000</v>
      </c>
    </row>
    <row r="51" spans="15:15">
      <c r="O51" s="353">
        <v>5000000</v>
      </c>
    </row>
    <row r="52" spans="15:15">
      <c r="O52" s="388">
        <f>SUM(O50:O51)</f>
        <v>47000000</v>
      </c>
    </row>
  </sheetData>
  <pageMargins left="0.75" right="0.75" top="1" bottom="1" header="0.5" footer="0.5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38"/>
  <sheetViews>
    <sheetView showGridLines="0" workbookViewId="0">
      <pane ySplit="1" topLeftCell="A2" activePane="bottomLeft" state="frozen"/>
      <selection pane="bottomLeft" activeCell="B15" sqref="B15"/>
    </sheetView>
  </sheetViews>
  <sheetFormatPr baseColWidth="10" defaultColWidth="8.7265625" defaultRowHeight="14.5" outlineLevelRow="1"/>
  <cols>
    <col min="1" max="1" width="4.81640625" style="7" bestFit="1" customWidth="1"/>
    <col min="2" max="2" width="55.453125" bestFit="1" customWidth="1"/>
    <col min="3" max="3" width="11.453125" style="7" customWidth="1"/>
    <col min="4" max="4" width="13.90625" style="7" customWidth="1"/>
    <col min="5" max="5" width="48" style="7" customWidth="1"/>
    <col min="6" max="6" width="17.81640625" style="7" bestFit="1" customWidth="1"/>
    <col min="7" max="7" width="28.7265625" style="7" customWidth="1"/>
    <col min="8" max="8" width="24" style="7" bestFit="1" customWidth="1"/>
  </cols>
  <sheetData>
    <row r="1" spans="1:8">
      <c r="A1" s="53" t="s">
        <v>196</v>
      </c>
      <c r="B1" s="53" t="s">
        <v>283</v>
      </c>
      <c r="C1" s="53" t="s">
        <v>284</v>
      </c>
      <c r="D1" s="53" t="s">
        <v>285</v>
      </c>
      <c r="E1" s="53" t="s">
        <v>286</v>
      </c>
      <c r="F1" s="53" t="s">
        <v>287</v>
      </c>
      <c r="G1" s="53" t="s">
        <v>213</v>
      </c>
      <c r="H1" s="53" t="s">
        <v>288</v>
      </c>
    </row>
    <row r="2" spans="1:8" outlineLevel="1">
      <c r="A2" s="7">
        <v>1</v>
      </c>
      <c r="B2" t="s">
        <v>289</v>
      </c>
      <c r="C2" s="351">
        <v>46143</v>
      </c>
      <c r="D2" s="59">
        <f>40000*5</f>
        <v>200000</v>
      </c>
      <c r="E2" s="59" t="s">
        <v>266</v>
      </c>
      <c r="F2" s="59" t="s">
        <v>290</v>
      </c>
      <c r="G2" s="59"/>
      <c r="H2" s="59" t="s">
        <v>291</v>
      </c>
    </row>
    <row r="3" spans="1:8" outlineLevel="1">
      <c r="A3" s="7">
        <v>2</v>
      </c>
      <c r="B3" t="s">
        <v>292</v>
      </c>
      <c r="C3" s="351"/>
      <c r="D3" s="59"/>
      <c r="E3" s="59"/>
      <c r="F3" s="59"/>
      <c r="G3" s="59"/>
      <c r="H3" s="59" t="s">
        <v>291</v>
      </c>
    </row>
    <row r="4" spans="1:8" outlineLevel="1">
      <c r="A4" s="7">
        <v>3</v>
      </c>
      <c r="B4" t="s">
        <v>293</v>
      </c>
      <c r="C4" s="351"/>
      <c r="D4" s="59"/>
      <c r="E4" s="59"/>
      <c r="F4" s="59"/>
      <c r="G4" s="59"/>
      <c r="H4" s="59" t="s">
        <v>291</v>
      </c>
    </row>
    <row r="5" spans="1:8" outlineLevel="1">
      <c r="A5" s="7">
        <v>4</v>
      </c>
      <c r="B5" t="s">
        <v>294</v>
      </c>
      <c r="C5" s="351"/>
      <c r="D5" s="59"/>
      <c r="E5" s="59"/>
      <c r="F5" s="59"/>
      <c r="G5" s="59"/>
      <c r="H5" s="59" t="s">
        <v>291</v>
      </c>
    </row>
    <row r="6" spans="1:8" outlineLevel="1">
      <c r="A6" s="7">
        <v>5</v>
      </c>
      <c r="B6" t="s">
        <v>295</v>
      </c>
      <c r="C6" s="351"/>
      <c r="D6" s="59"/>
      <c r="E6" s="59"/>
      <c r="F6" s="59"/>
      <c r="G6" s="59"/>
      <c r="H6" s="59" t="s">
        <v>291</v>
      </c>
    </row>
    <row r="7" spans="1:8" outlineLevel="1">
      <c r="A7" s="7">
        <v>6</v>
      </c>
      <c r="B7" t="s">
        <v>296</v>
      </c>
      <c r="C7" s="351"/>
      <c r="D7" s="59"/>
      <c r="E7" s="59"/>
      <c r="F7" s="59"/>
      <c r="G7" s="59"/>
      <c r="H7" s="59" t="s">
        <v>291</v>
      </c>
    </row>
    <row r="8" spans="1:8" outlineLevel="1">
      <c r="A8" s="7">
        <v>7</v>
      </c>
      <c r="C8" s="351"/>
      <c r="D8" s="59"/>
      <c r="E8" s="59"/>
      <c r="F8" s="59"/>
      <c r="G8" s="59"/>
      <c r="H8" s="59" t="s">
        <v>291</v>
      </c>
    </row>
    <row r="9" spans="1:8" outlineLevel="1">
      <c r="A9" s="7">
        <v>8</v>
      </c>
      <c r="C9" s="351"/>
      <c r="D9" s="59"/>
      <c r="E9" s="59"/>
      <c r="F9" s="59"/>
      <c r="G9" s="59"/>
      <c r="H9" s="59" t="s">
        <v>291</v>
      </c>
    </row>
    <row r="10" spans="1:8" outlineLevel="1">
      <c r="A10" s="7">
        <v>9</v>
      </c>
      <c r="C10" s="351"/>
      <c r="D10" s="59"/>
      <c r="E10" s="59"/>
      <c r="F10" s="59"/>
      <c r="G10" s="59"/>
      <c r="H10" s="59" t="s">
        <v>291</v>
      </c>
    </row>
    <row r="11" spans="1:8" outlineLevel="1">
      <c r="A11" s="7">
        <v>10</v>
      </c>
      <c r="C11" s="351"/>
      <c r="D11" s="59"/>
      <c r="E11" s="59"/>
      <c r="F11" s="59"/>
      <c r="G11" s="59"/>
      <c r="H11" s="59" t="s">
        <v>291</v>
      </c>
    </row>
    <row r="12" spans="1:8" outlineLevel="1">
      <c r="A12" s="7">
        <v>11</v>
      </c>
      <c r="C12" s="351"/>
      <c r="D12" s="59"/>
      <c r="E12" s="59"/>
      <c r="F12" s="59"/>
      <c r="G12" s="59"/>
      <c r="H12" s="59" t="s">
        <v>291</v>
      </c>
    </row>
    <row r="13" spans="1:8" outlineLevel="1">
      <c r="A13" s="7">
        <v>12</v>
      </c>
      <c r="C13" s="351"/>
      <c r="D13" s="59"/>
      <c r="E13" s="59"/>
      <c r="F13" s="59"/>
      <c r="G13" s="59"/>
      <c r="H13" s="59" t="s">
        <v>291</v>
      </c>
    </row>
    <row r="14" spans="1:8" outlineLevel="1">
      <c r="A14" s="7">
        <v>13</v>
      </c>
      <c r="C14" s="351"/>
      <c r="D14" s="59"/>
      <c r="E14" s="59"/>
      <c r="F14" s="59"/>
      <c r="G14" s="59"/>
      <c r="H14" s="59" t="s">
        <v>291</v>
      </c>
    </row>
    <row r="15" spans="1:8" outlineLevel="1">
      <c r="A15" s="7">
        <v>14</v>
      </c>
      <c r="C15" s="351"/>
      <c r="D15" s="59"/>
      <c r="E15" s="59"/>
      <c r="F15" s="59"/>
      <c r="G15" s="59"/>
      <c r="H15" s="59" t="s">
        <v>291</v>
      </c>
    </row>
    <row r="16" spans="1:8" outlineLevel="1">
      <c r="A16" s="7">
        <v>15</v>
      </c>
      <c r="C16" s="351"/>
      <c r="D16" s="59"/>
      <c r="E16" s="59"/>
      <c r="F16" s="59"/>
      <c r="G16" s="59"/>
      <c r="H16" s="59" t="s">
        <v>291</v>
      </c>
    </row>
    <row r="17" spans="1:8" outlineLevel="1">
      <c r="A17" s="7">
        <v>16</v>
      </c>
      <c r="C17" s="351"/>
      <c r="D17" s="59"/>
      <c r="E17" s="59"/>
      <c r="F17" s="59"/>
      <c r="G17" s="59"/>
      <c r="H17" s="59" t="s">
        <v>291</v>
      </c>
    </row>
    <row r="18" spans="1:8" outlineLevel="1">
      <c r="A18" s="7">
        <v>17</v>
      </c>
      <c r="C18" s="351"/>
      <c r="D18" s="59"/>
      <c r="E18" s="59"/>
      <c r="F18" s="59"/>
      <c r="G18" s="59"/>
      <c r="H18" s="59" t="s">
        <v>291</v>
      </c>
    </row>
    <row r="19" spans="1:8" outlineLevel="1">
      <c r="A19" s="7">
        <v>18</v>
      </c>
      <c r="C19" s="351"/>
      <c r="D19" s="59"/>
      <c r="E19" s="59"/>
      <c r="F19" s="59"/>
      <c r="G19" s="59"/>
      <c r="H19" s="59" t="s">
        <v>291</v>
      </c>
    </row>
    <row r="20" spans="1:8" outlineLevel="1">
      <c r="A20" s="7">
        <v>19</v>
      </c>
      <c r="C20" s="351"/>
      <c r="D20" s="59"/>
      <c r="E20" s="59"/>
      <c r="F20" s="59"/>
      <c r="G20" s="59"/>
      <c r="H20" s="59" t="s">
        <v>291</v>
      </c>
    </row>
    <row r="21" spans="1:8" outlineLevel="1">
      <c r="A21" s="7">
        <v>20</v>
      </c>
      <c r="C21" s="351"/>
      <c r="D21" s="59"/>
      <c r="E21" s="59"/>
      <c r="F21" s="59"/>
      <c r="G21" s="59"/>
      <c r="H21" s="59" t="s">
        <v>291</v>
      </c>
    </row>
    <row r="22" spans="1:8" outlineLevel="1">
      <c r="A22" s="7">
        <v>21</v>
      </c>
      <c r="C22" s="351"/>
      <c r="D22" s="59"/>
      <c r="E22" s="59"/>
      <c r="F22" s="59"/>
      <c r="G22" s="59"/>
      <c r="H22" s="59" t="s">
        <v>291</v>
      </c>
    </row>
    <row r="23" spans="1:8" outlineLevel="1">
      <c r="A23" s="7">
        <v>22</v>
      </c>
      <c r="C23" s="351"/>
      <c r="D23" s="59"/>
      <c r="E23" s="59"/>
      <c r="F23" s="59"/>
      <c r="G23" s="59"/>
      <c r="H23" s="59" t="s">
        <v>291</v>
      </c>
    </row>
    <row r="24" spans="1:8" outlineLevel="1">
      <c r="A24" s="7">
        <v>23</v>
      </c>
      <c r="C24" s="351"/>
      <c r="D24" s="59"/>
      <c r="E24" s="59"/>
      <c r="F24" s="59"/>
      <c r="G24" s="59"/>
      <c r="H24" s="59" t="s">
        <v>291</v>
      </c>
    </row>
    <row r="25" spans="1:8" outlineLevel="1">
      <c r="A25" s="7">
        <v>24</v>
      </c>
      <c r="C25" s="351"/>
      <c r="D25" s="59"/>
      <c r="E25" s="59"/>
      <c r="F25" s="59"/>
      <c r="G25" s="59"/>
      <c r="H25" s="59" t="s">
        <v>291</v>
      </c>
    </row>
    <row r="26" spans="1:8" outlineLevel="1">
      <c r="A26" s="7">
        <v>25</v>
      </c>
      <c r="C26" s="351"/>
      <c r="D26" s="59"/>
      <c r="E26" s="59"/>
      <c r="F26" s="59"/>
      <c r="G26" s="59"/>
      <c r="H26" s="59" t="s">
        <v>291</v>
      </c>
    </row>
    <row r="27" spans="1:8" outlineLevel="1">
      <c r="A27" s="7">
        <v>26</v>
      </c>
      <c r="C27" s="351"/>
      <c r="D27" s="59"/>
      <c r="E27" s="59"/>
      <c r="F27" s="59"/>
      <c r="G27" s="59"/>
      <c r="H27" s="59" t="s">
        <v>291</v>
      </c>
    </row>
    <row r="28" spans="1:8" outlineLevel="1">
      <c r="A28" s="7">
        <v>27</v>
      </c>
      <c r="C28" s="351"/>
      <c r="D28" s="59"/>
      <c r="E28" s="59"/>
      <c r="F28" s="59"/>
      <c r="G28" s="59"/>
      <c r="H28" s="59" t="s">
        <v>291</v>
      </c>
    </row>
    <row r="29" spans="1:8" outlineLevel="1">
      <c r="A29" s="7">
        <v>28</v>
      </c>
      <c r="C29" s="351"/>
      <c r="D29" s="59"/>
      <c r="E29" s="59"/>
      <c r="F29" s="59"/>
      <c r="G29" s="59"/>
      <c r="H29" s="59" t="s">
        <v>291</v>
      </c>
    </row>
    <row r="30" spans="1:8" outlineLevel="1">
      <c r="A30" s="7">
        <v>29</v>
      </c>
      <c r="C30" s="351"/>
      <c r="D30" s="59"/>
      <c r="E30" s="59"/>
      <c r="F30" s="59"/>
      <c r="G30" s="59"/>
      <c r="H30" s="59" t="s">
        <v>291</v>
      </c>
    </row>
    <row r="31" spans="1:8" outlineLevel="1">
      <c r="A31" s="7">
        <v>30</v>
      </c>
      <c r="C31" s="351"/>
      <c r="D31" s="59"/>
      <c r="E31" s="59"/>
      <c r="F31" s="59"/>
      <c r="G31" s="59"/>
      <c r="H31" s="59" t="s">
        <v>291</v>
      </c>
    </row>
    <row r="32" spans="1:8" outlineLevel="1">
      <c r="A32" s="7">
        <v>31</v>
      </c>
      <c r="C32" s="351"/>
      <c r="D32" s="59"/>
      <c r="E32" s="59"/>
      <c r="F32" s="59"/>
      <c r="G32" s="59"/>
      <c r="H32" s="59" t="s">
        <v>291</v>
      </c>
    </row>
    <row r="33" spans="1:8" outlineLevel="1">
      <c r="A33" s="7">
        <v>32</v>
      </c>
      <c r="C33" s="351"/>
      <c r="D33" s="59"/>
      <c r="E33" s="59"/>
      <c r="F33" s="59"/>
      <c r="G33" s="59"/>
      <c r="H33" s="59" t="s">
        <v>291</v>
      </c>
    </row>
    <row r="34" spans="1:8" outlineLevel="1">
      <c r="A34" s="7">
        <v>33</v>
      </c>
      <c r="C34" s="351"/>
      <c r="D34" s="59"/>
      <c r="E34" s="59"/>
      <c r="F34" s="59"/>
      <c r="G34" s="59"/>
      <c r="H34" s="59" t="s">
        <v>291</v>
      </c>
    </row>
    <row r="35" spans="1:8" outlineLevel="1">
      <c r="A35" s="7">
        <v>34</v>
      </c>
      <c r="C35" s="351"/>
      <c r="D35" s="59"/>
      <c r="E35" s="59"/>
      <c r="F35" s="59"/>
      <c r="G35" s="59"/>
      <c r="H35" s="59" t="s">
        <v>291</v>
      </c>
    </row>
    <row r="36" spans="1:8" outlineLevel="1">
      <c r="A36" s="7">
        <v>35</v>
      </c>
      <c r="C36" s="351"/>
      <c r="D36" s="59"/>
      <c r="E36" s="59"/>
      <c r="F36" s="59"/>
      <c r="G36" s="59"/>
      <c r="H36" s="59" t="s">
        <v>291</v>
      </c>
    </row>
    <row r="37" spans="1:8" outlineLevel="1">
      <c r="A37" s="7">
        <v>36</v>
      </c>
      <c r="C37" s="351"/>
      <c r="D37" s="59"/>
      <c r="E37" s="59"/>
      <c r="F37" s="59"/>
      <c r="G37" s="59"/>
      <c r="H37" s="59" t="s">
        <v>291</v>
      </c>
    </row>
    <row r="38" spans="1:8" outlineLevel="1">
      <c r="A38" s="7">
        <v>37</v>
      </c>
      <c r="C38" s="351"/>
      <c r="D38" s="59"/>
      <c r="E38" s="59"/>
      <c r="F38" s="59"/>
      <c r="G38" s="59"/>
      <c r="H38" s="59" t="s">
        <v>291</v>
      </c>
    </row>
    <row r="39" spans="1:8" outlineLevel="1">
      <c r="A39" s="7">
        <v>38</v>
      </c>
      <c r="C39" s="351"/>
      <c r="D39" s="59"/>
      <c r="E39" s="59"/>
      <c r="F39" s="59"/>
      <c r="G39" s="59"/>
      <c r="H39" s="59" t="s">
        <v>291</v>
      </c>
    </row>
    <row r="40" spans="1:8" outlineLevel="1">
      <c r="A40" s="7">
        <v>39</v>
      </c>
      <c r="C40" s="351"/>
      <c r="D40" s="59"/>
      <c r="E40" s="59"/>
      <c r="F40" s="59"/>
      <c r="G40" s="59"/>
      <c r="H40" s="59" t="s">
        <v>291</v>
      </c>
    </row>
    <row r="41" spans="1:8" outlineLevel="1">
      <c r="A41" s="7">
        <v>40</v>
      </c>
      <c r="C41" s="351"/>
      <c r="D41" s="59"/>
      <c r="E41" s="59"/>
      <c r="F41" s="59"/>
      <c r="G41" s="59"/>
      <c r="H41" s="59" t="s">
        <v>291</v>
      </c>
    </row>
    <row r="42" spans="1:8" outlineLevel="1">
      <c r="A42" s="7">
        <v>41</v>
      </c>
      <c r="C42" s="351"/>
      <c r="D42" s="59"/>
      <c r="E42" s="59"/>
      <c r="F42" s="59"/>
      <c r="G42" s="59"/>
      <c r="H42" s="59" t="s">
        <v>291</v>
      </c>
    </row>
    <row r="43" spans="1:8" outlineLevel="1">
      <c r="A43" s="7">
        <v>42</v>
      </c>
      <c r="C43" s="351"/>
      <c r="D43" s="59"/>
      <c r="E43" s="59"/>
      <c r="F43" s="59"/>
      <c r="G43" s="59"/>
      <c r="H43" s="59" t="s">
        <v>291</v>
      </c>
    </row>
    <row r="44" spans="1:8" outlineLevel="1">
      <c r="A44" s="7">
        <v>43</v>
      </c>
      <c r="C44" s="351"/>
      <c r="D44" s="59"/>
      <c r="E44" s="59"/>
      <c r="F44" s="59"/>
      <c r="G44" s="59"/>
      <c r="H44" s="59" t="s">
        <v>291</v>
      </c>
    </row>
    <row r="45" spans="1:8" outlineLevel="1">
      <c r="A45" s="7">
        <v>44</v>
      </c>
      <c r="C45" s="351"/>
      <c r="D45" s="59"/>
      <c r="E45" s="59"/>
      <c r="F45" s="59"/>
      <c r="G45" s="59"/>
      <c r="H45" s="59" t="s">
        <v>291</v>
      </c>
    </row>
    <row r="46" spans="1:8" outlineLevel="1">
      <c r="A46" s="7">
        <v>45</v>
      </c>
      <c r="C46" s="351"/>
      <c r="D46" s="59"/>
      <c r="E46" s="59"/>
      <c r="F46" s="59"/>
      <c r="G46" s="59"/>
      <c r="H46" s="59" t="s">
        <v>291</v>
      </c>
    </row>
    <row r="47" spans="1:8" outlineLevel="1">
      <c r="A47" s="7">
        <v>46</v>
      </c>
      <c r="C47" s="351"/>
      <c r="D47" s="59"/>
      <c r="E47" s="59"/>
      <c r="F47" s="59"/>
      <c r="G47" s="59"/>
      <c r="H47" s="59" t="s">
        <v>291</v>
      </c>
    </row>
    <row r="48" spans="1:8" outlineLevel="1">
      <c r="A48" s="7">
        <v>47</v>
      </c>
      <c r="C48" s="351"/>
      <c r="D48" s="59"/>
      <c r="E48" s="59"/>
      <c r="F48" s="59"/>
      <c r="G48" s="59"/>
      <c r="H48" s="59" t="s">
        <v>291</v>
      </c>
    </row>
    <row r="49" spans="1:8" outlineLevel="1">
      <c r="A49" s="7">
        <v>48</v>
      </c>
      <c r="C49" s="351"/>
      <c r="D49" s="59"/>
      <c r="E49" s="59"/>
      <c r="F49" s="59"/>
      <c r="G49" s="59"/>
      <c r="H49" s="59" t="s">
        <v>291</v>
      </c>
    </row>
    <row r="50" spans="1:8" outlineLevel="1">
      <c r="A50" s="7">
        <v>49</v>
      </c>
      <c r="C50" s="351"/>
      <c r="D50" s="59"/>
      <c r="E50" s="59"/>
      <c r="F50" s="59"/>
      <c r="G50" s="59"/>
      <c r="H50" s="59" t="s">
        <v>291</v>
      </c>
    </row>
    <row r="51" spans="1:8" outlineLevel="1">
      <c r="A51" s="7">
        <v>50</v>
      </c>
      <c r="C51" s="351"/>
      <c r="D51" s="59"/>
      <c r="E51" s="59"/>
      <c r="F51" s="59"/>
      <c r="G51" s="59"/>
      <c r="H51" s="59" t="s">
        <v>291</v>
      </c>
    </row>
    <row r="52" spans="1:8" outlineLevel="1">
      <c r="A52" s="7">
        <v>51</v>
      </c>
      <c r="C52" s="351"/>
      <c r="D52" s="59"/>
      <c r="E52" s="59"/>
      <c r="F52" s="59"/>
      <c r="G52" s="59"/>
      <c r="H52" s="59" t="s">
        <v>291</v>
      </c>
    </row>
    <row r="53" spans="1:8" outlineLevel="1">
      <c r="A53" s="7">
        <v>52</v>
      </c>
      <c r="C53" s="351"/>
      <c r="D53" s="59"/>
      <c r="E53" s="59"/>
      <c r="F53" s="59"/>
      <c r="G53" s="59"/>
      <c r="H53" s="59" t="s">
        <v>291</v>
      </c>
    </row>
    <row r="54" spans="1:8" outlineLevel="1">
      <c r="A54" s="7">
        <v>53</v>
      </c>
      <c r="C54" s="351"/>
      <c r="D54" s="59"/>
      <c r="E54" s="59"/>
      <c r="F54" s="59"/>
      <c r="G54" s="59"/>
      <c r="H54" s="59" t="s">
        <v>291</v>
      </c>
    </row>
    <row r="55" spans="1:8" outlineLevel="1">
      <c r="A55" s="7">
        <v>54</v>
      </c>
      <c r="C55" s="351"/>
      <c r="D55" s="59"/>
      <c r="E55" s="59"/>
      <c r="F55" s="59"/>
      <c r="G55" s="59"/>
      <c r="H55" s="59" t="s">
        <v>291</v>
      </c>
    </row>
    <row r="56" spans="1:8" outlineLevel="1">
      <c r="A56" s="7">
        <v>55</v>
      </c>
      <c r="C56" s="351"/>
      <c r="D56" s="59"/>
      <c r="E56" s="59"/>
      <c r="F56" s="59"/>
      <c r="G56" s="59"/>
      <c r="H56" s="59" t="s">
        <v>291</v>
      </c>
    </row>
    <row r="57" spans="1:8" outlineLevel="1">
      <c r="A57" s="7">
        <v>56</v>
      </c>
      <c r="C57" s="351"/>
      <c r="D57" s="59"/>
      <c r="E57" s="59"/>
      <c r="F57" s="59"/>
      <c r="G57" s="59"/>
      <c r="H57" s="59" t="s">
        <v>291</v>
      </c>
    </row>
    <row r="58" spans="1:8" outlineLevel="1">
      <c r="A58" s="7">
        <v>57</v>
      </c>
      <c r="C58" s="351"/>
      <c r="D58" s="59"/>
      <c r="E58" s="59"/>
      <c r="F58" s="59"/>
      <c r="G58" s="59"/>
      <c r="H58" s="59" t="s">
        <v>291</v>
      </c>
    </row>
    <row r="59" spans="1:8" outlineLevel="1">
      <c r="A59" s="7">
        <v>58</v>
      </c>
      <c r="C59" s="351"/>
      <c r="D59" s="59"/>
      <c r="E59" s="59"/>
      <c r="F59" s="59"/>
      <c r="G59" s="59"/>
      <c r="H59" s="59" t="s">
        <v>291</v>
      </c>
    </row>
    <row r="60" spans="1:8" outlineLevel="1">
      <c r="A60" s="7">
        <v>59</v>
      </c>
      <c r="C60" s="351"/>
      <c r="D60" s="59"/>
      <c r="E60" s="59"/>
      <c r="F60" s="59"/>
      <c r="G60" s="59"/>
      <c r="H60" s="59" t="s">
        <v>291</v>
      </c>
    </row>
    <row r="61" spans="1:8" outlineLevel="1">
      <c r="A61" s="7">
        <v>60</v>
      </c>
      <c r="C61" s="351"/>
      <c r="D61" s="59"/>
      <c r="E61" s="59"/>
      <c r="F61" s="59"/>
      <c r="G61" s="59"/>
      <c r="H61" s="59" t="s">
        <v>291</v>
      </c>
    </row>
    <row r="62" spans="1:8" outlineLevel="1">
      <c r="A62" s="7">
        <v>61</v>
      </c>
      <c r="C62" s="351"/>
      <c r="D62" s="59"/>
      <c r="E62" s="59"/>
      <c r="F62" s="59"/>
      <c r="G62" s="59"/>
      <c r="H62" s="59" t="s">
        <v>291</v>
      </c>
    </row>
    <row r="63" spans="1:8" outlineLevel="1">
      <c r="A63" s="7">
        <v>62</v>
      </c>
      <c r="C63" s="351"/>
      <c r="D63" s="59"/>
      <c r="E63" s="59"/>
      <c r="F63" s="59"/>
      <c r="G63" s="59"/>
      <c r="H63" s="59" t="s">
        <v>291</v>
      </c>
    </row>
    <row r="64" spans="1:8" outlineLevel="1">
      <c r="A64" s="7">
        <v>63</v>
      </c>
      <c r="C64" s="351"/>
      <c r="D64" s="59"/>
      <c r="E64" s="59"/>
      <c r="F64" s="59"/>
      <c r="G64" s="59"/>
      <c r="H64" s="59" t="s">
        <v>291</v>
      </c>
    </row>
    <row r="65" spans="1:8" outlineLevel="1">
      <c r="A65" s="7">
        <v>64</v>
      </c>
      <c r="C65" s="351"/>
      <c r="D65" s="59"/>
      <c r="E65" s="59"/>
      <c r="F65" s="59"/>
      <c r="G65" s="59"/>
      <c r="H65" s="59" t="s">
        <v>291</v>
      </c>
    </row>
    <row r="66" spans="1:8" outlineLevel="1">
      <c r="A66" s="7">
        <v>65</v>
      </c>
      <c r="C66" s="351"/>
      <c r="D66" s="59"/>
      <c r="E66" s="59"/>
      <c r="F66" s="59"/>
      <c r="G66" s="59"/>
      <c r="H66" s="59" t="s">
        <v>291</v>
      </c>
    </row>
    <row r="67" spans="1:8" outlineLevel="1">
      <c r="A67" s="7">
        <v>66</v>
      </c>
      <c r="C67" s="351"/>
      <c r="D67" s="59"/>
      <c r="E67" s="59"/>
      <c r="F67" s="59"/>
      <c r="G67" s="59"/>
      <c r="H67" s="59" t="s">
        <v>291</v>
      </c>
    </row>
    <row r="68" spans="1:8" outlineLevel="1">
      <c r="A68" s="7">
        <v>67</v>
      </c>
      <c r="C68" s="351"/>
      <c r="D68" s="59"/>
      <c r="E68" s="59"/>
      <c r="F68" s="59"/>
      <c r="G68" s="59"/>
      <c r="H68" s="59" t="s">
        <v>291</v>
      </c>
    </row>
    <row r="69" spans="1:8" outlineLevel="1">
      <c r="A69" s="7">
        <v>68</v>
      </c>
      <c r="C69" s="351"/>
      <c r="D69" s="59"/>
      <c r="E69" s="59"/>
      <c r="F69" s="59"/>
      <c r="G69" s="59"/>
      <c r="H69" s="59" t="s">
        <v>291</v>
      </c>
    </row>
    <row r="70" spans="1:8" outlineLevel="1">
      <c r="A70" s="7">
        <v>69</v>
      </c>
      <c r="C70" s="351"/>
      <c r="D70" s="59"/>
      <c r="E70" s="59"/>
      <c r="F70" s="59"/>
      <c r="G70" s="59"/>
      <c r="H70" s="59" t="s">
        <v>291</v>
      </c>
    </row>
    <row r="71" spans="1:8" outlineLevel="1">
      <c r="A71" s="7">
        <v>70</v>
      </c>
      <c r="C71" s="351"/>
      <c r="D71" s="59"/>
      <c r="E71" s="59"/>
      <c r="F71" s="59"/>
      <c r="G71" s="59"/>
      <c r="H71" s="59" t="s">
        <v>291</v>
      </c>
    </row>
    <row r="72" spans="1:8" outlineLevel="1">
      <c r="A72" s="7">
        <v>71</v>
      </c>
      <c r="C72" s="351"/>
      <c r="D72" s="59"/>
      <c r="E72" s="59"/>
      <c r="F72" s="59"/>
      <c r="G72" s="59"/>
      <c r="H72" s="59" t="s">
        <v>291</v>
      </c>
    </row>
    <row r="73" spans="1:8" outlineLevel="1">
      <c r="A73" s="7">
        <v>72</v>
      </c>
      <c r="C73" s="351"/>
      <c r="D73" s="59"/>
      <c r="E73" s="59"/>
      <c r="F73" s="59"/>
      <c r="G73" s="59"/>
      <c r="H73" s="59" t="s">
        <v>291</v>
      </c>
    </row>
    <row r="74" spans="1:8" outlineLevel="1">
      <c r="A74" s="7">
        <v>73</v>
      </c>
      <c r="C74" s="351"/>
      <c r="D74" s="59"/>
      <c r="E74" s="59"/>
      <c r="F74" s="59"/>
      <c r="G74" s="59"/>
      <c r="H74" s="59" t="s">
        <v>291</v>
      </c>
    </row>
    <row r="75" spans="1:8" outlineLevel="1">
      <c r="A75" s="7">
        <v>74</v>
      </c>
      <c r="C75" s="351"/>
      <c r="D75" s="59"/>
      <c r="E75" s="59"/>
      <c r="F75" s="59"/>
      <c r="G75" s="59"/>
      <c r="H75" s="59" t="s">
        <v>291</v>
      </c>
    </row>
    <row r="76" spans="1:8" outlineLevel="1">
      <c r="A76" s="7">
        <v>75</v>
      </c>
      <c r="C76" s="351"/>
      <c r="D76" s="59"/>
      <c r="E76" s="59"/>
      <c r="F76" s="59"/>
      <c r="G76" s="59"/>
      <c r="H76" s="59" t="s">
        <v>291</v>
      </c>
    </row>
    <row r="77" spans="1:8" outlineLevel="1">
      <c r="A77" s="7">
        <v>76</v>
      </c>
      <c r="C77" s="351"/>
      <c r="D77" s="59"/>
      <c r="E77" s="59"/>
      <c r="F77" s="59"/>
      <c r="G77" s="59"/>
      <c r="H77" s="59" t="s">
        <v>291</v>
      </c>
    </row>
    <row r="78" spans="1:8" outlineLevel="1">
      <c r="A78" s="7">
        <v>77</v>
      </c>
      <c r="C78" s="351"/>
      <c r="D78" s="59"/>
      <c r="E78" s="59"/>
      <c r="F78" s="59"/>
      <c r="G78" s="59"/>
      <c r="H78" s="59" t="s">
        <v>291</v>
      </c>
    </row>
    <row r="79" spans="1:8" outlineLevel="1">
      <c r="A79" s="7">
        <v>78</v>
      </c>
      <c r="C79" s="351"/>
      <c r="D79" s="59"/>
      <c r="E79" s="59"/>
      <c r="F79" s="59"/>
      <c r="G79" s="59"/>
      <c r="H79" s="59" t="s">
        <v>291</v>
      </c>
    </row>
    <row r="80" spans="1:8" outlineLevel="1">
      <c r="A80" s="7">
        <v>79</v>
      </c>
      <c r="C80" s="351"/>
      <c r="D80" s="59"/>
      <c r="E80" s="59"/>
      <c r="F80" s="59"/>
      <c r="G80" s="59"/>
      <c r="H80" s="59" t="s">
        <v>291</v>
      </c>
    </row>
    <row r="81" spans="1:8" outlineLevel="1">
      <c r="A81" s="7">
        <v>80</v>
      </c>
      <c r="C81" s="351"/>
      <c r="D81" s="59"/>
      <c r="E81" s="59"/>
      <c r="F81" s="59"/>
      <c r="G81" s="59"/>
      <c r="H81" s="59" t="s">
        <v>291</v>
      </c>
    </row>
    <row r="82" spans="1:8" outlineLevel="1">
      <c r="A82" s="7">
        <v>81</v>
      </c>
      <c r="C82" s="351"/>
      <c r="D82" s="59"/>
      <c r="E82" s="59"/>
      <c r="F82" s="59"/>
      <c r="G82" s="59"/>
      <c r="H82" s="59" t="s">
        <v>291</v>
      </c>
    </row>
    <row r="83" spans="1:8" outlineLevel="1">
      <c r="A83" s="7">
        <v>82</v>
      </c>
      <c r="C83" s="351"/>
      <c r="D83" s="59"/>
      <c r="E83" s="59"/>
      <c r="F83" s="59"/>
      <c r="G83" s="59"/>
      <c r="H83" s="59" t="s">
        <v>291</v>
      </c>
    </row>
    <row r="84" spans="1:8" outlineLevel="1">
      <c r="A84" s="7">
        <v>83</v>
      </c>
      <c r="C84" s="351"/>
      <c r="D84" s="59"/>
      <c r="E84" s="59"/>
      <c r="F84" s="59"/>
      <c r="G84" s="59"/>
      <c r="H84" s="59" t="s">
        <v>291</v>
      </c>
    </row>
    <row r="85" spans="1:8" outlineLevel="1">
      <c r="A85" s="7">
        <v>84</v>
      </c>
      <c r="C85" s="351"/>
      <c r="D85" s="59"/>
      <c r="E85" s="59"/>
      <c r="F85" s="59"/>
      <c r="G85" s="59"/>
      <c r="H85" s="59" t="s">
        <v>291</v>
      </c>
    </row>
    <row r="86" spans="1:8" outlineLevel="1">
      <c r="A86" s="7">
        <v>85</v>
      </c>
      <c r="C86" s="351"/>
      <c r="D86" s="59"/>
      <c r="E86" s="59"/>
      <c r="F86" s="59"/>
      <c r="G86" s="59"/>
      <c r="H86" s="59" t="s">
        <v>291</v>
      </c>
    </row>
    <row r="87" spans="1:8" outlineLevel="1">
      <c r="A87" s="7">
        <v>86</v>
      </c>
      <c r="C87" s="351"/>
      <c r="D87" s="59"/>
      <c r="E87" s="59"/>
      <c r="F87" s="59"/>
      <c r="G87" s="59"/>
      <c r="H87" s="59" t="s">
        <v>291</v>
      </c>
    </row>
    <row r="88" spans="1:8" outlineLevel="1">
      <c r="A88" s="7">
        <v>87</v>
      </c>
      <c r="C88" s="351"/>
      <c r="D88" s="59"/>
      <c r="E88" s="59"/>
      <c r="F88" s="59"/>
      <c r="G88" s="59"/>
      <c r="H88" s="59" t="s">
        <v>291</v>
      </c>
    </row>
    <row r="89" spans="1:8" outlineLevel="1">
      <c r="A89" s="7">
        <v>88</v>
      </c>
      <c r="C89" s="351"/>
      <c r="D89" s="59"/>
      <c r="E89" s="59"/>
      <c r="F89" s="59"/>
      <c r="G89" s="59"/>
      <c r="H89" s="59" t="s">
        <v>291</v>
      </c>
    </row>
    <row r="90" spans="1:8" outlineLevel="1">
      <c r="A90" s="7">
        <v>89</v>
      </c>
      <c r="C90" s="351"/>
      <c r="D90" s="59"/>
      <c r="E90" s="59"/>
      <c r="F90" s="59"/>
      <c r="G90" s="59"/>
      <c r="H90" s="59" t="s">
        <v>291</v>
      </c>
    </row>
    <row r="91" spans="1:8" outlineLevel="1">
      <c r="A91" s="7">
        <v>90</v>
      </c>
      <c r="C91" s="351"/>
      <c r="D91" s="59"/>
      <c r="E91" s="59"/>
      <c r="F91" s="59"/>
      <c r="G91" s="59"/>
      <c r="H91" s="59" t="s">
        <v>291</v>
      </c>
    </row>
    <row r="92" spans="1:8" outlineLevel="1">
      <c r="A92" s="7">
        <v>91</v>
      </c>
      <c r="C92" s="351"/>
      <c r="D92" s="59"/>
      <c r="E92" s="59"/>
      <c r="F92" s="59"/>
      <c r="G92" s="59"/>
      <c r="H92" s="59" t="s">
        <v>291</v>
      </c>
    </row>
    <row r="93" spans="1:8" outlineLevel="1">
      <c r="A93" s="7">
        <v>92</v>
      </c>
      <c r="C93" s="351"/>
      <c r="D93" s="59"/>
      <c r="E93" s="59"/>
      <c r="F93" s="59"/>
      <c r="G93" s="59"/>
      <c r="H93" s="59" t="s">
        <v>291</v>
      </c>
    </row>
    <row r="94" spans="1:8" outlineLevel="1">
      <c r="A94" s="7">
        <v>93</v>
      </c>
      <c r="C94" s="351"/>
      <c r="D94" s="59"/>
      <c r="E94" s="59"/>
      <c r="F94" s="59"/>
      <c r="G94" s="59"/>
      <c r="H94" s="59" t="s">
        <v>291</v>
      </c>
    </row>
    <row r="95" spans="1:8" outlineLevel="1">
      <c r="A95" s="7">
        <v>94</v>
      </c>
      <c r="C95" s="351"/>
      <c r="D95" s="59"/>
      <c r="E95" s="59"/>
      <c r="F95" s="59"/>
      <c r="G95" s="59"/>
      <c r="H95" s="59" t="s">
        <v>291</v>
      </c>
    </row>
    <row r="96" spans="1:8" outlineLevel="1">
      <c r="A96" s="7">
        <v>95</v>
      </c>
      <c r="C96" s="351"/>
      <c r="D96" s="59"/>
      <c r="E96" s="59"/>
      <c r="F96" s="59"/>
      <c r="G96" s="59"/>
      <c r="H96" s="59" t="s">
        <v>291</v>
      </c>
    </row>
    <row r="97" spans="1:8" outlineLevel="1">
      <c r="A97" s="7">
        <v>96</v>
      </c>
      <c r="C97" s="351"/>
      <c r="D97" s="59"/>
      <c r="E97" s="59"/>
      <c r="F97" s="59"/>
      <c r="G97" s="59"/>
      <c r="H97" s="59" t="s">
        <v>291</v>
      </c>
    </row>
    <row r="98" spans="1:8" outlineLevel="1">
      <c r="A98" s="7">
        <v>97</v>
      </c>
      <c r="C98" s="351"/>
      <c r="D98" s="59"/>
      <c r="E98" s="59"/>
      <c r="F98" s="59"/>
      <c r="G98" s="59"/>
      <c r="H98" s="59" t="s">
        <v>291</v>
      </c>
    </row>
    <row r="99" spans="1:8" outlineLevel="1">
      <c r="A99" s="7">
        <v>98</v>
      </c>
      <c r="C99" s="351"/>
      <c r="D99" s="59"/>
      <c r="E99" s="59"/>
      <c r="F99" s="59"/>
      <c r="G99" s="59"/>
      <c r="H99" s="59" t="s">
        <v>291</v>
      </c>
    </row>
    <row r="100" spans="1:8" outlineLevel="1">
      <c r="A100" s="7">
        <v>99</v>
      </c>
      <c r="C100" s="351"/>
      <c r="D100" s="59"/>
      <c r="E100" s="59"/>
      <c r="F100" s="59"/>
      <c r="G100" s="59"/>
      <c r="H100" s="59" t="s">
        <v>291</v>
      </c>
    </row>
    <row r="101" spans="1:8" outlineLevel="1">
      <c r="A101" s="7">
        <v>100</v>
      </c>
      <c r="C101" s="351"/>
      <c r="D101" s="59"/>
      <c r="E101" s="59"/>
      <c r="F101" s="59"/>
      <c r="G101" s="59"/>
      <c r="H101" s="59" t="s">
        <v>291</v>
      </c>
    </row>
    <row r="102" spans="1:8" outlineLevel="1">
      <c r="A102" s="7">
        <v>101</v>
      </c>
      <c r="C102" s="351"/>
      <c r="D102" s="59"/>
      <c r="E102" s="59"/>
      <c r="F102" s="59"/>
      <c r="G102" s="59"/>
      <c r="H102" s="59" t="s">
        <v>291</v>
      </c>
    </row>
    <row r="103" spans="1:8" outlineLevel="1">
      <c r="A103" s="7">
        <v>102</v>
      </c>
      <c r="C103" s="351"/>
      <c r="D103" s="59"/>
      <c r="E103" s="59"/>
      <c r="F103" s="59"/>
      <c r="G103" s="59"/>
      <c r="H103" s="59" t="s">
        <v>291</v>
      </c>
    </row>
    <row r="104" spans="1:8" outlineLevel="1">
      <c r="A104" s="7">
        <v>103</v>
      </c>
      <c r="C104" s="351"/>
      <c r="D104" s="59"/>
      <c r="E104" s="59"/>
      <c r="F104" s="59"/>
      <c r="G104" s="59"/>
      <c r="H104" s="59" t="s">
        <v>291</v>
      </c>
    </row>
    <row r="105" spans="1:8" outlineLevel="1">
      <c r="A105" s="7">
        <v>104</v>
      </c>
      <c r="C105" s="351"/>
      <c r="D105" s="59"/>
      <c r="E105" s="59"/>
      <c r="F105" s="59"/>
      <c r="G105" s="59"/>
      <c r="H105" s="59" t="s">
        <v>291</v>
      </c>
    </row>
    <row r="106" spans="1:8" outlineLevel="1">
      <c r="A106" s="7">
        <v>105</v>
      </c>
      <c r="C106" s="351"/>
      <c r="D106" s="59"/>
      <c r="E106" s="59"/>
      <c r="F106" s="59"/>
      <c r="G106" s="59"/>
      <c r="H106" s="59" t="s">
        <v>291</v>
      </c>
    </row>
    <row r="107" spans="1:8" outlineLevel="1">
      <c r="A107" s="7">
        <v>106</v>
      </c>
      <c r="C107" s="351"/>
      <c r="D107" s="59"/>
      <c r="E107" s="59"/>
      <c r="F107" s="59"/>
      <c r="G107" s="59"/>
      <c r="H107" s="59" t="s">
        <v>291</v>
      </c>
    </row>
    <row r="108" spans="1:8" outlineLevel="1">
      <c r="A108" s="7">
        <v>107</v>
      </c>
      <c r="C108" s="351"/>
      <c r="D108" s="59"/>
      <c r="E108" s="59"/>
      <c r="F108" s="59"/>
      <c r="G108" s="59"/>
      <c r="H108" s="59" t="s">
        <v>291</v>
      </c>
    </row>
    <row r="109" spans="1:8" outlineLevel="1">
      <c r="A109" s="7">
        <v>108</v>
      </c>
      <c r="C109" s="351"/>
      <c r="D109" s="59"/>
      <c r="E109" s="59"/>
      <c r="F109" s="59"/>
      <c r="G109" s="59"/>
      <c r="H109" s="59" t="s">
        <v>291</v>
      </c>
    </row>
    <row r="110" spans="1:8" outlineLevel="1">
      <c r="A110" s="7">
        <v>109</v>
      </c>
      <c r="C110" s="351"/>
      <c r="D110" s="59"/>
      <c r="E110" s="59"/>
      <c r="F110" s="59"/>
      <c r="G110" s="59"/>
      <c r="H110" s="59" t="s">
        <v>291</v>
      </c>
    </row>
    <row r="111" spans="1:8" outlineLevel="1">
      <c r="A111" s="7">
        <v>110</v>
      </c>
      <c r="C111" s="351"/>
      <c r="D111" s="59"/>
      <c r="E111" s="59"/>
      <c r="F111" s="59"/>
      <c r="G111" s="59"/>
      <c r="H111" s="59" t="s">
        <v>291</v>
      </c>
    </row>
    <row r="112" spans="1:8" outlineLevel="1">
      <c r="A112" s="7">
        <v>111</v>
      </c>
      <c r="C112" s="351"/>
      <c r="D112" s="59"/>
      <c r="E112" s="59"/>
      <c r="F112" s="59"/>
      <c r="G112" s="59"/>
      <c r="H112" s="59" t="s">
        <v>291</v>
      </c>
    </row>
    <row r="113" spans="1:8" outlineLevel="1">
      <c r="A113" s="7">
        <v>112</v>
      </c>
      <c r="C113" s="351"/>
      <c r="D113" s="59"/>
      <c r="E113" s="59"/>
      <c r="F113" s="59"/>
      <c r="G113" s="59"/>
      <c r="H113" s="59" t="s">
        <v>291</v>
      </c>
    </row>
    <row r="114" spans="1:8" outlineLevel="1">
      <c r="A114" s="7">
        <v>113</v>
      </c>
      <c r="C114" s="351"/>
      <c r="D114" s="59"/>
      <c r="E114" s="59"/>
      <c r="F114" s="59"/>
      <c r="G114" s="59"/>
      <c r="H114" s="59" t="s">
        <v>291</v>
      </c>
    </row>
    <row r="115" spans="1:8" outlineLevel="1">
      <c r="A115" s="7">
        <v>114</v>
      </c>
      <c r="C115" s="351"/>
      <c r="D115" s="59"/>
      <c r="E115" s="59"/>
      <c r="F115" s="59"/>
      <c r="G115" s="59"/>
      <c r="H115" s="59" t="s">
        <v>291</v>
      </c>
    </row>
    <row r="116" spans="1:8" outlineLevel="1">
      <c r="A116" s="7">
        <v>115</v>
      </c>
      <c r="C116" s="351"/>
      <c r="D116" s="59"/>
      <c r="E116" s="59"/>
      <c r="F116" s="59"/>
      <c r="G116" s="59"/>
      <c r="H116" s="59" t="s">
        <v>291</v>
      </c>
    </row>
    <row r="117" spans="1:8" outlineLevel="1">
      <c r="A117" s="7">
        <v>116</v>
      </c>
      <c r="C117" s="351"/>
      <c r="D117" s="59"/>
      <c r="E117" s="59"/>
      <c r="F117" s="59"/>
      <c r="G117" s="59"/>
      <c r="H117" s="59" t="s">
        <v>291</v>
      </c>
    </row>
    <row r="118" spans="1:8" outlineLevel="1">
      <c r="A118" s="7">
        <v>117</v>
      </c>
      <c r="C118" s="351"/>
      <c r="D118" s="59"/>
      <c r="E118" s="59"/>
      <c r="F118" s="59"/>
      <c r="G118" s="59"/>
      <c r="H118" s="59" t="s">
        <v>291</v>
      </c>
    </row>
    <row r="119" spans="1:8" outlineLevel="1">
      <c r="A119" s="7">
        <v>118</v>
      </c>
      <c r="C119" s="351"/>
      <c r="D119" s="59"/>
      <c r="E119" s="59"/>
      <c r="F119" s="59"/>
      <c r="G119" s="59"/>
      <c r="H119" s="59" t="s">
        <v>291</v>
      </c>
    </row>
    <row r="120" spans="1:8" outlineLevel="1">
      <c r="A120" s="7">
        <v>119</v>
      </c>
      <c r="C120" s="351"/>
      <c r="D120" s="59"/>
      <c r="E120" s="59"/>
      <c r="F120" s="59"/>
      <c r="G120" s="59"/>
      <c r="H120" s="59" t="s">
        <v>291</v>
      </c>
    </row>
    <row r="121" spans="1:8" outlineLevel="1">
      <c r="A121" s="7">
        <v>120</v>
      </c>
      <c r="C121" s="351"/>
      <c r="D121" s="59"/>
      <c r="E121" s="59"/>
      <c r="F121" s="59"/>
      <c r="G121" s="59"/>
      <c r="H121" s="59" t="s">
        <v>291</v>
      </c>
    </row>
    <row r="122" spans="1:8" outlineLevel="1">
      <c r="A122" s="7">
        <v>121</v>
      </c>
      <c r="C122" s="351"/>
      <c r="D122" s="59"/>
      <c r="E122" s="59"/>
      <c r="F122" s="59"/>
      <c r="G122" s="59"/>
      <c r="H122" s="59" t="s">
        <v>291</v>
      </c>
    </row>
    <row r="123" spans="1:8" outlineLevel="1">
      <c r="A123" s="7">
        <v>122</v>
      </c>
      <c r="C123" s="351"/>
      <c r="D123" s="59"/>
      <c r="E123" s="59"/>
      <c r="F123" s="59"/>
      <c r="G123" s="59"/>
      <c r="H123" s="59" t="s">
        <v>291</v>
      </c>
    </row>
    <row r="124" spans="1:8" outlineLevel="1">
      <c r="A124" s="7">
        <v>123</v>
      </c>
      <c r="C124" s="351"/>
      <c r="D124" s="59"/>
      <c r="E124" s="59"/>
      <c r="F124" s="59"/>
      <c r="G124" s="59"/>
      <c r="H124" s="59" t="s">
        <v>291</v>
      </c>
    </row>
    <row r="125" spans="1:8" outlineLevel="1">
      <c r="A125" s="7">
        <v>124</v>
      </c>
      <c r="C125" s="351"/>
      <c r="D125" s="59"/>
      <c r="E125" s="59"/>
      <c r="F125" s="59"/>
      <c r="G125" s="59"/>
      <c r="H125" s="59" t="s">
        <v>291</v>
      </c>
    </row>
    <row r="126" spans="1:8" outlineLevel="1">
      <c r="A126" s="7">
        <v>125</v>
      </c>
      <c r="C126" s="351"/>
      <c r="D126" s="59"/>
      <c r="E126" s="59"/>
      <c r="F126" s="59"/>
      <c r="G126" s="59"/>
      <c r="H126" s="59" t="s">
        <v>291</v>
      </c>
    </row>
    <row r="127" spans="1:8" outlineLevel="1">
      <c r="A127" s="7">
        <v>126</v>
      </c>
      <c r="C127" s="351"/>
      <c r="D127" s="59"/>
      <c r="E127" s="59"/>
      <c r="F127" s="59"/>
      <c r="G127" s="59"/>
      <c r="H127" s="59" t="s">
        <v>291</v>
      </c>
    </row>
    <row r="128" spans="1:8" outlineLevel="1">
      <c r="A128" s="7">
        <v>127</v>
      </c>
      <c r="C128" s="351"/>
      <c r="D128" s="59"/>
      <c r="E128" s="59"/>
      <c r="F128" s="59"/>
      <c r="G128" s="59"/>
      <c r="H128" s="59" t="s">
        <v>291</v>
      </c>
    </row>
    <row r="129" spans="1:8" outlineLevel="1">
      <c r="A129" s="7">
        <v>128</v>
      </c>
      <c r="C129" s="351"/>
      <c r="D129" s="59"/>
      <c r="E129" s="59"/>
      <c r="F129" s="59"/>
      <c r="G129" s="59"/>
      <c r="H129" s="59" t="s">
        <v>291</v>
      </c>
    </row>
    <row r="130" spans="1:8" outlineLevel="1">
      <c r="A130" s="7">
        <v>129</v>
      </c>
      <c r="C130" s="351"/>
      <c r="D130" s="59"/>
      <c r="E130" s="59"/>
      <c r="F130" s="59"/>
      <c r="G130" s="59"/>
      <c r="H130" s="59" t="s">
        <v>291</v>
      </c>
    </row>
    <row r="131" spans="1:8" outlineLevel="1">
      <c r="A131" s="7">
        <v>130</v>
      </c>
      <c r="C131" s="351"/>
      <c r="D131" s="59"/>
      <c r="E131" s="59"/>
      <c r="F131" s="59"/>
      <c r="G131" s="59"/>
      <c r="H131" s="59" t="s">
        <v>291</v>
      </c>
    </row>
    <row r="132" spans="1:8" outlineLevel="1">
      <c r="A132" s="7">
        <v>131</v>
      </c>
      <c r="C132" s="351"/>
      <c r="D132" s="59"/>
      <c r="E132" s="59"/>
      <c r="F132" s="59"/>
      <c r="G132" s="59"/>
      <c r="H132" s="59" t="s">
        <v>291</v>
      </c>
    </row>
    <row r="133" spans="1:8" outlineLevel="1">
      <c r="A133" s="7">
        <v>132</v>
      </c>
      <c r="C133" s="351"/>
      <c r="D133" s="59"/>
      <c r="E133" s="59"/>
      <c r="F133" s="59"/>
      <c r="G133" s="59"/>
      <c r="H133" s="59" t="s">
        <v>291</v>
      </c>
    </row>
    <row r="134" spans="1:8" outlineLevel="1">
      <c r="A134" s="7">
        <v>133</v>
      </c>
      <c r="C134" s="351"/>
      <c r="D134" s="59"/>
      <c r="E134" s="59"/>
      <c r="F134" s="59"/>
      <c r="G134" s="59"/>
      <c r="H134" s="59" t="s">
        <v>291</v>
      </c>
    </row>
    <row r="135" spans="1:8" outlineLevel="1">
      <c r="A135" s="7">
        <v>134</v>
      </c>
      <c r="C135" s="351"/>
      <c r="D135" s="59"/>
      <c r="E135" s="59"/>
      <c r="F135" s="59"/>
      <c r="G135" s="59"/>
      <c r="H135" s="59" t="s">
        <v>291</v>
      </c>
    </row>
    <row r="136" spans="1:8" outlineLevel="1">
      <c r="A136" s="7">
        <v>135</v>
      </c>
      <c r="C136" s="351"/>
      <c r="D136" s="59"/>
      <c r="E136" s="59"/>
      <c r="F136" s="59"/>
      <c r="G136" s="59"/>
      <c r="H136" s="59" t="s">
        <v>291</v>
      </c>
    </row>
    <row r="137" spans="1:8" outlineLevel="1">
      <c r="A137" s="7">
        <v>136</v>
      </c>
      <c r="C137" s="351"/>
      <c r="D137" s="59"/>
      <c r="E137" s="59"/>
      <c r="F137" s="59"/>
      <c r="G137" s="59"/>
      <c r="H137" s="59" t="s">
        <v>291</v>
      </c>
    </row>
    <row r="138" spans="1:8">
      <c r="A138" s="63"/>
      <c r="B138" s="55" t="s">
        <v>177</v>
      </c>
      <c r="C138" s="63"/>
      <c r="D138" s="61">
        <f>SUM(D2:D137)</f>
        <v>200000</v>
      </c>
      <c r="E138" s="61"/>
      <c r="F138" s="61"/>
      <c r="G138" s="61"/>
      <c r="H138" s="61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363C99-C3CA-444E-AB5B-69117E0C0A24}">
          <x14:formula1>
            <xm:f>Listas!$P$2:$P$32</xm:f>
          </x14:formula1>
          <xm:sqref>E2:E137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N25"/>
  <sheetViews>
    <sheetView showGridLines="0" zoomScale="36" zoomScaleNormal="85" workbookViewId="0">
      <pane xSplit="4" ySplit="1" topLeftCell="K7" activePane="bottomRight" state="frozen"/>
      <selection pane="topRight"/>
      <selection pane="bottomLeft"/>
      <selection pane="bottomRight" activeCell="S44" sqref="S44"/>
    </sheetView>
  </sheetViews>
  <sheetFormatPr baseColWidth="10" defaultColWidth="8.7265625" defaultRowHeight="14.5" outlineLevelRow="1" outlineLevelCol="2"/>
  <cols>
    <col min="1" max="1" width="6" style="7" customWidth="1"/>
    <col min="2" max="2" width="23.26953125" customWidth="1"/>
    <col min="3" max="3" width="9" style="7" customWidth="1"/>
    <col min="4" max="4" width="24.7265625" style="7" customWidth="1"/>
    <col min="5" max="5" width="11.1796875" style="7" customWidth="1" outlineLevel="1"/>
    <col min="6" max="6" width="12.6328125" style="7" customWidth="1" outlineLevel="2"/>
    <col min="7" max="7" width="11.6328125" style="7" customWidth="1" outlineLevel="2"/>
    <col min="8" max="8" width="10.7265625" style="7" customWidth="1" outlineLevel="2"/>
    <col min="9" max="9" width="9.81640625" style="7" customWidth="1" outlineLevel="2"/>
    <col min="10" max="10" width="11.453125" style="7" customWidth="1" outlineLevel="2"/>
    <col min="11" max="11" width="13" style="7" customWidth="1" outlineLevel="2"/>
    <col min="12" max="12" width="13.7265625" style="7" customWidth="1" outlineLevel="2"/>
    <col min="13" max="13" width="13.36328125" style="7" customWidth="1" outlineLevel="2"/>
    <col min="14" max="14" width="13.1796875" style="7" customWidth="1" outlineLevel="2"/>
    <col min="15" max="15" width="11.90625" style="7" customWidth="1" outlineLevel="2"/>
    <col min="16" max="16" width="16.08984375" style="7" customWidth="1" outlineLevel="2"/>
    <col min="17" max="17" width="17" style="7" customWidth="1" outlineLevel="2"/>
    <col min="18" max="18" width="11.08984375" style="7" customWidth="1" outlineLevel="2"/>
    <col min="19" max="19" width="10.453125" style="7" customWidth="1" outlineLevel="1"/>
    <col min="20" max="20" width="12.36328125" style="7" customWidth="1" outlineLevel="1"/>
    <col min="21" max="21" width="11" style="7" customWidth="1"/>
    <col min="22" max="22" width="12.7265625" style="7" bestFit="1" customWidth="1"/>
    <col min="23" max="23" width="11.7265625" style="7" bestFit="1" customWidth="1"/>
    <col min="24" max="24" width="11" style="7" bestFit="1" customWidth="1"/>
    <col min="25" max="26" width="10.453125" style="7" bestFit="1" customWidth="1"/>
    <col min="27" max="27" width="12.90625" style="7" customWidth="1"/>
    <col min="28" max="28" width="23.81640625" style="7" bestFit="1" customWidth="1"/>
    <col min="29" max="30" width="10.453125" style="7" customWidth="1"/>
    <col min="31" max="31" width="10.453125" style="7" bestFit="1" customWidth="1"/>
    <col min="32" max="32" width="14" style="7" customWidth="1"/>
    <col min="33" max="33" width="14.08984375" style="7" customWidth="1"/>
    <col min="34" max="34" width="12.08984375" style="7" customWidth="1"/>
    <col min="35" max="35" width="13" style="7" customWidth="1"/>
    <col min="36" max="36" width="15" style="7" customWidth="1"/>
    <col min="37" max="37" width="14" style="7" customWidth="1"/>
    <col min="38" max="38" width="11" style="7" customWidth="1"/>
    <col min="39" max="39" width="13.1796875" style="7" bestFit="1" customWidth="1"/>
    <col min="40" max="40" width="21.54296875" style="7" customWidth="1"/>
  </cols>
  <sheetData>
    <row r="1" spans="1:40" ht="40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65" t="s">
        <v>10</v>
      </c>
      <c r="L1" s="365" t="s">
        <v>11</v>
      </c>
      <c r="M1" s="365" t="s">
        <v>12</v>
      </c>
      <c r="N1" s="365" t="s">
        <v>13</v>
      </c>
      <c r="O1" s="365" t="s">
        <v>14</v>
      </c>
      <c r="P1" s="365" t="s">
        <v>15</v>
      </c>
      <c r="Q1" s="365" t="s">
        <v>16</v>
      </c>
      <c r="R1" s="365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1316</v>
      </c>
      <c r="AD1" s="39" t="s">
        <v>1317</v>
      </c>
      <c r="AE1" s="39" t="s">
        <v>28</v>
      </c>
      <c r="AF1" s="39" t="s">
        <v>30</v>
      </c>
      <c r="AG1" s="39" t="s">
        <v>1318</v>
      </c>
      <c r="AH1" s="39" t="s">
        <v>29</v>
      </c>
      <c r="AI1" s="39" t="s">
        <v>31</v>
      </c>
      <c r="AJ1" s="39" t="s">
        <v>32</v>
      </c>
      <c r="AK1" s="39" t="s">
        <v>33</v>
      </c>
      <c r="AL1" s="39" t="s">
        <v>34</v>
      </c>
      <c r="AM1" s="39" t="s">
        <v>35</v>
      </c>
      <c r="AN1" s="39" t="s">
        <v>36</v>
      </c>
    </row>
    <row r="2" spans="1:40" s="154" customFormat="1" ht="32.5" hidden="1" customHeight="1" outlineLevel="1">
      <c r="A2" s="49" t="s">
        <v>37</v>
      </c>
      <c r="B2" s="359" t="s">
        <v>38</v>
      </c>
      <c r="C2" s="49" t="s">
        <v>39</v>
      </c>
      <c r="D2" s="49" t="s">
        <v>40</v>
      </c>
      <c r="E2" s="49" t="s">
        <v>58</v>
      </c>
      <c r="F2" s="49" t="s">
        <v>58</v>
      </c>
      <c r="G2" s="49" t="s">
        <v>58</v>
      </c>
      <c r="H2" s="49" t="s">
        <v>58</v>
      </c>
      <c r="I2" s="49" t="s">
        <v>58</v>
      </c>
      <c r="J2" s="49" t="s">
        <v>58</v>
      </c>
      <c r="K2" s="369" t="str">
        <f t="shared" ref="K2:K19" si="0">COUNTIF(L2:R2,"*OK*") &amp; " de 7 ; " &amp; ROUND(COUNTIF(L2:R2,"*OK*")/7*100,0) &amp; "%"</f>
        <v>7 de 7 ; 100%</v>
      </c>
      <c r="L2" s="366" t="s">
        <v>110</v>
      </c>
      <c r="M2" s="366" t="s">
        <v>110</v>
      </c>
      <c r="N2" s="366" t="s">
        <v>110</v>
      </c>
      <c r="O2" s="366" t="s">
        <v>110</v>
      </c>
      <c r="P2" s="366" t="s">
        <v>110</v>
      </c>
      <c r="Q2" s="366" t="s">
        <v>110</v>
      </c>
      <c r="R2" s="366" t="s">
        <v>110</v>
      </c>
      <c r="S2" s="49" t="s">
        <v>42</v>
      </c>
      <c r="T2" s="49" t="s">
        <v>42</v>
      </c>
      <c r="U2" s="49" t="s">
        <v>58</v>
      </c>
      <c r="V2" s="49" t="s">
        <v>42</v>
      </c>
      <c r="W2" s="49" t="s">
        <v>43</v>
      </c>
      <c r="X2" s="49" t="s">
        <v>42</v>
      </c>
      <c r="Y2" s="49" t="s">
        <v>42</v>
      </c>
      <c r="Z2" s="49" t="s">
        <v>42</v>
      </c>
      <c r="AA2" s="49" t="s">
        <v>43</v>
      </c>
      <c r="AB2" s="49" t="s">
        <v>43</v>
      </c>
      <c r="AC2" s="49" t="s">
        <v>42</v>
      </c>
      <c r="AD2" s="49" t="s">
        <v>42</v>
      </c>
      <c r="AE2" s="49" t="s">
        <v>42</v>
      </c>
      <c r="AF2" s="49" t="s">
        <v>43</v>
      </c>
      <c r="AG2" s="392">
        <v>46177</v>
      </c>
      <c r="AH2" s="49" t="s">
        <v>42</v>
      </c>
      <c r="AI2" s="69">
        <f>IFERROR(HDR_Matriz!BI2, "Pendiente datos")</f>
        <v>0</v>
      </c>
      <c r="AJ2" s="69">
        <f t="shared" ref="AJ2:AJ9" si="1">IFERROR((COUNTIF(S2:AH2, "Aprobado")) / (12 - COUNTIF(S2:AH2, "N/A")), "Pendiente datos")</f>
        <v>0.5</v>
      </c>
      <c r="AK2" s="49" t="s">
        <v>44</v>
      </c>
      <c r="AL2" s="360" t="str">
        <f t="shared" ref="AL2:AL19" si="2">IFERROR(IF(AK2="Acreditado", "Verde", IF(AK2="En Proceso", "Amarillo", "Rojo")), "Pendiente datos")</f>
        <v>Amarillo</v>
      </c>
      <c r="AM2" s="69">
        <f t="shared" ref="AM2:AM19" si="3">IFERROR(AVERAGE(AJ2, AI2), "Pendiente datos")</f>
        <v>0.25</v>
      </c>
      <c r="AN2" s="49" t="s">
        <v>45</v>
      </c>
    </row>
    <row r="3" spans="1:40" s="154" customFormat="1" ht="21" hidden="1" outlineLevel="1">
      <c r="A3" s="49" t="s">
        <v>46</v>
      </c>
      <c r="B3" s="359" t="s">
        <v>47</v>
      </c>
      <c r="C3" s="49" t="s">
        <v>48</v>
      </c>
      <c r="D3" s="49" t="s">
        <v>49</v>
      </c>
      <c r="E3" s="49" t="s">
        <v>58</v>
      </c>
      <c r="F3" s="49" t="s">
        <v>58</v>
      </c>
      <c r="G3" s="49" t="s">
        <v>58</v>
      </c>
      <c r="H3" s="49" t="s">
        <v>58</v>
      </c>
      <c r="I3" s="49" t="s">
        <v>58</v>
      </c>
      <c r="J3" s="49" t="s">
        <v>58</v>
      </c>
      <c r="K3" s="369" t="str">
        <f t="shared" si="0"/>
        <v>7 de 7 ; 100%</v>
      </c>
      <c r="L3" s="366" t="s">
        <v>110</v>
      </c>
      <c r="M3" s="366" t="s">
        <v>110</v>
      </c>
      <c r="N3" s="366" t="s">
        <v>110</v>
      </c>
      <c r="O3" s="366" t="s">
        <v>110</v>
      </c>
      <c r="P3" s="366" t="s">
        <v>110</v>
      </c>
      <c r="Q3" s="366" t="s">
        <v>110</v>
      </c>
      <c r="R3" s="366" t="s">
        <v>110</v>
      </c>
      <c r="S3" s="49" t="s">
        <v>42</v>
      </c>
      <c r="T3" s="49" t="s">
        <v>42</v>
      </c>
      <c r="U3" s="49" t="s">
        <v>58</v>
      </c>
      <c r="V3" s="49" t="s">
        <v>42</v>
      </c>
      <c r="W3" s="49" t="s">
        <v>43</v>
      </c>
      <c r="X3" s="49" t="s">
        <v>42</v>
      </c>
      <c r="Y3" s="49" t="s">
        <v>42</v>
      </c>
      <c r="Z3" s="49" t="s">
        <v>42</v>
      </c>
      <c r="AA3" s="49" t="s">
        <v>43</v>
      </c>
      <c r="AB3" s="49" t="s">
        <v>43</v>
      </c>
      <c r="AC3" s="49" t="s">
        <v>42</v>
      </c>
      <c r="AD3" s="49" t="s">
        <v>42</v>
      </c>
      <c r="AE3" s="49" t="s">
        <v>42</v>
      </c>
      <c r="AF3" s="49" t="s">
        <v>43</v>
      </c>
      <c r="AG3" s="392">
        <v>46184</v>
      </c>
      <c r="AH3" s="49" t="s">
        <v>42</v>
      </c>
      <c r="AI3" s="69">
        <f>IFERROR(HDR_Matriz!BI3, "Pendiente datos")</f>
        <v>0</v>
      </c>
      <c r="AJ3" s="69">
        <f t="shared" si="1"/>
        <v>0.5</v>
      </c>
      <c r="AK3" s="49" t="s">
        <v>44</v>
      </c>
      <c r="AL3" s="360" t="str">
        <f t="shared" si="2"/>
        <v>Amarillo</v>
      </c>
      <c r="AM3" s="69">
        <f t="shared" si="3"/>
        <v>0.25</v>
      </c>
      <c r="AN3" s="49" t="s">
        <v>45</v>
      </c>
    </row>
    <row r="4" spans="1:40" s="154" customFormat="1" ht="21" hidden="1" outlineLevel="1">
      <c r="A4" s="49" t="s">
        <v>50</v>
      </c>
      <c r="B4" s="359" t="s">
        <v>51</v>
      </c>
      <c r="C4" s="49" t="s">
        <v>52</v>
      </c>
      <c r="D4" s="49" t="s">
        <v>53</v>
      </c>
      <c r="E4" s="49" t="s">
        <v>58</v>
      </c>
      <c r="F4" s="49" t="s">
        <v>58</v>
      </c>
      <c r="G4" s="49" t="s">
        <v>58</v>
      </c>
      <c r="H4" s="49" t="s">
        <v>58</v>
      </c>
      <c r="I4" s="49" t="s">
        <v>58</v>
      </c>
      <c r="J4" s="49" t="s">
        <v>58</v>
      </c>
      <c r="K4" s="361" t="str">
        <f t="shared" si="0"/>
        <v>7 de 7 ; 100%</v>
      </c>
      <c r="L4" s="366" t="s">
        <v>110</v>
      </c>
      <c r="M4" s="366" t="s">
        <v>110</v>
      </c>
      <c r="N4" s="366" t="s">
        <v>110</v>
      </c>
      <c r="O4" s="366" t="s">
        <v>110</v>
      </c>
      <c r="P4" s="366" t="s">
        <v>110</v>
      </c>
      <c r="Q4" s="366" t="s">
        <v>110</v>
      </c>
      <c r="R4" s="366" t="s">
        <v>110</v>
      </c>
      <c r="S4" s="49" t="s">
        <v>42</v>
      </c>
      <c r="T4" s="49" t="s">
        <v>42</v>
      </c>
      <c r="U4" s="49" t="s">
        <v>58</v>
      </c>
      <c r="V4" s="49" t="s">
        <v>42</v>
      </c>
      <c r="W4" s="49" t="s">
        <v>42</v>
      </c>
      <c r="X4" s="49" t="s">
        <v>42</v>
      </c>
      <c r="Y4" s="49" t="s">
        <v>42</v>
      </c>
      <c r="Z4" s="49" t="s">
        <v>42</v>
      </c>
      <c r="AA4" s="49" t="s">
        <v>43</v>
      </c>
      <c r="AB4" s="393">
        <v>46181</v>
      </c>
      <c r="AC4" s="49" t="s">
        <v>42</v>
      </c>
      <c r="AD4" s="49" t="s">
        <v>42</v>
      </c>
      <c r="AE4" s="49" t="s">
        <v>42</v>
      </c>
      <c r="AF4" s="49" t="s">
        <v>43</v>
      </c>
      <c r="AG4" s="49" t="s">
        <v>42</v>
      </c>
      <c r="AH4" s="49" t="s">
        <v>42</v>
      </c>
      <c r="AI4" s="69">
        <f>IFERROR(HDR_Matriz!BI4, "Pendiente datos")</f>
        <v>0</v>
      </c>
      <c r="AJ4" s="69" t="str">
        <f t="shared" si="1"/>
        <v>Pendiente datos</v>
      </c>
      <c r="AK4" s="49" t="s">
        <v>44</v>
      </c>
      <c r="AL4" s="360" t="str">
        <f t="shared" si="2"/>
        <v>Amarillo</v>
      </c>
      <c r="AM4" s="69">
        <f t="shared" si="3"/>
        <v>0</v>
      </c>
      <c r="AN4" s="49" t="s">
        <v>45</v>
      </c>
    </row>
    <row r="5" spans="1:40" s="154" customFormat="1" ht="28" hidden="1" customHeight="1" outlineLevel="1">
      <c r="A5" s="361" t="s">
        <v>54</v>
      </c>
      <c r="B5" s="362" t="s">
        <v>55</v>
      </c>
      <c r="C5" s="361" t="s">
        <v>56</v>
      </c>
      <c r="D5" s="361" t="s">
        <v>57</v>
      </c>
      <c r="E5" s="49" t="s">
        <v>58</v>
      </c>
      <c r="F5" s="49" t="s">
        <v>58</v>
      </c>
      <c r="G5" s="49" t="s">
        <v>58</v>
      </c>
      <c r="H5" s="49" t="s">
        <v>58</v>
      </c>
      <c r="I5" s="49" t="s">
        <v>58</v>
      </c>
      <c r="J5" s="49" t="s">
        <v>58</v>
      </c>
      <c r="K5" s="361" t="str">
        <f t="shared" si="0"/>
        <v>7 de 7 ; 100%</v>
      </c>
      <c r="L5" s="366" t="s">
        <v>110</v>
      </c>
      <c r="M5" s="366" t="s">
        <v>110</v>
      </c>
      <c r="N5" s="366" t="s">
        <v>110</v>
      </c>
      <c r="O5" s="366" t="s">
        <v>110</v>
      </c>
      <c r="P5" s="366" t="s">
        <v>110</v>
      </c>
      <c r="Q5" s="366" t="s">
        <v>110</v>
      </c>
      <c r="R5" s="366" t="s">
        <v>110</v>
      </c>
      <c r="S5" s="49" t="s">
        <v>58</v>
      </c>
      <c r="T5" s="376" t="s">
        <v>44</v>
      </c>
      <c r="U5" s="49" t="s">
        <v>43</v>
      </c>
      <c r="V5" s="49" t="s">
        <v>43</v>
      </c>
      <c r="W5" s="49" t="s">
        <v>43</v>
      </c>
      <c r="X5" s="49" t="s">
        <v>43</v>
      </c>
      <c r="Y5" s="49" t="s">
        <v>43</v>
      </c>
      <c r="Z5" s="49" t="s">
        <v>43</v>
      </c>
      <c r="AA5" s="49" t="s">
        <v>43</v>
      </c>
      <c r="AB5" s="393">
        <v>46181</v>
      </c>
      <c r="AC5" s="392">
        <v>46178</v>
      </c>
      <c r="AD5" s="49" t="s">
        <v>42</v>
      </c>
      <c r="AE5" s="49" t="s">
        <v>43</v>
      </c>
      <c r="AF5" s="49" t="s">
        <v>43</v>
      </c>
      <c r="AG5" s="392">
        <v>46182</v>
      </c>
      <c r="AH5" s="49" t="s">
        <v>42</v>
      </c>
      <c r="AI5" s="69">
        <f>IFERROR(HDR_Matriz!BI5, "Pendiente datos")</f>
        <v>0</v>
      </c>
      <c r="AJ5" s="69">
        <f t="shared" si="1"/>
        <v>0.1</v>
      </c>
      <c r="AK5" s="49" t="s">
        <v>44</v>
      </c>
      <c r="AL5" s="360" t="str">
        <f t="shared" si="2"/>
        <v>Amarillo</v>
      </c>
      <c r="AM5" s="69">
        <f t="shared" si="3"/>
        <v>0.05</v>
      </c>
      <c r="AN5" s="49" t="s">
        <v>45</v>
      </c>
    </row>
    <row r="6" spans="1:40" s="154" customFormat="1" ht="29.5" hidden="1" customHeight="1" outlineLevel="1">
      <c r="A6" s="49" t="s">
        <v>59</v>
      </c>
      <c r="B6" s="359" t="s">
        <v>60</v>
      </c>
      <c r="C6" s="49" t="s">
        <v>61</v>
      </c>
      <c r="D6" s="361" t="s">
        <v>62</v>
      </c>
      <c r="E6" s="49" t="s">
        <v>58</v>
      </c>
      <c r="F6" s="49" t="s">
        <v>58</v>
      </c>
      <c r="G6" s="49" t="s">
        <v>58</v>
      </c>
      <c r="H6" s="49" t="s">
        <v>58</v>
      </c>
      <c r="I6" s="49" t="s">
        <v>58</v>
      </c>
      <c r="J6" s="49" t="s">
        <v>58</v>
      </c>
      <c r="K6" s="361" t="str">
        <f t="shared" si="0"/>
        <v>7 de 7 ; 100%</v>
      </c>
      <c r="L6" s="366" t="s">
        <v>110</v>
      </c>
      <c r="M6" s="366" t="s">
        <v>110</v>
      </c>
      <c r="N6" s="366" t="s">
        <v>110</v>
      </c>
      <c r="O6" s="366" t="s">
        <v>110</v>
      </c>
      <c r="P6" s="366" t="s">
        <v>110</v>
      </c>
      <c r="Q6" s="366" t="s">
        <v>110</v>
      </c>
      <c r="R6" s="366" t="s">
        <v>110</v>
      </c>
      <c r="S6" s="49" t="s">
        <v>58</v>
      </c>
      <c r="T6" s="49" t="s">
        <v>43</v>
      </c>
      <c r="U6" s="49" t="s">
        <v>58</v>
      </c>
      <c r="V6" s="49" t="s">
        <v>43</v>
      </c>
      <c r="W6" s="49" t="s">
        <v>43</v>
      </c>
      <c r="X6" s="49" t="s">
        <v>43</v>
      </c>
      <c r="Y6" s="49" t="s">
        <v>43</v>
      </c>
      <c r="Z6" s="49" t="s">
        <v>43</v>
      </c>
      <c r="AA6" s="49" t="s">
        <v>43</v>
      </c>
      <c r="AB6" s="49" t="s">
        <v>42</v>
      </c>
      <c r="AC6" s="49" t="s">
        <v>42</v>
      </c>
      <c r="AD6" s="49" t="s">
        <v>42</v>
      </c>
      <c r="AE6" s="49" t="s">
        <v>42</v>
      </c>
      <c r="AF6" s="49" t="s">
        <v>43</v>
      </c>
      <c r="AG6" s="49" t="s">
        <v>42</v>
      </c>
      <c r="AH6" s="49" t="s">
        <v>42</v>
      </c>
      <c r="AI6" s="69">
        <f>IFERROR(HDR_Matriz!BI6, "Pendiente datos")</f>
        <v>0</v>
      </c>
      <c r="AJ6" s="69">
        <f t="shared" si="1"/>
        <v>0.33333333333333331</v>
      </c>
      <c r="AK6" s="49" t="s">
        <v>44</v>
      </c>
      <c r="AL6" s="360" t="str">
        <f t="shared" si="2"/>
        <v>Amarillo</v>
      </c>
      <c r="AM6" s="69">
        <f t="shared" si="3"/>
        <v>0.16666666666666666</v>
      </c>
      <c r="AN6" s="49" t="s">
        <v>45</v>
      </c>
    </row>
    <row r="7" spans="1:40" s="154" customFormat="1" ht="28" customHeight="1" collapsed="1">
      <c r="A7" s="400" t="s">
        <v>63</v>
      </c>
      <c r="B7" s="359" t="s">
        <v>64</v>
      </c>
      <c r="C7" s="49" t="s">
        <v>65</v>
      </c>
      <c r="D7" s="361" t="s">
        <v>66</v>
      </c>
      <c r="E7" s="49" t="s">
        <v>58</v>
      </c>
      <c r="F7" s="49" t="s">
        <v>58</v>
      </c>
      <c r="G7" s="49" t="s">
        <v>58</v>
      </c>
      <c r="H7" s="49" t="s">
        <v>58</v>
      </c>
      <c r="I7" s="49" t="s">
        <v>42</v>
      </c>
      <c r="J7" s="49" t="s">
        <v>58</v>
      </c>
      <c r="K7" s="49" t="s">
        <v>42</v>
      </c>
      <c r="L7" s="366" t="s">
        <v>110</v>
      </c>
      <c r="M7" s="366" t="s">
        <v>110</v>
      </c>
      <c r="N7" s="366" t="s">
        <v>110</v>
      </c>
      <c r="O7" s="366" t="s">
        <v>110</v>
      </c>
      <c r="P7" s="366" t="s">
        <v>110</v>
      </c>
      <c r="Q7" s="366" t="s">
        <v>110</v>
      </c>
      <c r="R7" s="366" t="s">
        <v>110</v>
      </c>
      <c r="S7" s="49" t="s">
        <v>58</v>
      </c>
      <c r="T7" s="49" t="s">
        <v>58</v>
      </c>
      <c r="U7" s="49" t="s">
        <v>58</v>
      </c>
      <c r="V7" s="49" t="s">
        <v>58</v>
      </c>
      <c r="W7" s="49" t="s">
        <v>58</v>
      </c>
      <c r="X7" s="49" t="s">
        <v>58</v>
      </c>
      <c r="Y7" s="49" t="s">
        <v>43</v>
      </c>
      <c r="Z7" s="49" t="s">
        <v>43</v>
      </c>
      <c r="AA7" s="49" t="s">
        <v>58</v>
      </c>
      <c r="AB7" s="49" t="s">
        <v>42</v>
      </c>
      <c r="AC7" s="49" t="s">
        <v>42</v>
      </c>
      <c r="AD7" s="49" t="s">
        <v>42</v>
      </c>
      <c r="AE7" s="49" t="s">
        <v>42</v>
      </c>
      <c r="AF7" s="49" t="s">
        <v>43</v>
      </c>
      <c r="AG7" s="49" t="s">
        <v>42</v>
      </c>
      <c r="AH7" s="49" t="s">
        <v>42</v>
      </c>
      <c r="AI7" s="69">
        <f>IFERROR(HDR_Matriz!BI7, "Pendiente datos")</f>
        <v>0</v>
      </c>
      <c r="AJ7" s="69">
        <f t="shared" si="1"/>
        <v>1.1666666666666667</v>
      </c>
      <c r="AK7" s="49" t="s">
        <v>44</v>
      </c>
      <c r="AL7" s="360" t="str">
        <f t="shared" si="2"/>
        <v>Amarillo</v>
      </c>
      <c r="AM7" s="69">
        <f t="shared" si="3"/>
        <v>0.58333333333333337</v>
      </c>
      <c r="AN7" s="49" t="s">
        <v>45</v>
      </c>
    </row>
    <row r="8" spans="1:40" s="154" customFormat="1" ht="29.5" customHeight="1">
      <c r="A8" s="400" t="s">
        <v>67</v>
      </c>
      <c r="B8" s="391" t="s">
        <v>1319</v>
      </c>
      <c r="C8" s="370" t="s">
        <v>74</v>
      </c>
      <c r="D8" s="370" t="s">
        <v>112</v>
      </c>
      <c r="E8" s="49" t="s">
        <v>58</v>
      </c>
      <c r="F8" s="49" t="s">
        <v>58</v>
      </c>
      <c r="G8" s="49" t="s">
        <v>58</v>
      </c>
      <c r="H8" s="49" t="s">
        <v>58</v>
      </c>
      <c r="I8" s="49" t="s">
        <v>42</v>
      </c>
      <c r="J8" s="49" t="s">
        <v>58</v>
      </c>
      <c r="K8" s="370" t="str">
        <f>COUNTIF(L8:R8,"*OK*") &amp; " de 7 ; " &amp; ROUND(COUNTIF(L8:R8,"*OK*")/7*100,0) &amp; "%"</f>
        <v>7 de 7 ; 100%</v>
      </c>
      <c r="L8" s="366" t="s">
        <v>110</v>
      </c>
      <c r="M8" s="366" t="s">
        <v>110</v>
      </c>
      <c r="N8" s="366" t="s">
        <v>110</v>
      </c>
      <c r="O8" s="366" t="s">
        <v>110</v>
      </c>
      <c r="P8" s="366" t="s">
        <v>110</v>
      </c>
      <c r="Q8" s="366" t="s">
        <v>110</v>
      </c>
      <c r="R8" s="366" t="s">
        <v>110</v>
      </c>
      <c r="S8" s="49" t="s">
        <v>43</v>
      </c>
      <c r="T8" s="49" t="s">
        <v>43</v>
      </c>
      <c r="U8" s="49" t="s">
        <v>43</v>
      </c>
      <c r="V8" s="49" t="s">
        <v>43</v>
      </c>
      <c r="W8" s="49" t="s">
        <v>58</v>
      </c>
      <c r="X8" s="49" t="s">
        <v>43</v>
      </c>
      <c r="Y8" s="49" t="s">
        <v>43</v>
      </c>
      <c r="Z8" s="49" t="s">
        <v>43</v>
      </c>
      <c r="AA8" s="49" t="s">
        <v>58</v>
      </c>
      <c r="AB8" s="392">
        <v>46178</v>
      </c>
      <c r="AC8" s="49" t="s">
        <v>42</v>
      </c>
      <c r="AD8" s="49" t="s">
        <v>42</v>
      </c>
      <c r="AE8" s="49" t="s">
        <v>42</v>
      </c>
      <c r="AF8" s="49" t="s">
        <v>43</v>
      </c>
      <c r="AG8" s="49" t="s">
        <v>42</v>
      </c>
      <c r="AH8" s="49" t="s">
        <v>42</v>
      </c>
      <c r="AI8" s="69">
        <f>IFERROR(HDR_Matriz!BI8, "Pendiente datos")</f>
        <v>0</v>
      </c>
      <c r="AJ8" s="69">
        <f t="shared" si="1"/>
        <v>0.2857142857142857</v>
      </c>
      <c r="AK8" s="49" t="s">
        <v>44</v>
      </c>
      <c r="AL8" s="360" t="str">
        <f t="shared" si="2"/>
        <v>Amarillo</v>
      </c>
      <c r="AM8" s="69">
        <f t="shared" si="3"/>
        <v>0.14285714285714285</v>
      </c>
      <c r="AN8" s="49" t="s">
        <v>45</v>
      </c>
    </row>
    <row r="9" spans="1:40" s="154" customFormat="1" ht="29.5" customHeight="1">
      <c r="A9" s="401" t="s">
        <v>72</v>
      </c>
      <c r="B9" s="402" t="s">
        <v>73</v>
      </c>
      <c r="C9" s="403" t="s">
        <v>74</v>
      </c>
      <c r="D9" s="403" t="s">
        <v>75</v>
      </c>
      <c r="E9" s="49" t="s">
        <v>58</v>
      </c>
      <c r="F9" s="49" t="s">
        <v>58</v>
      </c>
      <c r="G9" s="49" t="s">
        <v>58</v>
      </c>
      <c r="H9" s="49" t="s">
        <v>58</v>
      </c>
      <c r="I9" s="49" t="s">
        <v>42</v>
      </c>
      <c r="J9" s="49" t="s">
        <v>58</v>
      </c>
      <c r="K9" s="361" t="str">
        <f t="shared" si="0"/>
        <v>7 de 7 ; 100%</v>
      </c>
      <c r="L9" s="366" t="s">
        <v>110</v>
      </c>
      <c r="M9" s="366" t="s">
        <v>110</v>
      </c>
      <c r="N9" s="366" t="s">
        <v>110</v>
      </c>
      <c r="O9" s="366" t="s">
        <v>110</v>
      </c>
      <c r="P9" s="366" t="s">
        <v>110</v>
      </c>
      <c r="Q9" s="366" t="s">
        <v>110</v>
      </c>
      <c r="R9" s="366" t="s">
        <v>110</v>
      </c>
      <c r="S9" s="49" t="s">
        <v>58</v>
      </c>
      <c r="T9" s="49" t="s">
        <v>43</v>
      </c>
      <c r="U9" s="49" t="s">
        <v>58</v>
      </c>
      <c r="V9" s="49" t="s">
        <v>58</v>
      </c>
      <c r="W9" s="49" t="s">
        <v>58</v>
      </c>
      <c r="X9" s="49" t="s">
        <v>43</v>
      </c>
      <c r="Y9" s="49" t="s">
        <v>43</v>
      </c>
      <c r="Z9" s="49" t="s">
        <v>43</v>
      </c>
      <c r="AA9" s="49" t="s">
        <v>58</v>
      </c>
      <c r="AB9" s="392">
        <v>46177</v>
      </c>
      <c r="AC9" s="392">
        <v>46184</v>
      </c>
      <c r="AD9" s="49" t="s">
        <v>42</v>
      </c>
      <c r="AE9" s="49" t="s">
        <v>43</v>
      </c>
      <c r="AF9" s="49" t="s">
        <v>43</v>
      </c>
      <c r="AG9" s="49" t="s">
        <v>42</v>
      </c>
      <c r="AH9" s="49" t="s">
        <v>42</v>
      </c>
      <c r="AI9" s="69">
        <f>IFERROR(HDR_Matriz!BI9, "Pendiente datos")</f>
        <v>0</v>
      </c>
      <c r="AJ9" s="69">
        <f t="shared" si="1"/>
        <v>0.55555555555555558</v>
      </c>
      <c r="AK9" s="49" t="s">
        <v>44</v>
      </c>
      <c r="AL9" s="360" t="str">
        <f t="shared" si="2"/>
        <v>Amarillo</v>
      </c>
      <c r="AM9" s="69">
        <f t="shared" si="3"/>
        <v>0.27777777777777779</v>
      </c>
      <c r="AN9" s="49" t="s">
        <v>45</v>
      </c>
    </row>
    <row r="10" spans="1:40" s="154" customFormat="1" ht="29.5" customHeight="1">
      <c r="A10" s="400" t="s">
        <v>108</v>
      </c>
      <c r="B10" s="359" t="s">
        <v>73</v>
      </c>
      <c r="C10" s="49" t="s">
        <v>77</v>
      </c>
      <c r="D10" s="394" t="s">
        <v>109</v>
      </c>
      <c r="E10" s="49" t="s">
        <v>58</v>
      </c>
      <c r="F10" s="49" t="s">
        <v>58</v>
      </c>
      <c r="G10" s="49" t="s">
        <v>58</v>
      </c>
      <c r="H10" s="49" t="s">
        <v>58</v>
      </c>
      <c r="I10" s="49" t="s">
        <v>58</v>
      </c>
      <c r="J10" s="49" t="s">
        <v>58</v>
      </c>
      <c r="K10" s="370" t="s">
        <v>1301</v>
      </c>
      <c r="L10" s="366" t="s">
        <v>110</v>
      </c>
      <c r="M10" s="366" t="s">
        <v>110</v>
      </c>
      <c r="N10" s="366" t="s">
        <v>110</v>
      </c>
      <c r="O10" s="366" t="s">
        <v>110</v>
      </c>
      <c r="P10" s="366" t="s">
        <v>110</v>
      </c>
      <c r="Q10" s="366" t="s">
        <v>110</v>
      </c>
      <c r="R10" s="366" t="s">
        <v>110</v>
      </c>
      <c r="S10" s="376" t="s">
        <v>44</v>
      </c>
      <c r="T10" s="49" t="s">
        <v>43</v>
      </c>
      <c r="U10" s="49" t="s">
        <v>43</v>
      </c>
      <c r="V10" s="49" t="s">
        <v>43</v>
      </c>
      <c r="W10" s="49" t="s">
        <v>58</v>
      </c>
      <c r="X10" s="49" t="s">
        <v>43</v>
      </c>
      <c r="Y10" s="49" t="s">
        <v>43</v>
      </c>
      <c r="Z10" s="49" t="s">
        <v>43</v>
      </c>
      <c r="AA10" s="49" t="s">
        <v>58</v>
      </c>
      <c r="AB10" s="392">
        <v>46177</v>
      </c>
      <c r="AC10" s="49" t="s">
        <v>42</v>
      </c>
      <c r="AD10" s="49" t="s">
        <v>42</v>
      </c>
      <c r="AE10" s="49" t="s">
        <v>43</v>
      </c>
      <c r="AF10" s="49" t="s">
        <v>43</v>
      </c>
      <c r="AG10" s="49" t="s">
        <v>42</v>
      </c>
      <c r="AH10" s="49" t="s">
        <v>42</v>
      </c>
      <c r="AI10" s="69">
        <v>0</v>
      </c>
      <c r="AJ10" s="69">
        <v>0</v>
      </c>
      <c r="AK10" s="49" t="s">
        <v>44</v>
      </c>
      <c r="AL10" s="360" t="s">
        <v>793</v>
      </c>
      <c r="AM10" s="69">
        <v>0</v>
      </c>
      <c r="AN10" s="49" t="s">
        <v>45</v>
      </c>
    </row>
    <row r="11" spans="1:40" s="154" customFormat="1" ht="29.5" customHeight="1">
      <c r="A11" s="400" t="s">
        <v>79</v>
      </c>
      <c r="B11" s="359" t="s">
        <v>73</v>
      </c>
      <c r="C11" s="49" t="s">
        <v>80</v>
      </c>
      <c r="D11" s="361" t="s">
        <v>81</v>
      </c>
      <c r="E11" s="49" t="s">
        <v>58</v>
      </c>
      <c r="F11" s="49" t="s">
        <v>58</v>
      </c>
      <c r="G11" s="49" t="s">
        <v>58</v>
      </c>
      <c r="H11" s="49" t="s">
        <v>58</v>
      </c>
      <c r="I11" s="49" t="s">
        <v>42</v>
      </c>
      <c r="J11" s="49" t="s">
        <v>58</v>
      </c>
      <c r="K11" s="370" t="str">
        <f t="shared" si="0"/>
        <v>7 de 7 ; 100%</v>
      </c>
      <c r="L11" s="366" t="s">
        <v>110</v>
      </c>
      <c r="M11" s="366" t="s">
        <v>110</v>
      </c>
      <c r="N11" s="366" t="s">
        <v>110</v>
      </c>
      <c r="O11" s="366" t="s">
        <v>110</v>
      </c>
      <c r="P11" s="366" t="s">
        <v>110</v>
      </c>
      <c r="Q11" s="366" t="s">
        <v>110</v>
      </c>
      <c r="R11" s="366" t="s">
        <v>110</v>
      </c>
      <c r="S11" s="376" t="s">
        <v>44</v>
      </c>
      <c r="T11" s="49" t="s">
        <v>43</v>
      </c>
      <c r="U11" s="49" t="s">
        <v>43</v>
      </c>
      <c r="V11" s="49" t="s">
        <v>43</v>
      </c>
      <c r="W11" s="49" t="s">
        <v>58</v>
      </c>
      <c r="X11" s="49" t="s">
        <v>43</v>
      </c>
      <c r="Y11" s="49" t="s">
        <v>43</v>
      </c>
      <c r="Z11" s="49" t="s">
        <v>43</v>
      </c>
      <c r="AA11" s="49" t="s">
        <v>58</v>
      </c>
      <c r="AB11" s="392">
        <v>46178</v>
      </c>
      <c r="AC11" s="49" t="s">
        <v>42</v>
      </c>
      <c r="AD11" s="49" t="s">
        <v>42</v>
      </c>
      <c r="AE11" s="49" t="s">
        <v>42</v>
      </c>
      <c r="AF11" s="49" t="s">
        <v>43</v>
      </c>
      <c r="AG11" s="49" t="s">
        <v>42</v>
      </c>
      <c r="AH11" s="49" t="s">
        <v>42</v>
      </c>
      <c r="AI11" s="69">
        <f>IFERROR(HDR_Matriz!BI11, "Pendiente datos")</f>
        <v>0</v>
      </c>
      <c r="AJ11" s="69">
        <f t="shared" ref="AJ11:AJ19" si="4">IFERROR((COUNTIF(S11:AH11, "Aprobado")) / (12 - COUNTIF(S11:AH11, "N/A")), "Pendiente datos")</f>
        <v>0.2857142857142857</v>
      </c>
      <c r="AK11" s="49" t="s">
        <v>44</v>
      </c>
      <c r="AL11" s="360" t="str">
        <f t="shared" si="2"/>
        <v>Amarillo</v>
      </c>
      <c r="AM11" s="69">
        <f t="shared" si="3"/>
        <v>0.14285714285714285</v>
      </c>
      <c r="AN11" s="49" t="s">
        <v>45</v>
      </c>
    </row>
    <row r="12" spans="1:40" s="154" customFormat="1" ht="29.5" customHeight="1">
      <c r="A12" s="400" t="s">
        <v>82</v>
      </c>
      <c r="B12" s="359" t="s">
        <v>73</v>
      </c>
      <c r="C12" s="361" t="s">
        <v>83</v>
      </c>
      <c r="D12" s="361" t="s">
        <v>78</v>
      </c>
      <c r="E12" s="49" t="s">
        <v>58</v>
      </c>
      <c r="F12" s="49" t="s">
        <v>58</v>
      </c>
      <c r="G12" s="49" t="s">
        <v>58</v>
      </c>
      <c r="H12" s="49" t="s">
        <v>58</v>
      </c>
      <c r="I12" s="49" t="s">
        <v>42</v>
      </c>
      <c r="J12" s="49" t="s">
        <v>58</v>
      </c>
      <c r="K12" s="370" t="str">
        <f t="shared" si="0"/>
        <v>7 de 7 ; 100%</v>
      </c>
      <c r="L12" s="366" t="s">
        <v>110</v>
      </c>
      <c r="M12" s="366" t="s">
        <v>110</v>
      </c>
      <c r="N12" s="366" t="s">
        <v>110</v>
      </c>
      <c r="O12" s="366" t="s">
        <v>110</v>
      </c>
      <c r="P12" s="366" t="s">
        <v>110</v>
      </c>
      <c r="Q12" s="366" t="s">
        <v>110</v>
      </c>
      <c r="R12" s="366" t="s">
        <v>110</v>
      </c>
      <c r="S12" s="376" t="s">
        <v>44</v>
      </c>
      <c r="T12" s="49" t="s">
        <v>43</v>
      </c>
      <c r="U12" s="49" t="s">
        <v>43</v>
      </c>
      <c r="V12" s="49" t="s">
        <v>43</v>
      </c>
      <c r="W12" s="49" t="s">
        <v>58</v>
      </c>
      <c r="X12" s="49" t="s">
        <v>43</v>
      </c>
      <c r="Y12" s="49" t="s">
        <v>43</v>
      </c>
      <c r="Z12" s="49" t="s">
        <v>43</v>
      </c>
      <c r="AA12" s="49" t="s">
        <v>58</v>
      </c>
      <c r="AB12" s="392">
        <v>46178</v>
      </c>
      <c r="AC12" s="49" t="s">
        <v>42</v>
      </c>
      <c r="AD12" s="49" t="s">
        <v>42</v>
      </c>
      <c r="AE12" s="49" t="s">
        <v>42</v>
      </c>
      <c r="AF12" s="49" t="s">
        <v>43</v>
      </c>
      <c r="AG12" s="49" t="s">
        <v>42</v>
      </c>
      <c r="AH12" s="49" t="s">
        <v>42</v>
      </c>
      <c r="AI12" s="69">
        <f>IFERROR(HDR_Matriz!BI12, "Pendiente datos")</f>
        <v>0</v>
      </c>
      <c r="AJ12" s="69">
        <f t="shared" si="4"/>
        <v>0.2857142857142857</v>
      </c>
      <c r="AK12" s="49" t="s">
        <v>44</v>
      </c>
      <c r="AL12" s="360" t="str">
        <f t="shared" si="2"/>
        <v>Amarillo</v>
      </c>
      <c r="AM12" s="69">
        <f t="shared" si="3"/>
        <v>0.14285714285714285</v>
      </c>
      <c r="AN12" s="49" t="s">
        <v>45</v>
      </c>
    </row>
    <row r="13" spans="1:40" s="154" customFormat="1" ht="29.5" customHeight="1">
      <c r="A13" s="400" t="s">
        <v>85</v>
      </c>
      <c r="B13" s="359" t="s">
        <v>73</v>
      </c>
      <c r="C13" s="49" t="s">
        <v>86</v>
      </c>
      <c r="D13" s="361" t="s">
        <v>87</v>
      </c>
      <c r="E13" s="49" t="s">
        <v>58</v>
      </c>
      <c r="F13" s="49" t="s">
        <v>58</v>
      </c>
      <c r="G13" s="49" t="s">
        <v>58</v>
      </c>
      <c r="H13" s="49" t="s">
        <v>58</v>
      </c>
      <c r="I13" s="49" t="s">
        <v>42</v>
      </c>
      <c r="J13" s="49" t="s">
        <v>58</v>
      </c>
      <c r="K13" s="370" t="str">
        <f t="shared" si="0"/>
        <v>7 de 7 ; 100%</v>
      </c>
      <c r="L13" s="366" t="s">
        <v>110</v>
      </c>
      <c r="M13" s="366" t="s">
        <v>110</v>
      </c>
      <c r="N13" s="366" t="s">
        <v>110</v>
      </c>
      <c r="O13" s="366" t="s">
        <v>110</v>
      </c>
      <c r="P13" s="366" t="s">
        <v>110</v>
      </c>
      <c r="Q13" s="366" t="s">
        <v>110</v>
      </c>
      <c r="R13" s="366" t="s">
        <v>110</v>
      </c>
      <c r="S13" s="49" t="s">
        <v>58</v>
      </c>
      <c r="T13" s="49" t="s">
        <v>43</v>
      </c>
      <c r="U13" s="49" t="s">
        <v>58</v>
      </c>
      <c r="V13" s="49" t="s">
        <v>43</v>
      </c>
      <c r="W13" s="49" t="s">
        <v>58</v>
      </c>
      <c r="X13" s="49" t="s">
        <v>43</v>
      </c>
      <c r="Y13" s="49" t="s">
        <v>43</v>
      </c>
      <c r="Z13" s="49" t="s">
        <v>43</v>
      </c>
      <c r="AA13" s="49" t="s">
        <v>58</v>
      </c>
      <c r="AB13" s="392">
        <v>46177</v>
      </c>
      <c r="AC13" s="49" t="s">
        <v>42</v>
      </c>
      <c r="AD13" s="392">
        <v>46181</v>
      </c>
      <c r="AE13" s="49" t="s">
        <v>42</v>
      </c>
      <c r="AF13" s="49" t="s">
        <v>43</v>
      </c>
      <c r="AG13" s="49" t="s">
        <v>42</v>
      </c>
      <c r="AH13" s="49" t="s">
        <v>42</v>
      </c>
      <c r="AI13" s="69">
        <f>IFERROR(HDR_Matriz!BI13, "Pendiente datos")</f>
        <v>0</v>
      </c>
      <c r="AJ13" s="69">
        <f t="shared" si="4"/>
        <v>0.5</v>
      </c>
      <c r="AK13" s="49" t="s">
        <v>44</v>
      </c>
      <c r="AL13" s="360" t="str">
        <f t="shared" si="2"/>
        <v>Amarillo</v>
      </c>
      <c r="AM13" s="69">
        <f t="shared" si="3"/>
        <v>0.25</v>
      </c>
      <c r="AN13" s="49" t="s">
        <v>45</v>
      </c>
    </row>
    <row r="14" spans="1:40" s="154" customFormat="1" ht="29.5" customHeight="1">
      <c r="A14" s="400" t="s">
        <v>88</v>
      </c>
      <c r="B14" s="359" t="s">
        <v>73</v>
      </c>
      <c r="C14" s="49" t="s">
        <v>89</v>
      </c>
      <c r="D14" s="361" t="s">
        <v>90</v>
      </c>
      <c r="E14" s="49" t="s">
        <v>58</v>
      </c>
      <c r="F14" s="49" t="s">
        <v>58</v>
      </c>
      <c r="G14" s="49" t="s">
        <v>58</v>
      </c>
      <c r="H14" s="49" t="s">
        <v>58</v>
      </c>
      <c r="I14" s="49" t="s">
        <v>42</v>
      </c>
      <c r="J14" s="49" t="s">
        <v>58</v>
      </c>
      <c r="K14" s="370" t="str">
        <f t="shared" ref="K14" si="5">COUNTIF(L14:R14,"*OK*") &amp; " de 7 ; " &amp; ROUND(COUNTIF(L14:R14,"*OK*")/7*100,0) &amp; "%"</f>
        <v>7 de 7 ; 100%</v>
      </c>
      <c r="L14" s="366" t="s">
        <v>110</v>
      </c>
      <c r="M14" s="366" t="s">
        <v>110</v>
      </c>
      <c r="N14" s="366" t="s">
        <v>110</v>
      </c>
      <c r="O14" s="366" t="s">
        <v>110</v>
      </c>
      <c r="P14" s="366" t="s">
        <v>110</v>
      </c>
      <c r="Q14" s="366" t="s">
        <v>110</v>
      </c>
      <c r="R14" s="366" t="s">
        <v>110</v>
      </c>
      <c r="S14" s="49" t="s">
        <v>58</v>
      </c>
      <c r="T14" s="49" t="s">
        <v>43</v>
      </c>
      <c r="U14" s="49" t="s">
        <v>58</v>
      </c>
      <c r="V14" s="49" t="s">
        <v>43</v>
      </c>
      <c r="W14" s="49" t="s">
        <v>58</v>
      </c>
      <c r="X14" s="49" t="s">
        <v>43</v>
      </c>
      <c r="Y14" s="49" t="s">
        <v>43</v>
      </c>
      <c r="Z14" s="49" t="s">
        <v>43</v>
      </c>
      <c r="AA14" s="49" t="s">
        <v>58</v>
      </c>
      <c r="AB14" s="392">
        <v>46177</v>
      </c>
      <c r="AC14" s="49" t="s">
        <v>42</v>
      </c>
      <c r="AD14" s="392">
        <v>46181</v>
      </c>
      <c r="AE14" s="49" t="s">
        <v>43</v>
      </c>
      <c r="AF14" s="49" t="s">
        <v>43</v>
      </c>
      <c r="AG14" s="49" t="s">
        <v>42</v>
      </c>
      <c r="AH14" s="49" t="s">
        <v>42</v>
      </c>
      <c r="AI14" s="69">
        <f>IFERROR(HDR_Matriz!BI14, "Pendiente datos")</f>
        <v>0</v>
      </c>
      <c r="AJ14" s="69">
        <f t="shared" si="4"/>
        <v>0.44444444444444442</v>
      </c>
      <c r="AK14" s="49" t="s">
        <v>44</v>
      </c>
      <c r="AL14" s="360" t="str">
        <f t="shared" si="2"/>
        <v>Amarillo</v>
      </c>
      <c r="AM14" s="69">
        <f t="shared" si="3"/>
        <v>0.22222222222222221</v>
      </c>
      <c r="AN14" s="49" t="s">
        <v>45</v>
      </c>
    </row>
    <row r="15" spans="1:40" s="154" customFormat="1" ht="29.5" customHeight="1">
      <c r="A15" s="400" t="s">
        <v>91</v>
      </c>
      <c r="B15" s="359" t="s">
        <v>92</v>
      </c>
      <c r="C15" s="361" t="s">
        <v>93</v>
      </c>
      <c r="D15" s="361" t="s">
        <v>94</v>
      </c>
      <c r="E15" s="49" t="s">
        <v>58</v>
      </c>
      <c r="F15" s="49" t="s">
        <v>58</v>
      </c>
      <c r="G15" s="49" t="s">
        <v>58</v>
      </c>
      <c r="H15" s="49" t="s">
        <v>58</v>
      </c>
      <c r="I15" s="49" t="s">
        <v>42</v>
      </c>
      <c r="J15" s="49" t="s">
        <v>58</v>
      </c>
      <c r="K15" s="370" t="str">
        <f t="shared" si="0"/>
        <v>7 de 7 ; 100%</v>
      </c>
      <c r="L15" s="366" t="s">
        <v>110</v>
      </c>
      <c r="M15" s="366" t="s">
        <v>110</v>
      </c>
      <c r="N15" s="366" t="s">
        <v>110</v>
      </c>
      <c r="O15" s="366" t="s">
        <v>110</v>
      </c>
      <c r="P15" s="366" t="s">
        <v>110</v>
      </c>
      <c r="Q15" s="366" t="s">
        <v>110</v>
      </c>
      <c r="R15" s="366" t="s">
        <v>110</v>
      </c>
      <c r="S15" s="376" t="s">
        <v>44</v>
      </c>
      <c r="T15" s="49" t="s">
        <v>43</v>
      </c>
      <c r="U15" s="49" t="s">
        <v>43</v>
      </c>
      <c r="V15" s="49" t="s">
        <v>43</v>
      </c>
      <c r="W15" s="49" t="s">
        <v>58</v>
      </c>
      <c r="X15" s="49" t="s">
        <v>43</v>
      </c>
      <c r="Y15" s="49" t="s">
        <v>43</v>
      </c>
      <c r="Z15" s="49" t="s">
        <v>43</v>
      </c>
      <c r="AA15" s="49" t="s">
        <v>58</v>
      </c>
      <c r="AB15" s="392">
        <v>46178</v>
      </c>
      <c r="AC15" s="49" t="s">
        <v>42</v>
      </c>
      <c r="AD15" s="49" t="s">
        <v>42</v>
      </c>
      <c r="AE15" s="49" t="s">
        <v>42</v>
      </c>
      <c r="AF15" s="49" t="s">
        <v>43</v>
      </c>
      <c r="AG15" s="49" t="s">
        <v>42</v>
      </c>
      <c r="AH15" s="49" t="s">
        <v>42</v>
      </c>
      <c r="AI15" s="69">
        <f>IFERROR(HDR_Matriz!BI15, "Pendiente datos")</f>
        <v>0</v>
      </c>
      <c r="AJ15" s="69">
        <f t="shared" si="4"/>
        <v>0.2857142857142857</v>
      </c>
      <c r="AK15" s="49" t="s">
        <v>44</v>
      </c>
      <c r="AL15" s="360" t="str">
        <f t="shared" si="2"/>
        <v>Amarillo</v>
      </c>
      <c r="AM15" s="69">
        <f t="shared" si="3"/>
        <v>0.14285714285714285</v>
      </c>
      <c r="AN15" s="49" t="s">
        <v>45</v>
      </c>
    </row>
    <row r="16" spans="1:40" s="154" customFormat="1" ht="25.5" customHeight="1">
      <c r="A16" s="400" t="s">
        <v>95</v>
      </c>
      <c r="B16" s="391" t="s">
        <v>92</v>
      </c>
      <c r="C16" s="370" t="s">
        <v>96</v>
      </c>
      <c r="D16" s="370" t="s">
        <v>84</v>
      </c>
      <c r="E16" s="49" t="s">
        <v>58</v>
      </c>
      <c r="F16" s="49" t="s">
        <v>58</v>
      </c>
      <c r="G16" s="49" t="s">
        <v>58</v>
      </c>
      <c r="H16" s="49" t="s">
        <v>58</v>
      </c>
      <c r="I16" s="49" t="s">
        <v>42</v>
      </c>
      <c r="J16" s="49" t="s">
        <v>71</v>
      </c>
      <c r="K16" s="370" t="str">
        <f t="shared" ref="K16" si="6">COUNTIF(L16:R16,"*OK*") &amp; " de 7 ; " &amp; ROUND(COUNTIF(L16:R16,"*OK*")/7*100,0) &amp; "%"</f>
        <v>4 de 7 ; 57%</v>
      </c>
      <c r="L16" s="366" t="s">
        <v>110</v>
      </c>
      <c r="M16" s="366" t="s">
        <v>110</v>
      </c>
      <c r="N16" s="366" t="s">
        <v>387</v>
      </c>
      <c r="O16" s="366" t="s">
        <v>110</v>
      </c>
      <c r="P16" s="366" t="s">
        <v>387</v>
      </c>
      <c r="Q16" s="366" t="s">
        <v>110</v>
      </c>
      <c r="R16" s="366" t="s">
        <v>387</v>
      </c>
      <c r="S16" s="376" t="s">
        <v>44</v>
      </c>
      <c r="T16" s="49" t="s">
        <v>43</v>
      </c>
      <c r="U16" s="49" t="s">
        <v>43</v>
      </c>
      <c r="V16" s="49" t="s">
        <v>43</v>
      </c>
      <c r="W16" s="49" t="s">
        <v>58</v>
      </c>
      <c r="X16" s="49" t="s">
        <v>43</v>
      </c>
      <c r="Y16" s="49" t="s">
        <v>43</v>
      </c>
      <c r="Z16" s="49" t="s">
        <v>43</v>
      </c>
      <c r="AA16" s="49" t="s">
        <v>58</v>
      </c>
      <c r="AB16" s="392">
        <v>46178</v>
      </c>
      <c r="AC16" s="49" t="s">
        <v>42</v>
      </c>
      <c r="AD16" s="49" t="s">
        <v>42</v>
      </c>
      <c r="AE16" s="49" t="s">
        <v>42</v>
      </c>
      <c r="AF16" s="49" t="s">
        <v>43</v>
      </c>
      <c r="AG16" s="49" t="s">
        <v>42</v>
      </c>
      <c r="AH16" s="49" t="s">
        <v>42</v>
      </c>
      <c r="AI16" s="69">
        <f>IFERROR(HDR_Matriz!BI9, "Pendiente datos")</f>
        <v>0</v>
      </c>
      <c r="AJ16" s="69">
        <f t="shared" si="4"/>
        <v>0.2857142857142857</v>
      </c>
      <c r="AK16" s="49" t="s">
        <v>44</v>
      </c>
      <c r="AL16" s="360" t="str">
        <f>IFERROR(IF(AK16="Acreditado", "Verde", IF(AK16="En Proceso", "Amarillo", "Rojo")), "Pendiente datos")</f>
        <v>Amarillo</v>
      </c>
      <c r="AM16" s="69">
        <f>IFERROR(AVERAGE(AJ16, AI16), "Pendiente datos")</f>
        <v>0.14285714285714285</v>
      </c>
      <c r="AN16" s="49" t="s">
        <v>45</v>
      </c>
    </row>
    <row r="17" spans="1:40" s="154" customFormat="1" ht="24.5" customHeight="1">
      <c r="A17" s="49" t="s">
        <v>98</v>
      </c>
      <c r="B17" s="359" t="s">
        <v>99</v>
      </c>
      <c r="C17" s="49" t="s">
        <v>100</v>
      </c>
      <c r="D17" s="49" t="s">
        <v>101</v>
      </c>
      <c r="E17" s="49" t="s">
        <v>58</v>
      </c>
      <c r="F17" s="49" t="s">
        <v>58</v>
      </c>
      <c r="G17" s="49" t="s">
        <v>58</v>
      </c>
      <c r="H17" s="49" t="s">
        <v>58</v>
      </c>
      <c r="I17" s="49" t="s">
        <v>58</v>
      </c>
      <c r="J17" s="49" t="s">
        <v>58</v>
      </c>
      <c r="K17" s="370" t="str">
        <f t="shared" si="0"/>
        <v>7 de 7 ; 100%</v>
      </c>
      <c r="L17" s="366" t="s">
        <v>110</v>
      </c>
      <c r="M17" s="366" t="s">
        <v>110</v>
      </c>
      <c r="N17" s="366" t="s">
        <v>110</v>
      </c>
      <c r="O17" s="366" t="s">
        <v>110</v>
      </c>
      <c r="P17" s="366" t="s">
        <v>110</v>
      </c>
      <c r="Q17" s="366" t="s">
        <v>110</v>
      </c>
      <c r="R17" s="366" t="s">
        <v>110</v>
      </c>
      <c r="S17" s="49" t="s">
        <v>42</v>
      </c>
      <c r="T17" s="49" t="s">
        <v>58</v>
      </c>
      <c r="U17" s="49" t="s">
        <v>58</v>
      </c>
      <c r="V17" s="49" t="s">
        <v>43</v>
      </c>
      <c r="W17" s="49" t="s">
        <v>58</v>
      </c>
      <c r="X17" s="49" t="s">
        <v>43</v>
      </c>
      <c r="Y17" s="49" t="s">
        <v>43</v>
      </c>
      <c r="Z17" s="49" t="s">
        <v>43</v>
      </c>
      <c r="AA17" s="49" t="s">
        <v>43</v>
      </c>
      <c r="AB17" s="393">
        <v>46181</v>
      </c>
      <c r="AC17" s="49" t="s">
        <v>42</v>
      </c>
      <c r="AD17" s="49" t="s">
        <v>58</v>
      </c>
      <c r="AE17" s="49" t="s">
        <v>42</v>
      </c>
      <c r="AF17" s="49" t="s">
        <v>43</v>
      </c>
      <c r="AG17" s="49" t="s">
        <v>58</v>
      </c>
      <c r="AH17" s="49" t="s">
        <v>43</v>
      </c>
      <c r="AI17" s="69">
        <f>IFERROR(HDR_Matriz!BI17, "Pendiente datos")</f>
        <v>0</v>
      </c>
      <c r="AJ17" s="69">
        <f t="shared" si="4"/>
        <v>0.55555555555555558</v>
      </c>
      <c r="AK17" s="49" t="s">
        <v>44</v>
      </c>
      <c r="AL17" s="360" t="str">
        <f t="shared" si="2"/>
        <v>Amarillo</v>
      </c>
      <c r="AM17" s="69">
        <f t="shared" si="3"/>
        <v>0.27777777777777779</v>
      </c>
      <c r="AN17" s="49" t="s">
        <v>45</v>
      </c>
    </row>
    <row r="18" spans="1:40" s="154" customFormat="1" ht="37.5" customHeight="1">
      <c r="A18" s="49" t="s">
        <v>102</v>
      </c>
      <c r="B18" s="359" t="s">
        <v>103</v>
      </c>
      <c r="C18" s="49" t="s">
        <v>104</v>
      </c>
      <c r="D18" s="387" t="s">
        <v>1328</v>
      </c>
      <c r="E18" s="392">
        <v>46183</v>
      </c>
      <c r="F18" s="392">
        <v>46183</v>
      </c>
      <c r="G18" s="392">
        <v>46183</v>
      </c>
      <c r="H18" s="392">
        <v>46183</v>
      </c>
      <c r="I18" s="49" t="s">
        <v>42</v>
      </c>
      <c r="J18" s="392">
        <v>46183</v>
      </c>
      <c r="K18" s="370" t="str">
        <f t="shared" si="0"/>
        <v>0 de 7 ; 0%</v>
      </c>
      <c r="L18" s="366"/>
      <c r="M18" s="366"/>
      <c r="N18" s="366"/>
      <c r="O18" s="366"/>
      <c r="P18" s="366"/>
      <c r="Q18" s="366"/>
      <c r="R18" s="366"/>
      <c r="S18" s="49" t="s">
        <v>43</v>
      </c>
      <c r="T18" s="49" t="s">
        <v>43</v>
      </c>
      <c r="U18" s="49" t="s">
        <v>43</v>
      </c>
      <c r="V18" s="49" t="s">
        <v>43</v>
      </c>
      <c r="W18" s="49" t="s">
        <v>43</v>
      </c>
      <c r="X18" s="49" t="s">
        <v>43</v>
      </c>
      <c r="Y18" s="49" t="s">
        <v>43</v>
      </c>
      <c r="Z18" s="49" t="s">
        <v>43</v>
      </c>
      <c r="AA18" s="49" t="s">
        <v>43</v>
      </c>
      <c r="AB18" s="49" t="s">
        <v>43</v>
      </c>
      <c r="AC18" s="49" t="s">
        <v>42</v>
      </c>
      <c r="AD18" s="49" t="s">
        <v>42</v>
      </c>
      <c r="AE18" s="49" t="s">
        <v>43</v>
      </c>
      <c r="AF18" s="49" t="s">
        <v>43</v>
      </c>
      <c r="AG18" s="49" t="s">
        <v>42</v>
      </c>
      <c r="AH18" s="49" t="s">
        <v>42</v>
      </c>
      <c r="AI18" s="69">
        <f>IFERROR(HDR_Matriz!BI18, "Pendiente datos")</f>
        <v>0</v>
      </c>
      <c r="AJ18" s="69">
        <f t="shared" si="4"/>
        <v>0</v>
      </c>
      <c r="AK18" s="49" t="s">
        <v>44</v>
      </c>
      <c r="AL18" s="360" t="str">
        <f t="shared" si="2"/>
        <v>Amarillo</v>
      </c>
      <c r="AM18" s="69">
        <f t="shared" si="3"/>
        <v>0</v>
      </c>
      <c r="AN18" s="49" t="s">
        <v>45</v>
      </c>
    </row>
    <row r="19" spans="1:40" s="154" customFormat="1" ht="26.5" hidden="1" customHeight="1" outlineLevel="1">
      <c r="A19" s="49" t="s">
        <v>1306</v>
      </c>
      <c r="B19" s="359" t="s">
        <v>1305</v>
      </c>
      <c r="C19" s="49" t="s">
        <v>106</v>
      </c>
      <c r="D19" s="49" t="s">
        <v>107</v>
      </c>
      <c r="E19" s="49" t="s">
        <v>43</v>
      </c>
      <c r="F19" s="49" t="s">
        <v>43</v>
      </c>
      <c r="G19" s="49" t="s">
        <v>43</v>
      </c>
      <c r="H19" s="49" t="s">
        <v>43</v>
      </c>
      <c r="I19" s="49" t="s">
        <v>42</v>
      </c>
      <c r="J19" s="49" t="s">
        <v>43</v>
      </c>
      <c r="K19" s="370" t="str">
        <f t="shared" si="0"/>
        <v>0 de 7 ; 0%</v>
      </c>
      <c r="L19" s="366"/>
      <c r="M19" s="366"/>
      <c r="N19" s="366"/>
      <c r="O19" s="366"/>
      <c r="P19" s="366"/>
      <c r="Q19" s="366"/>
      <c r="R19" s="366"/>
      <c r="S19" s="49" t="s">
        <v>43</v>
      </c>
      <c r="T19" s="49" t="s">
        <v>43</v>
      </c>
      <c r="U19" s="49" t="s">
        <v>43</v>
      </c>
      <c r="V19" s="49" t="s">
        <v>43</v>
      </c>
      <c r="W19" s="49" t="s">
        <v>43</v>
      </c>
      <c r="X19" s="49" t="s">
        <v>43</v>
      </c>
      <c r="Y19" s="49" t="s">
        <v>43</v>
      </c>
      <c r="Z19" s="49" t="s">
        <v>43</v>
      </c>
      <c r="AA19" s="49" t="s">
        <v>43</v>
      </c>
      <c r="AB19" s="49" t="s">
        <v>43</v>
      </c>
      <c r="AC19" s="49" t="s">
        <v>42</v>
      </c>
      <c r="AD19" s="49" t="s">
        <v>42</v>
      </c>
      <c r="AE19" s="49" t="s">
        <v>42</v>
      </c>
      <c r="AF19" s="49" t="s">
        <v>43</v>
      </c>
      <c r="AG19" s="49" t="s">
        <v>42</v>
      </c>
      <c r="AH19" s="49" t="s">
        <v>42</v>
      </c>
      <c r="AI19" s="69">
        <f>IFERROR(HDR_Matriz!BI19, "Pendiente datos")</f>
        <v>0</v>
      </c>
      <c r="AJ19" s="69">
        <f t="shared" si="4"/>
        <v>0</v>
      </c>
      <c r="AK19" s="49" t="s">
        <v>44</v>
      </c>
      <c r="AL19" s="360" t="str">
        <f t="shared" si="2"/>
        <v>Amarillo</v>
      </c>
      <c r="AM19" s="69">
        <f t="shared" si="3"/>
        <v>0</v>
      </c>
      <c r="AN19" s="49" t="s">
        <v>45</v>
      </c>
    </row>
    <row r="20" spans="1:40" s="154" customFormat="1" hidden="1" outlineLevel="1">
      <c r="A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7"/>
      <c r="Q20" s="367"/>
      <c r="R20" s="367"/>
      <c r="S20" s="363"/>
      <c r="T20" s="363"/>
      <c r="U20" s="363"/>
      <c r="V20" s="363"/>
      <c r="W20" s="363"/>
      <c r="X20" s="363"/>
      <c r="Y20" s="363"/>
      <c r="Z20" s="363"/>
      <c r="AA20" s="363"/>
      <c r="AB20" s="363"/>
      <c r="AC20" s="363"/>
      <c r="AD20" s="363"/>
      <c r="AE20" s="363"/>
      <c r="AF20" s="363"/>
      <c r="AG20" s="363"/>
      <c r="AH20" s="363"/>
      <c r="AI20" s="363"/>
      <c r="AJ20" s="363"/>
      <c r="AK20" s="363"/>
      <c r="AL20" s="363"/>
      <c r="AM20" s="363"/>
      <c r="AN20" s="363"/>
    </row>
    <row r="21" spans="1:40" s="375" customFormat="1" ht="29.5" hidden="1" customHeight="1" outlineLevel="1">
      <c r="A21" s="360" t="s">
        <v>105</v>
      </c>
      <c r="B21" s="372" t="s">
        <v>92</v>
      </c>
      <c r="C21" s="360" t="s">
        <v>1327</v>
      </c>
      <c r="D21" s="360" t="s">
        <v>97</v>
      </c>
      <c r="E21" s="360" t="s">
        <v>71</v>
      </c>
      <c r="F21" s="360" t="s">
        <v>58</v>
      </c>
      <c r="G21" s="360" t="s">
        <v>58</v>
      </c>
      <c r="H21" s="360" t="s">
        <v>58</v>
      </c>
      <c r="I21" s="360" t="s">
        <v>42</v>
      </c>
      <c r="J21" s="360" t="s">
        <v>71</v>
      </c>
      <c r="K21" s="371" t="str">
        <f>COUNTIF(L21:R21,"*OK*") &amp; " de 7 ; " &amp; ROUND(COUNTIF(L21:R21,"*OK*")/7*100,0) &amp; "%"</f>
        <v>2 de 7 ; 29%</v>
      </c>
      <c r="L21" s="373" t="s">
        <v>387</v>
      </c>
      <c r="M21" s="373" t="s">
        <v>110</v>
      </c>
      <c r="N21" s="373" t="s">
        <v>387</v>
      </c>
      <c r="O21" s="373" t="s">
        <v>387</v>
      </c>
      <c r="P21" s="373" t="s">
        <v>387</v>
      </c>
      <c r="Q21" s="373" t="s">
        <v>110</v>
      </c>
      <c r="R21" s="373" t="s">
        <v>387</v>
      </c>
      <c r="S21" s="360" t="s">
        <v>71</v>
      </c>
      <c r="T21" s="360" t="s">
        <v>43</v>
      </c>
      <c r="U21" s="360" t="s">
        <v>43</v>
      </c>
      <c r="V21" s="360" t="s">
        <v>43</v>
      </c>
      <c r="W21" s="360" t="s">
        <v>43</v>
      </c>
      <c r="X21" s="360" t="s">
        <v>43</v>
      </c>
      <c r="Y21" s="360" t="s">
        <v>43</v>
      </c>
      <c r="Z21" s="360" t="s">
        <v>43</v>
      </c>
      <c r="AA21" s="360" t="s">
        <v>43</v>
      </c>
      <c r="AB21" s="360" t="s">
        <v>43</v>
      </c>
      <c r="AC21" s="360"/>
      <c r="AD21" s="360"/>
      <c r="AE21" s="360" t="s">
        <v>42</v>
      </c>
      <c r="AF21" s="360" t="s">
        <v>43</v>
      </c>
      <c r="AG21" s="360"/>
      <c r="AH21" s="360" t="s">
        <v>42</v>
      </c>
      <c r="AI21" s="374">
        <f>IFERROR(HDR_Matriz!BI16, "Pendiente datos")</f>
        <v>0</v>
      </c>
      <c r="AJ21" s="374">
        <f>IFERROR((COUNTIF(S21:AH21, "Aprobado")) / (12 - COUNTIF(S21:AH21, "N/A")), "Pendiente datos")</f>
        <v>0</v>
      </c>
      <c r="AK21" s="360" t="s">
        <v>44</v>
      </c>
      <c r="AL21" s="360" t="str">
        <f>IFERROR(IF(AK21="Acreditado", "Verde", IF(AK21="En Proceso", "Amarillo", "Rojo")), "Pendiente datos")</f>
        <v>Amarillo</v>
      </c>
      <c r="AM21" s="374">
        <f>IFERROR(AVERAGE(AJ21, AI21), "Pendiente datos")</f>
        <v>0</v>
      </c>
      <c r="AN21" s="360" t="s">
        <v>45</v>
      </c>
    </row>
    <row r="22" spans="1:40" s="375" customFormat="1" ht="29.5" hidden="1" customHeight="1" outlineLevel="1">
      <c r="A22" s="360" t="s">
        <v>108</v>
      </c>
      <c r="B22" s="372" t="s">
        <v>103</v>
      </c>
      <c r="C22" s="360" t="s">
        <v>1326</v>
      </c>
      <c r="D22" s="360" t="s">
        <v>1303</v>
      </c>
      <c r="E22" s="360" t="s">
        <v>43</v>
      </c>
      <c r="F22" s="360" t="s">
        <v>43</v>
      </c>
      <c r="G22" s="360" t="s">
        <v>43</v>
      </c>
      <c r="H22" s="360" t="s">
        <v>43</v>
      </c>
      <c r="I22" s="360" t="s">
        <v>42</v>
      </c>
      <c r="J22" s="360" t="s">
        <v>43</v>
      </c>
      <c r="K22" s="371" t="str">
        <f t="shared" ref="K22:K23" si="7">COUNTIF(L22:R22,"*OK*") &amp; " de 7 ; " &amp; ROUND(COUNTIF(L22:R22,"*OK*")/7*100,0) &amp; "%"</f>
        <v>0 de 7 ; 0%</v>
      </c>
      <c r="L22" s="373"/>
      <c r="M22" s="373"/>
      <c r="N22" s="373"/>
      <c r="O22" s="373"/>
      <c r="P22" s="373"/>
      <c r="Q22" s="373"/>
      <c r="R22" s="373"/>
      <c r="S22" s="360" t="s">
        <v>43</v>
      </c>
      <c r="T22" s="360" t="s">
        <v>43</v>
      </c>
      <c r="U22" s="360" t="s">
        <v>43</v>
      </c>
      <c r="V22" s="360" t="s">
        <v>43</v>
      </c>
      <c r="W22" s="360" t="s">
        <v>43</v>
      </c>
      <c r="X22" s="360" t="s">
        <v>43</v>
      </c>
      <c r="Y22" s="360" t="s">
        <v>43</v>
      </c>
      <c r="Z22" s="360" t="s">
        <v>43</v>
      </c>
      <c r="AA22" s="360" t="s">
        <v>43</v>
      </c>
      <c r="AB22" s="360" t="s">
        <v>43</v>
      </c>
      <c r="AC22" s="360"/>
      <c r="AD22" s="360"/>
      <c r="AE22" s="360" t="s">
        <v>43</v>
      </c>
      <c r="AF22" s="360" t="s">
        <v>43</v>
      </c>
      <c r="AG22" s="360"/>
      <c r="AH22" s="360" t="s">
        <v>42</v>
      </c>
      <c r="AI22" s="374">
        <f>IFERROR(HDR_Matriz!BI24, "Pendiente datos")</f>
        <v>0</v>
      </c>
      <c r="AJ22" s="374">
        <f>IFERROR((COUNTIF(S22:AH22, "Aprobado")) / (12 - COUNTIF(S22:AH22, "N/A")), "Pendiente datos")</f>
        <v>0</v>
      </c>
      <c r="AK22" s="360" t="s">
        <v>44</v>
      </c>
      <c r="AL22" s="360" t="str">
        <f t="shared" ref="AL22:AL23" si="8">IFERROR(IF(AK22="Acreditado", "Verde", IF(AK22="En Proceso", "Amarillo", "Rojo")), "Pendiente datos")</f>
        <v>Amarillo</v>
      </c>
      <c r="AM22" s="374">
        <f t="shared" ref="AM22:AM23" si="9">IFERROR(AVERAGE(AJ22, AI22), "Pendiente datos")</f>
        <v>0</v>
      </c>
      <c r="AN22" s="360" t="s">
        <v>45</v>
      </c>
    </row>
    <row r="23" spans="1:40" s="375" customFormat="1" ht="29.5" hidden="1" customHeight="1" outlineLevel="1">
      <c r="A23" s="360" t="s">
        <v>111</v>
      </c>
      <c r="B23" s="390" t="s">
        <v>68</v>
      </c>
      <c r="C23" s="389" t="s">
        <v>69</v>
      </c>
      <c r="D23" s="389" t="s">
        <v>70</v>
      </c>
      <c r="E23" s="360" t="s">
        <v>71</v>
      </c>
      <c r="F23" s="360" t="s">
        <v>58</v>
      </c>
      <c r="G23" s="360" t="s">
        <v>71</v>
      </c>
      <c r="H23" s="360" t="s">
        <v>71</v>
      </c>
      <c r="I23" s="360" t="s">
        <v>42</v>
      </c>
      <c r="J23" s="360" t="s">
        <v>58</v>
      </c>
      <c r="K23" s="389" t="str">
        <f t="shared" si="7"/>
        <v>7 de 7 ; 100%</v>
      </c>
      <c r="L23" s="373" t="s">
        <v>110</v>
      </c>
      <c r="M23" s="373" t="s">
        <v>110</v>
      </c>
      <c r="N23" s="373" t="s">
        <v>110</v>
      </c>
      <c r="O23" s="373" t="s">
        <v>110</v>
      </c>
      <c r="P23" s="373" t="s">
        <v>110</v>
      </c>
      <c r="Q23" s="373" t="s">
        <v>110</v>
      </c>
      <c r="R23" s="373" t="s">
        <v>110</v>
      </c>
      <c r="S23" s="360" t="s">
        <v>43</v>
      </c>
      <c r="T23" s="360" t="s">
        <v>43</v>
      </c>
      <c r="U23" s="360" t="s">
        <v>43</v>
      </c>
      <c r="V23" s="360" t="s">
        <v>43</v>
      </c>
      <c r="W23" s="360" t="s">
        <v>43</v>
      </c>
      <c r="X23" s="360" t="s">
        <v>43</v>
      </c>
      <c r="Y23" s="360" t="s">
        <v>43</v>
      </c>
      <c r="Z23" s="360" t="s">
        <v>43</v>
      </c>
      <c r="AA23" s="360" t="s">
        <v>43</v>
      </c>
      <c r="AB23" s="360" t="s">
        <v>43</v>
      </c>
      <c r="AC23" s="360"/>
      <c r="AD23" s="360"/>
      <c r="AE23" s="360" t="s">
        <v>42</v>
      </c>
      <c r="AF23" s="360" t="s">
        <v>43</v>
      </c>
      <c r="AG23" s="360"/>
      <c r="AH23" s="360" t="s">
        <v>42</v>
      </c>
      <c r="AI23" s="374">
        <f>IFERROR(HDR_Matriz!BI24, "Pendiente datos")</f>
        <v>0</v>
      </c>
      <c r="AJ23" s="374">
        <f>IFERROR((COUNTIF(S23:AH23, "Aprobado")) / (12 - COUNTIF(S23:AH23, "N/A")), "Pendiente datos")</f>
        <v>0</v>
      </c>
      <c r="AK23" s="360" t="s">
        <v>44</v>
      </c>
      <c r="AL23" s="360" t="str">
        <f t="shared" si="8"/>
        <v>Amarillo</v>
      </c>
      <c r="AM23" s="374">
        <f t="shared" si="9"/>
        <v>0</v>
      </c>
      <c r="AN23" s="360" t="s">
        <v>45</v>
      </c>
    </row>
    <row r="24" spans="1:40" s="399" customFormat="1" ht="29.5" hidden="1" customHeight="1" outlineLevel="1">
      <c r="A24" s="396" t="s">
        <v>1304</v>
      </c>
      <c r="B24" s="395" t="s">
        <v>68</v>
      </c>
      <c r="C24" s="394" t="s">
        <v>1324</v>
      </c>
      <c r="D24" s="394" t="s">
        <v>1325</v>
      </c>
      <c r="E24" s="396" t="s">
        <v>1320</v>
      </c>
      <c r="F24" s="396" t="s">
        <v>1321</v>
      </c>
      <c r="G24" s="396" t="s">
        <v>1322</v>
      </c>
      <c r="H24" s="396" t="s">
        <v>1323</v>
      </c>
      <c r="I24" s="396" t="s">
        <v>42</v>
      </c>
      <c r="J24" s="396" t="s">
        <v>1323</v>
      </c>
      <c r="K24" s="394" t="str">
        <f t="shared" ref="K24" si="10">COUNTIF(L24:R24,"*OK*") &amp; " de 7 ; " &amp; ROUND(COUNTIF(L24:R24,"*OK*")/7*100,0) &amp; "%"</f>
        <v>7 de 7 ; 100%</v>
      </c>
      <c r="L24" s="397" t="s">
        <v>110</v>
      </c>
      <c r="M24" s="397" t="s">
        <v>110</v>
      </c>
      <c r="N24" s="397" t="s">
        <v>110</v>
      </c>
      <c r="O24" s="397" t="s">
        <v>110</v>
      </c>
      <c r="P24" s="397" t="s">
        <v>110</v>
      </c>
      <c r="Q24" s="397" t="s">
        <v>110</v>
      </c>
      <c r="R24" s="397" t="s">
        <v>110</v>
      </c>
      <c r="S24" s="396" t="s">
        <v>43</v>
      </c>
      <c r="T24" s="396" t="s">
        <v>43</v>
      </c>
      <c r="U24" s="396" t="s">
        <v>43</v>
      </c>
      <c r="V24" s="396" t="s">
        <v>43</v>
      </c>
      <c r="W24" s="396" t="s">
        <v>43</v>
      </c>
      <c r="X24" s="396" t="s">
        <v>43</v>
      </c>
      <c r="Y24" s="396" t="s">
        <v>43</v>
      </c>
      <c r="Z24" s="396" t="s">
        <v>43</v>
      </c>
      <c r="AA24" s="396" t="s">
        <v>43</v>
      </c>
      <c r="AB24" s="396" t="s">
        <v>43</v>
      </c>
      <c r="AC24" s="396"/>
      <c r="AD24" s="396"/>
      <c r="AE24" s="396" t="s">
        <v>42</v>
      </c>
      <c r="AF24" s="396" t="s">
        <v>43</v>
      </c>
      <c r="AG24" s="396"/>
      <c r="AH24" s="396" t="s">
        <v>42</v>
      </c>
      <c r="AI24" s="398">
        <f>IFERROR(HDR_Matriz!BI25, "Pendiente datos")</f>
        <v>0</v>
      </c>
      <c r="AJ24" s="398">
        <f>IFERROR((COUNTIF(S24:AH24, "Aprobado")) / (12 - COUNTIF(S24:AH24, "N/A")), "Pendiente datos")</f>
        <v>0</v>
      </c>
      <c r="AK24" s="396" t="s">
        <v>44</v>
      </c>
      <c r="AL24" s="396" t="str">
        <f t="shared" ref="AL24" si="11">IFERROR(IF(AK24="Acreditado", "Verde", IF(AK24="En Proceso", "Amarillo", "Rojo")), "Pendiente datos")</f>
        <v>Amarillo</v>
      </c>
      <c r="AM24" s="398">
        <f t="shared" ref="AM24" si="12">IFERROR(AVERAGE(AJ24, AI24), "Pendiente datos")</f>
        <v>0</v>
      </c>
      <c r="AN24" s="396" t="s">
        <v>45</v>
      </c>
    </row>
    <row r="25" spans="1:40" collapsed="1"/>
  </sheetData>
  <autoFilter ref="A1:AN19" xr:uid="{00000000-0009-0000-0000-000004000000}"/>
  <phoneticPr fontId="14" type="noConversion"/>
  <conditionalFormatting sqref="E1:R1048576">
    <cfRule type="cellIs" dxfId="41" priority="106" operator="equal">
      <formula>"Alterado"</formula>
    </cfRule>
  </conditionalFormatting>
  <conditionalFormatting sqref="E1:AH1048576">
    <cfRule type="cellIs" dxfId="40" priority="105" operator="equal">
      <formula>"Aprobado"</formula>
    </cfRule>
  </conditionalFormatting>
  <conditionalFormatting sqref="E1:AN1048576">
    <cfRule type="cellIs" dxfId="39" priority="49" operator="equal">
      <formula>"N/A"</formula>
    </cfRule>
  </conditionalFormatting>
  <conditionalFormatting sqref="E2:AN19 K17:R20 D21:AH21 AI21:AN23 E22:AH23">
    <cfRule type="cellIs" dxfId="38" priority="108" operator="equal">
      <formula>"Aprobado"</formula>
    </cfRule>
    <cfRule type="cellIs" dxfId="37" priority="109" operator="equal">
      <formula>"Verde"</formula>
    </cfRule>
    <cfRule type="cellIs" dxfId="36" priority="110" operator="equal">
      <formula>"En proceso"</formula>
    </cfRule>
    <cfRule type="cellIs" dxfId="35" priority="111" operator="equal">
      <formula>"Amarillo"</formula>
    </cfRule>
    <cfRule type="cellIs" dxfId="34" priority="112" operator="equal">
      <formula>"No Iniciado"</formula>
    </cfRule>
    <cfRule type="cellIs" dxfId="33" priority="113" operator="equal">
      <formula>"Rojo"</formula>
    </cfRule>
  </conditionalFormatting>
  <conditionalFormatting sqref="E24:AN24">
    <cfRule type="cellIs" dxfId="32" priority="1" operator="equal">
      <formula>"Aprobado"</formula>
    </cfRule>
    <cfRule type="cellIs" dxfId="31" priority="2" operator="equal">
      <formula>"Verde"</formula>
    </cfRule>
    <cfRule type="cellIs" dxfId="30" priority="3" operator="equal">
      <formula>"En proceso"</formula>
    </cfRule>
    <cfRule type="cellIs" dxfId="29" priority="4" operator="equal">
      <formula>"Amarillo"</formula>
    </cfRule>
    <cfRule type="cellIs" dxfId="28" priority="5" operator="equal">
      <formula>"No Iniciado"</formula>
    </cfRule>
    <cfRule type="cellIs" dxfId="27" priority="6" operator="equal">
      <formula>"Rojo"</formula>
    </cfRule>
  </conditionalFormatting>
  <conditionalFormatting sqref="K1:K1048576">
    <cfRule type="cellIs" dxfId="26" priority="50" operator="equal">
      <formula>"7 de 7 ; 100%"</formula>
    </cfRule>
  </conditionalFormatting>
  <conditionalFormatting sqref="L1:R1048576">
    <cfRule type="cellIs" dxfId="25" priority="45" operator="equal">
      <formula>"Obs. Bajo lo esperado"</formula>
    </cfRule>
    <cfRule type="cellIs" dxfId="24" priority="46" operator="equal">
      <formula>"OK -Dentro de lo esperado"</formula>
    </cfRule>
  </conditionalFormatting>
  <conditionalFormatting sqref="S1:S1048576">
    <cfRule type="cellIs" dxfId="23" priority="41" operator="equal">
      <formula>"Eliminado"</formula>
    </cfRule>
  </conditionalFormatting>
  <conditionalFormatting sqref="S6:S7">
    <cfRule type="cellIs" dxfId="22" priority="47" operator="equal">
      <formula>"Alterado"</formula>
    </cfRule>
  </conditionalFormatting>
  <conditionalFormatting sqref="S9">
    <cfRule type="cellIs" dxfId="21" priority="24" operator="equal">
      <formula>"Alterado"</formula>
    </cfRule>
  </conditionalFormatting>
  <conditionalFormatting sqref="S13:S14">
    <cfRule type="cellIs" dxfId="20" priority="22" operator="equal">
      <formula>"Alterado"</formula>
    </cfRule>
  </conditionalFormatting>
  <conditionalFormatting sqref="S16">
    <cfRule type="cellIs" dxfId="19" priority="38" operator="equal">
      <formula>"Alterado"</formula>
    </cfRule>
  </conditionalFormatting>
  <conditionalFormatting sqref="S21">
    <cfRule type="cellIs" dxfId="18" priority="42" operator="equal">
      <formula>"Alterado"</formula>
    </cfRule>
  </conditionalFormatting>
  <conditionalFormatting sqref="S2:T5">
    <cfRule type="cellIs" dxfId="17" priority="19" operator="equal">
      <formula>"Alterado"</formula>
    </cfRule>
  </conditionalFormatting>
  <conditionalFormatting sqref="T5">
    <cfRule type="cellIs" dxfId="16" priority="20" operator="equal">
      <formula>"Eliminado"</formula>
    </cfRule>
  </conditionalFormatting>
  <conditionalFormatting sqref="AL2:AL19 AL21:AL24">
    <cfRule type="iconSet" priority="121">
      <iconSet iconSet="3Symbols2">
        <cfvo type="percent" val="0"/>
        <cfvo type="percent" val="33"/>
        <cfvo type="percent" val="67"/>
      </iconSet>
    </cfRule>
  </conditionalFormatting>
  <dataValidations count="1">
    <dataValidation sqref="K2:K6 D2:D19 D21:D24 K8:K19 K21:K24" xr:uid="{00000000-0002-0000-0400-000000000000}"/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A6D1B45-9F97-4EC4-82AB-EA4BF5BA4452}">
          <x14:formula1>
            <xm:f>Listas!$N$2:$N$4</xm:f>
          </x14:formula1>
          <xm:sqref>L21:R24 L2:R19</xm:sqref>
        </x14:dataValidation>
        <x14:dataValidation type="list" allowBlank="1" showInputMessage="1" showErrorMessage="1" xr:uid="{AAAA9A1D-621F-46B2-AACA-43D026303D7C}">
          <x14:formula1>
            <xm:f>Listas!$A$2:$A$9</xm:f>
          </x14:formula1>
          <xm:sqref>E6:J6 S21 J16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Y31" sqref="AY31"/>
    </sheetView>
  </sheetViews>
  <sheetFormatPr baseColWidth="10" defaultColWidth="8.7265625" defaultRowHeight="14.5"/>
  <cols>
    <col min="1" max="1" width="6" customWidth="1"/>
    <col min="2" max="2" width="22.7265625" bestFit="1" customWidth="1"/>
    <col min="3" max="3" width="19.81640625" customWidth="1"/>
    <col min="4" max="4" width="12.1796875" style="7" customWidth="1"/>
    <col min="5" max="59" width="12" style="7" customWidth="1"/>
    <col min="60" max="60" width="5.81640625" customWidth="1"/>
    <col min="61" max="61" width="12" style="7" customWidth="1"/>
    <col min="62" max="62" width="15" style="7" customWidth="1"/>
  </cols>
  <sheetData>
    <row r="1" spans="1:61" ht="52" customHeight="1">
      <c r="A1" s="358" t="s">
        <v>0</v>
      </c>
      <c r="B1" s="358" t="s">
        <v>1</v>
      </c>
      <c r="C1" s="358" t="s">
        <v>3</v>
      </c>
      <c r="D1" s="358" t="s">
        <v>297</v>
      </c>
      <c r="E1" s="358" t="s">
        <v>298</v>
      </c>
      <c r="F1" s="358" t="s">
        <v>299</v>
      </c>
      <c r="G1" s="358" t="s">
        <v>300</v>
      </c>
      <c r="H1" s="358" t="s">
        <v>301</v>
      </c>
      <c r="I1" s="358" t="s">
        <v>302</v>
      </c>
      <c r="J1" s="358" t="s">
        <v>303</v>
      </c>
      <c r="K1" s="358" t="s">
        <v>304</v>
      </c>
      <c r="L1" s="358" t="s">
        <v>305</v>
      </c>
      <c r="M1" s="358" t="s">
        <v>306</v>
      </c>
      <c r="N1" s="358" t="s">
        <v>307</v>
      </c>
      <c r="O1" s="358" t="s">
        <v>308</v>
      </c>
      <c r="P1" s="358" t="s">
        <v>309</v>
      </c>
      <c r="Q1" s="358" t="s">
        <v>310</v>
      </c>
      <c r="R1" s="358" t="s">
        <v>311</v>
      </c>
      <c r="S1" s="358" t="s">
        <v>312</v>
      </c>
      <c r="T1" s="358" t="s">
        <v>313</v>
      </c>
      <c r="U1" s="358" t="s">
        <v>314</v>
      </c>
      <c r="V1" s="358" t="s">
        <v>315</v>
      </c>
      <c r="W1" s="358" t="s">
        <v>316</v>
      </c>
      <c r="X1" s="358" t="s">
        <v>317</v>
      </c>
      <c r="Y1" s="358" t="s">
        <v>318</v>
      </c>
      <c r="Z1" s="358" t="s">
        <v>319</v>
      </c>
      <c r="AA1" s="358" t="s">
        <v>320</v>
      </c>
      <c r="AB1" s="358" t="s">
        <v>321</v>
      </c>
      <c r="AC1" s="358" t="s">
        <v>322</v>
      </c>
      <c r="AD1" s="358" t="s">
        <v>323</v>
      </c>
      <c r="AE1" s="358" t="s">
        <v>324</v>
      </c>
      <c r="AF1" s="358" t="s">
        <v>325</v>
      </c>
      <c r="AG1" s="358" t="s">
        <v>326</v>
      </c>
      <c r="AH1" s="358" t="s">
        <v>327</v>
      </c>
      <c r="AI1" s="358" t="s">
        <v>328</v>
      </c>
      <c r="AJ1" s="358" t="s">
        <v>329</v>
      </c>
      <c r="AK1" s="358" t="s">
        <v>330</v>
      </c>
      <c r="AL1" s="358" t="s">
        <v>331</v>
      </c>
      <c r="AM1" s="358" t="s">
        <v>332</v>
      </c>
      <c r="AN1" s="358" t="s">
        <v>333</v>
      </c>
      <c r="AO1" s="358" t="s">
        <v>334</v>
      </c>
      <c r="AP1" s="358" t="s">
        <v>335</v>
      </c>
      <c r="AQ1" s="358" t="s">
        <v>336</v>
      </c>
      <c r="AR1" s="358" t="s">
        <v>337</v>
      </c>
      <c r="AS1" s="358" t="s">
        <v>338</v>
      </c>
      <c r="AT1" s="358" t="s">
        <v>339</v>
      </c>
      <c r="AU1" s="358" t="s">
        <v>340</v>
      </c>
      <c r="AV1" s="358" t="s">
        <v>341</v>
      </c>
      <c r="AW1" s="358" t="s">
        <v>342</v>
      </c>
      <c r="AX1" s="358" t="s">
        <v>343</v>
      </c>
      <c r="AY1" s="358" t="s">
        <v>344</v>
      </c>
      <c r="AZ1" s="358" t="s">
        <v>345</v>
      </c>
      <c r="BA1" s="358" t="s">
        <v>346</v>
      </c>
      <c r="BB1" s="358" t="s">
        <v>347</v>
      </c>
      <c r="BC1" s="358" t="s">
        <v>348</v>
      </c>
      <c r="BD1" s="358" t="s">
        <v>349</v>
      </c>
      <c r="BE1" s="358" t="s">
        <v>350</v>
      </c>
      <c r="BF1" s="358" t="s">
        <v>351</v>
      </c>
      <c r="BG1" s="358" t="s">
        <v>352</v>
      </c>
      <c r="BH1" s="358" t="s">
        <v>353</v>
      </c>
      <c r="BI1" s="358" t="s">
        <v>354</v>
      </c>
    </row>
    <row r="2" spans="1:61">
      <c r="A2" s="35" t="s">
        <v>37</v>
      </c>
      <c r="B2" s="35" t="str">
        <f>+RRHH_Control!B2</f>
        <v>Administrador Contrato</v>
      </c>
      <c r="C2" s="35" t="str">
        <f>+RRHH_Control!D2</f>
        <v>Andrés Tebes</v>
      </c>
      <c r="D2" s="36" t="s">
        <v>43</v>
      </c>
      <c r="E2" s="36" t="s">
        <v>43</v>
      </c>
      <c r="F2" s="36" t="s">
        <v>43</v>
      </c>
      <c r="G2" s="36" t="s">
        <v>43</v>
      </c>
      <c r="H2" s="36" t="s">
        <v>43</v>
      </c>
      <c r="I2" s="36" t="s">
        <v>43</v>
      </c>
      <c r="J2" s="36" t="s">
        <v>43</v>
      </c>
      <c r="K2" s="36" t="s">
        <v>43</v>
      </c>
      <c r="L2" s="36" t="s">
        <v>43</v>
      </c>
      <c r="M2" s="36" t="s">
        <v>43</v>
      </c>
      <c r="N2" s="36" t="s">
        <v>43</v>
      </c>
      <c r="O2" s="36" t="s">
        <v>43</v>
      </c>
      <c r="P2" s="36" t="s">
        <v>43</v>
      </c>
      <c r="Q2" s="36" t="s">
        <v>43</v>
      </c>
      <c r="R2" s="36" t="s">
        <v>43</v>
      </c>
      <c r="S2" s="36" t="s">
        <v>43</v>
      </c>
      <c r="T2" s="36" t="s">
        <v>43</v>
      </c>
      <c r="U2" s="36" t="s">
        <v>43</v>
      </c>
      <c r="V2" s="36" t="s">
        <v>43</v>
      </c>
      <c r="W2" s="36" t="s">
        <v>43</v>
      </c>
      <c r="X2" s="36" t="s">
        <v>43</v>
      </c>
      <c r="Y2" s="36" t="s">
        <v>43</v>
      </c>
      <c r="Z2" s="36" t="s">
        <v>43</v>
      </c>
      <c r="AA2" s="36" t="s">
        <v>43</v>
      </c>
      <c r="AB2" s="36" t="s">
        <v>43</v>
      </c>
      <c r="AC2" s="36" t="s">
        <v>43</v>
      </c>
      <c r="AD2" s="36" t="s">
        <v>43</v>
      </c>
      <c r="AE2" s="36" t="s">
        <v>43</v>
      </c>
      <c r="AF2" s="36" t="s">
        <v>43</v>
      </c>
      <c r="AG2" s="36" t="s">
        <v>43</v>
      </c>
      <c r="AH2" s="36" t="s">
        <v>43</v>
      </c>
      <c r="AI2" s="36" t="s">
        <v>43</v>
      </c>
      <c r="AJ2" s="36" t="s">
        <v>43</v>
      </c>
      <c r="AK2" s="36" t="s">
        <v>43</v>
      </c>
      <c r="AL2" s="36" t="s">
        <v>43</v>
      </c>
      <c r="AM2" s="36" t="s">
        <v>43</v>
      </c>
      <c r="AN2" s="36" t="s">
        <v>43</v>
      </c>
      <c r="AO2" s="36" t="s">
        <v>43</v>
      </c>
      <c r="AP2" s="36" t="s">
        <v>43</v>
      </c>
      <c r="AQ2" s="36" t="s">
        <v>43</v>
      </c>
      <c r="AR2" s="36" t="s">
        <v>43</v>
      </c>
      <c r="AS2" s="36" t="s">
        <v>43</v>
      </c>
      <c r="AT2" s="36" t="s">
        <v>43</v>
      </c>
      <c r="AU2" s="36" t="s">
        <v>43</v>
      </c>
      <c r="AV2" s="36" t="s">
        <v>43</v>
      </c>
      <c r="AW2" s="36" t="s">
        <v>43</v>
      </c>
      <c r="AX2" s="36" t="s">
        <v>43</v>
      </c>
      <c r="AY2" s="36" t="s">
        <v>43</v>
      </c>
      <c r="AZ2" s="36" t="s">
        <v>43</v>
      </c>
      <c r="BA2" s="36" t="s">
        <v>43</v>
      </c>
      <c r="BB2" s="36" t="s">
        <v>43</v>
      </c>
      <c r="BC2" s="36" t="s">
        <v>43</v>
      </c>
      <c r="BD2" s="36" t="s">
        <v>43</v>
      </c>
      <c r="BE2" s="36" t="s">
        <v>43</v>
      </c>
      <c r="BF2" s="36" t="s">
        <v>43</v>
      </c>
      <c r="BG2" s="36" t="s">
        <v>43</v>
      </c>
      <c r="BH2" s="36">
        <f t="shared" ref="BH2:BH19" si="0">IFERROR(56 - COUNTIF(D2:BG2, "N/A"), "Pendiente datos")</f>
        <v>56</v>
      </c>
      <c r="BI2" s="37">
        <f t="shared" ref="BI2:BI19" si="1">IFERROR(COUNTIF(D2:BG2, "Aprobado") / BH2, "Pendiente datos")</f>
        <v>0</v>
      </c>
    </row>
    <row r="3" spans="1:61">
      <c r="A3" s="35" t="s">
        <v>46</v>
      </c>
      <c r="B3" s="35" t="str">
        <f>+RRHH_Control!B3</f>
        <v>Asesor de Seguridad</v>
      </c>
      <c r="C3" s="35" t="str">
        <f>+RRHH_Control!D3</f>
        <v>Juan Carlos Santander</v>
      </c>
      <c r="D3" s="36" t="s">
        <v>43</v>
      </c>
      <c r="E3" s="36" t="s">
        <v>43</v>
      </c>
      <c r="F3" s="36" t="s">
        <v>43</v>
      </c>
      <c r="G3" s="36" t="s">
        <v>43</v>
      </c>
      <c r="H3" s="36" t="s">
        <v>43</v>
      </c>
      <c r="I3" s="36" t="s">
        <v>43</v>
      </c>
      <c r="J3" s="36" t="s">
        <v>43</v>
      </c>
      <c r="K3" s="36" t="s">
        <v>43</v>
      </c>
      <c r="L3" s="36" t="s">
        <v>43</v>
      </c>
      <c r="M3" s="36" t="s">
        <v>43</v>
      </c>
      <c r="N3" s="36" t="s">
        <v>43</v>
      </c>
      <c r="O3" s="36" t="s">
        <v>43</v>
      </c>
      <c r="P3" s="36" t="s">
        <v>43</v>
      </c>
      <c r="Q3" s="36" t="s">
        <v>43</v>
      </c>
      <c r="R3" s="36" t="s">
        <v>43</v>
      </c>
      <c r="S3" s="36" t="s">
        <v>43</v>
      </c>
      <c r="T3" s="36" t="s">
        <v>43</v>
      </c>
      <c r="U3" s="36" t="s">
        <v>43</v>
      </c>
      <c r="V3" s="36" t="s">
        <v>43</v>
      </c>
      <c r="W3" s="36" t="s">
        <v>43</v>
      </c>
      <c r="X3" s="36" t="s">
        <v>43</v>
      </c>
      <c r="Y3" s="36" t="s">
        <v>43</v>
      </c>
      <c r="Z3" s="36" t="s">
        <v>43</v>
      </c>
      <c r="AA3" s="36" t="s">
        <v>43</v>
      </c>
      <c r="AB3" s="36" t="s">
        <v>43</v>
      </c>
      <c r="AC3" s="36" t="s">
        <v>43</v>
      </c>
      <c r="AD3" s="36" t="s">
        <v>43</v>
      </c>
      <c r="AE3" s="36" t="s">
        <v>43</v>
      </c>
      <c r="AF3" s="36" t="s">
        <v>43</v>
      </c>
      <c r="AG3" s="36" t="s">
        <v>43</v>
      </c>
      <c r="AH3" s="36" t="s">
        <v>43</v>
      </c>
      <c r="AI3" s="36" t="s">
        <v>43</v>
      </c>
      <c r="AJ3" s="36" t="s">
        <v>43</v>
      </c>
      <c r="AK3" s="36" t="s">
        <v>43</v>
      </c>
      <c r="AL3" s="36" t="s">
        <v>43</v>
      </c>
      <c r="AM3" s="36" t="s">
        <v>43</v>
      </c>
      <c r="AN3" s="36" t="s">
        <v>43</v>
      </c>
      <c r="AO3" s="36" t="s">
        <v>43</v>
      </c>
      <c r="AP3" s="36" t="s">
        <v>43</v>
      </c>
      <c r="AQ3" s="36" t="s">
        <v>43</v>
      </c>
      <c r="AR3" s="36" t="s">
        <v>43</v>
      </c>
      <c r="AS3" s="36" t="s">
        <v>43</v>
      </c>
      <c r="AT3" s="36" t="s">
        <v>43</v>
      </c>
      <c r="AU3" s="36" t="s">
        <v>43</v>
      </c>
      <c r="AV3" s="36" t="s">
        <v>43</v>
      </c>
      <c r="AW3" s="36" t="s">
        <v>43</v>
      </c>
      <c r="AX3" s="36" t="s">
        <v>43</v>
      </c>
      <c r="AY3" s="36" t="s">
        <v>43</v>
      </c>
      <c r="AZ3" s="36" t="s">
        <v>43</v>
      </c>
      <c r="BA3" s="36" t="s">
        <v>43</v>
      </c>
      <c r="BB3" s="36" t="s">
        <v>43</v>
      </c>
      <c r="BC3" s="36" t="s">
        <v>43</v>
      </c>
      <c r="BD3" s="36" t="s">
        <v>43</v>
      </c>
      <c r="BE3" s="36" t="s">
        <v>43</v>
      </c>
      <c r="BF3" s="36" t="s">
        <v>43</v>
      </c>
      <c r="BG3" s="36" t="s">
        <v>43</v>
      </c>
      <c r="BH3" s="36">
        <f t="shared" si="0"/>
        <v>56</v>
      </c>
      <c r="BI3" s="37">
        <f t="shared" si="1"/>
        <v>0</v>
      </c>
    </row>
    <row r="4" spans="1:61">
      <c r="A4" s="35" t="s">
        <v>50</v>
      </c>
      <c r="B4" s="35" t="str">
        <f>+RRHH_Control!B4</f>
        <v>Jefe de Terreno</v>
      </c>
      <c r="C4" s="35" t="str">
        <f>+RRHH_Control!D4</f>
        <v>Leonel Sanchez</v>
      </c>
      <c r="D4" s="36" t="s">
        <v>43</v>
      </c>
      <c r="E4" s="36" t="s">
        <v>43</v>
      </c>
      <c r="F4" s="36" t="s">
        <v>43</v>
      </c>
      <c r="G4" s="36" t="s">
        <v>43</v>
      </c>
      <c r="H4" s="36" t="s">
        <v>43</v>
      </c>
      <c r="I4" s="36" t="s">
        <v>43</v>
      </c>
      <c r="J4" s="36" t="s">
        <v>43</v>
      </c>
      <c r="K4" s="36" t="s">
        <v>43</v>
      </c>
      <c r="L4" s="36" t="s">
        <v>43</v>
      </c>
      <c r="M4" s="36" t="s">
        <v>43</v>
      </c>
      <c r="N4" s="36" t="s">
        <v>43</v>
      </c>
      <c r="O4" s="36" t="s">
        <v>43</v>
      </c>
      <c r="P4" s="36" t="s">
        <v>43</v>
      </c>
      <c r="Q4" s="36" t="s">
        <v>43</v>
      </c>
      <c r="R4" s="36" t="s">
        <v>43</v>
      </c>
      <c r="S4" s="36" t="s">
        <v>43</v>
      </c>
      <c r="T4" s="36" t="s">
        <v>43</v>
      </c>
      <c r="U4" s="36" t="s">
        <v>43</v>
      </c>
      <c r="V4" s="36" t="s">
        <v>43</v>
      </c>
      <c r="W4" s="36" t="s">
        <v>43</v>
      </c>
      <c r="X4" s="36" t="s">
        <v>43</v>
      </c>
      <c r="Y4" s="36" t="s">
        <v>43</v>
      </c>
      <c r="Z4" s="36" t="s">
        <v>43</v>
      </c>
      <c r="AA4" s="36" t="s">
        <v>43</v>
      </c>
      <c r="AB4" s="36" t="s">
        <v>43</v>
      </c>
      <c r="AC4" s="36" t="s">
        <v>43</v>
      </c>
      <c r="AD4" s="36" t="s">
        <v>43</v>
      </c>
      <c r="AE4" s="36" t="s">
        <v>43</v>
      </c>
      <c r="AF4" s="36" t="s">
        <v>43</v>
      </c>
      <c r="AG4" s="36" t="s">
        <v>43</v>
      </c>
      <c r="AH4" s="36" t="s">
        <v>43</v>
      </c>
      <c r="AI4" s="36" t="s">
        <v>43</v>
      </c>
      <c r="AJ4" s="36" t="s">
        <v>43</v>
      </c>
      <c r="AK4" s="36" t="s">
        <v>43</v>
      </c>
      <c r="AL4" s="36" t="s">
        <v>43</v>
      </c>
      <c r="AM4" s="36" t="s">
        <v>43</v>
      </c>
      <c r="AN4" s="36" t="s">
        <v>43</v>
      </c>
      <c r="AO4" s="36" t="s">
        <v>43</v>
      </c>
      <c r="AP4" s="36" t="s">
        <v>43</v>
      </c>
      <c r="AQ4" s="36" t="s">
        <v>43</v>
      </c>
      <c r="AR4" s="36" t="s">
        <v>43</v>
      </c>
      <c r="AS4" s="36" t="s">
        <v>43</v>
      </c>
      <c r="AT4" s="36" t="s">
        <v>43</v>
      </c>
      <c r="AU4" s="36" t="s">
        <v>43</v>
      </c>
      <c r="AV4" s="36" t="s">
        <v>43</v>
      </c>
      <c r="AW4" s="36" t="s">
        <v>43</v>
      </c>
      <c r="AX4" s="36" t="s">
        <v>43</v>
      </c>
      <c r="AY4" s="36" t="s">
        <v>43</v>
      </c>
      <c r="AZ4" s="36" t="s">
        <v>43</v>
      </c>
      <c r="BA4" s="36" t="s">
        <v>43</v>
      </c>
      <c r="BB4" s="36" t="s">
        <v>43</v>
      </c>
      <c r="BC4" s="36" t="s">
        <v>43</v>
      </c>
      <c r="BD4" s="36" t="s">
        <v>43</v>
      </c>
      <c r="BE4" s="36" t="s">
        <v>43</v>
      </c>
      <c r="BF4" s="36" t="s">
        <v>43</v>
      </c>
      <c r="BG4" s="36" t="s">
        <v>43</v>
      </c>
      <c r="BH4" s="36">
        <f t="shared" si="0"/>
        <v>56</v>
      </c>
      <c r="BI4" s="37">
        <f t="shared" si="1"/>
        <v>0</v>
      </c>
    </row>
    <row r="5" spans="1:61">
      <c r="A5" s="35" t="s">
        <v>54</v>
      </c>
      <c r="B5" s="35" t="str">
        <f>+RRHH_Control!B5</f>
        <v>Supervisor de Terreno</v>
      </c>
      <c r="C5" s="35" t="str">
        <f>+RRHH_Control!D5</f>
        <v>Ulises Psijas</v>
      </c>
      <c r="D5" s="36" t="s">
        <v>43</v>
      </c>
      <c r="E5" s="36" t="s">
        <v>43</v>
      </c>
      <c r="F5" s="36" t="s">
        <v>43</v>
      </c>
      <c r="G5" s="36" t="s">
        <v>43</v>
      </c>
      <c r="H5" s="36" t="s">
        <v>43</v>
      </c>
      <c r="I5" s="36" t="s">
        <v>43</v>
      </c>
      <c r="J5" s="36" t="s">
        <v>43</v>
      </c>
      <c r="K5" s="36" t="s">
        <v>43</v>
      </c>
      <c r="L5" s="36" t="s">
        <v>43</v>
      </c>
      <c r="M5" s="36" t="s">
        <v>43</v>
      </c>
      <c r="N5" s="36" t="s">
        <v>43</v>
      </c>
      <c r="O5" s="36" t="s">
        <v>43</v>
      </c>
      <c r="P5" s="36" t="s">
        <v>43</v>
      </c>
      <c r="Q5" s="36" t="s">
        <v>43</v>
      </c>
      <c r="R5" s="36" t="s">
        <v>43</v>
      </c>
      <c r="S5" s="36" t="s">
        <v>43</v>
      </c>
      <c r="T5" s="36" t="s">
        <v>43</v>
      </c>
      <c r="U5" s="36" t="s">
        <v>43</v>
      </c>
      <c r="V5" s="36" t="s">
        <v>43</v>
      </c>
      <c r="W5" s="36" t="s">
        <v>43</v>
      </c>
      <c r="X5" s="36" t="s">
        <v>43</v>
      </c>
      <c r="Y5" s="36" t="s">
        <v>43</v>
      </c>
      <c r="Z5" s="36" t="s">
        <v>43</v>
      </c>
      <c r="AA5" s="36" t="s">
        <v>43</v>
      </c>
      <c r="AB5" s="36" t="s">
        <v>43</v>
      </c>
      <c r="AC5" s="36" t="s">
        <v>43</v>
      </c>
      <c r="AD5" s="36" t="s">
        <v>43</v>
      </c>
      <c r="AE5" s="36" t="s">
        <v>43</v>
      </c>
      <c r="AF5" s="36" t="s">
        <v>43</v>
      </c>
      <c r="AG5" s="36" t="s">
        <v>43</v>
      </c>
      <c r="AH5" s="36" t="s">
        <v>43</v>
      </c>
      <c r="AI5" s="36" t="s">
        <v>43</v>
      </c>
      <c r="AJ5" s="36" t="s">
        <v>43</v>
      </c>
      <c r="AK5" s="36" t="s">
        <v>43</v>
      </c>
      <c r="AL5" s="36" t="s">
        <v>43</v>
      </c>
      <c r="AM5" s="36" t="s">
        <v>43</v>
      </c>
      <c r="AN5" s="36" t="s">
        <v>43</v>
      </c>
      <c r="AO5" s="36" t="s">
        <v>43</v>
      </c>
      <c r="AP5" s="36" t="s">
        <v>43</v>
      </c>
      <c r="AQ5" s="36" t="s">
        <v>43</v>
      </c>
      <c r="AR5" s="36" t="s">
        <v>43</v>
      </c>
      <c r="AS5" s="36" t="s">
        <v>43</v>
      </c>
      <c r="AT5" s="36" t="s">
        <v>43</v>
      </c>
      <c r="AU5" s="36" t="s">
        <v>43</v>
      </c>
      <c r="AV5" s="36" t="s">
        <v>43</v>
      </c>
      <c r="AW5" s="36" t="s">
        <v>43</v>
      </c>
      <c r="AX5" s="36" t="s">
        <v>43</v>
      </c>
      <c r="AY5" s="36" t="s">
        <v>43</v>
      </c>
      <c r="AZ5" s="36" t="s">
        <v>43</v>
      </c>
      <c r="BA5" s="36" t="s">
        <v>43</v>
      </c>
      <c r="BB5" s="36" t="s">
        <v>43</v>
      </c>
      <c r="BC5" s="36" t="s">
        <v>43</v>
      </c>
      <c r="BD5" s="36" t="s">
        <v>43</v>
      </c>
      <c r="BE5" s="36" t="s">
        <v>43</v>
      </c>
      <c r="BF5" s="36" t="s">
        <v>43</v>
      </c>
      <c r="BG5" s="36" t="s">
        <v>43</v>
      </c>
      <c r="BH5" s="36">
        <f t="shared" si="0"/>
        <v>56</v>
      </c>
      <c r="BI5" s="37">
        <f t="shared" si="1"/>
        <v>0</v>
      </c>
    </row>
    <row r="6" spans="1:61">
      <c r="A6" s="35" t="s">
        <v>59</v>
      </c>
      <c r="B6" s="35" t="str">
        <f>+RRHH_Control!B6</f>
        <v>Encargado Administrativo</v>
      </c>
      <c r="C6" s="35" t="str">
        <f>+RRHH_Control!D6</f>
        <v>Jesenia Tapia</v>
      </c>
      <c r="D6" s="36" t="s">
        <v>43</v>
      </c>
      <c r="E6" s="36" t="s">
        <v>43</v>
      </c>
      <c r="F6" s="36" t="s">
        <v>43</v>
      </c>
      <c r="G6" s="36" t="s">
        <v>43</v>
      </c>
      <c r="H6" s="36" t="s">
        <v>43</v>
      </c>
      <c r="I6" s="36" t="s">
        <v>43</v>
      </c>
      <c r="J6" s="36" t="s">
        <v>43</v>
      </c>
      <c r="K6" s="36" t="s">
        <v>43</v>
      </c>
      <c r="L6" s="36" t="s">
        <v>43</v>
      </c>
      <c r="M6" s="36" t="s">
        <v>43</v>
      </c>
      <c r="N6" s="36" t="s">
        <v>43</v>
      </c>
      <c r="O6" s="36" t="s">
        <v>43</v>
      </c>
      <c r="P6" s="36" t="s">
        <v>43</v>
      </c>
      <c r="Q6" s="36" t="s">
        <v>43</v>
      </c>
      <c r="R6" s="36" t="s">
        <v>43</v>
      </c>
      <c r="S6" s="36" t="s">
        <v>43</v>
      </c>
      <c r="T6" s="36" t="s">
        <v>43</v>
      </c>
      <c r="U6" s="36" t="s">
        <v>43</v>
      </c>
      <c r="V6" s="36" t="s">
        <v>43</v>
      </c>
      <c r="W6" s="36" t="s">
        <v>43</v>
      </c>
      <c r="X6" s="36" t="s">
        <v>43</v>
      </c>
      <c r="Y6" s="36" t="s">
        <v>43</v>
      </c>
      <c r="Z6" s="36" t="s">
        <v>43</v>
      </c>
      <c r="AA6" s="36" t="s">
        <v>43</v>
      </c>
      <c r="AB6" s="36" t="s">
        <v>43</v>
      </c>
      <c r="AC6" s="36" t="s">
        <v>43</v>
      </c>
      <c r="AD6" s="36" t="s">
        <v>43</v>
      </c>
      <c r="AE6" s="36" t="s">
        <v>43</v>
      </c>
      <c r="AF6" s="36" t="s">
        <v>43</v>
      </c>
      <c r="AG6" s="36" t="s">
        <v>43</v>
      </c>
      <c r="AH6" s="36" t="s">
        <v>43</v>
      </c>
      <c r="AI6" s="36" t="s">
        <v>43</v>
      </c>
      <c r="AJ6" s="36" t="s">
        <v>43</v>
      </c>
      <c r="AK6" s="36" t="s">
        <v>43</v>
      </c>
      <c r="AL6" s="36" t="s">
        <v>43</v>
      </c>
      <c r="AM6" s="36" t="s">
        <v>43</v>
      </c>
      <c r="AN6" s="36" t="s">
        <v>43</v>
      </c>
      <c r="AO6" s="36" t="s">
        <v>43</v>
      </c>
      <c r="AP6" s="36" t="s">
        <v>43</v>
      </c>
      <c r="AQ6" s="36" t="s">
        <v>43</v>
      </c>
      <c r="AR6" s="36" t="s">
        <v>43</v>
      </c>
      <c r="AS6" s="36" t="s">
        <v>43</v>
      </c>
      <c r="AT6" s="36" t="s">
        <v>43</v>
      </c>
      <c r="AU6" s="36" t="s">
        <v>43</v>
      </c>
      <c r="AV6" s="36" t="s">
        <v>43</v>
      </c>
      <c r="AW6" s="36" t="s">
        <v>43</v>
      </c>
      <c r="AX6" s="36" t="s">
        <v>43</v>
      </c>
      <c r="AY6" s="36" t="s">
        <v>43</v>
      </c>
      <c r="AZ6" s="36" t="s">
        <v>43</v>
      </c>
      <c r="BA6" s="36" t="s">
        <v>43</v>
      </c>
      <c r="BB6" s="36" t="s">
        <v>43</v>
      </c>
      <c r="BC6" s="36" t="s">
        <v>43</v>
      </c>
      <c r="BD6" s="36" t="s">
        <v>43</v>
      </c>
      <c r="BE6" s="36" t="s">
        <v>43</v>
      </c>
      <c r="BF6" s="36" t="s">
        <v>43</v>
      </c>
      <c r="BG6" s="36" t="s">
        <v>43</v>
      </c>
      <c r="BH6" s="36">
        <f t="shared" si="0"/>
        <v>56</v>
      </c>
      <c r="BI6" s="37">
        <f t="shared" si="1"/>
        <v>0</v>
      </c>
    </row>
    <row r="7" spans="1:61">
      <c r="A7" s="35" t="s">
        <v>63</v>
      </c>
      <c r="B7" s="35" t="str">
        <f>+RRHH_Control!B7</f>
        <v>Topógrafo</v>
      </c>
      <c r="C7" s="35" t="str">
        <f>+RRHH_Control!D7</f>
        <v>Manuel Tapia</v>
      </c>
      <c r="D7" s="36" t="s">
        <v>43</v>
      </c>
      <c r="E7" s="36" t="s">
        <v>43</v>
      </c>
      <c r="F7" s="36" t="s">
        <v>43</v>
      </c>
      <c r="G7" s="36" t="s">
        <v>43</v>
      </c>
      <c r="H7" s="36" t="s">
        <v>43</v>
      </c>
      <c r="I7" s="36" t="s">
        <v>43</v>
      </c>
      <c r="J7" s="36" t="s">
        <v>43</v>
      </c>
      <c r="K7" s="36" t="s">
        <v>43</v>
      </c>
      <c r="L7" s="36" t="s">
        <v>43</v>
      </c>
      <c r="M7" s="36" t="s">
        <v>43</v>
      </c>
      <c r="N7" s="36" t="s">
        <v>43</v>
      </c>
      <c r="O7" s="36" t="s">
        <v>43</v>
      </c>
      <c r="P7" s="36" t="s">
        <v>43</v>
      </c>
      <c r="Q7" s="36" t="s">
        <v>43</v>
      </c>
      <c r="R7" s="36" t="s">
        <v>43</v>
      </c>
      <c r="S7" s="36" t="s">
        <v>43</v>
      </c>
      <c r="T7" s="36" t="s">
        <v>43</v>
      </c>
      <c r="U7" s="36" t="s">
        <v>43</v>
      </c>
      <c r="V7" s="36" t="s">
        <v>43</v>
      </c>
      <c r="W7" s="36" t="s">
        <v>43</v>
      </c>
      <c r="X7" s="36" t="s">
        <v>43</v>
      </c>
      <c r="Y7" s="36" t="s">
        <v>43</v>
      </c>
      <c r="Z7" s="36" t="s">
        <v>43</v>
      </c>
      <c r="AA7" s="36" t="s">
        <v>43</v>
      </c>
      <c r="AB7" s="36" t="s">
        <v>43</v>
      </c>
      <c r="AC7" s="36" t="s">
        <v>43</v>
      </c>
      <c r="AD7" s="36" t="s">
        <v>43</v>
      </c>
      <c r="AE7" s="36" t="s">
        <v>43</v>
      </c>
      <c r="AF7" s="36" t="s">
        <v>43</v>
      </c>
      <c r="AG7" s="36" t="s">
        <v>43</v>
      </c>
      <c r="AH7" s="36" t="s">
        <v>43</v>
      </c>
      <c r="AI7" s="36" t="s">
        <v>43</v>
      </c>
      <c r="AJ7" s="36" t="s">
        <v>43</v>
      </c>
      <c r="AK7" s="36" t="s">
        <v>43</v>
      </c>
      <c r="AL7" s="36" t="s">
        <v>43</v>
      </c>
      <c r="AM7" s="36" t="s">
        <v>43</v>
      </c>
      <c r="AN7" s="36" t="s">
        <v>43</v>
      </c>
      <c r="AO7" s="36" t="s">
        <v>43</v>
      </c>
      <c r="AP7" s="36" t="s">
        <v>43</v>
      </c>
      <c r="AQ7" s="36" t="s">
        <v>43</v>
      </c>
      <c r="AR7" s="36" t="s">
        <v>43</v>
      </c>
      <c r="AS7" s="36" t="s">
        <v>43</v>
      </c>
      <c r="AT7" s="36" t="s">
        <v>43</v>
      </c>
      <c r="AU7" s="36" t="s">
        <v>43</v>
      </c>
      <c r="AV7" s="36" t="s">
        <v>43</v>
      </c>
      <c r="AW7" s="36" t="s">
        <v>43</v>
      </c>
      <c r="AX7" s="36" t="s">
        <v>43</v>
      </c>
      <c r="AY7" s="36" t="s">
        <v>43</v>
      </c>
      <c r="AZ7" s="36" t="s">
        <v>43</v>
      </c>
      <c r="BA7" s="36" t="s">
        <v>43</v>
      </c>
      <c r="BB7" s="36" t="s">
        <v>43</v>
      </c>
      <c r="BC7" s="36" t="s">
        <v>43</v>
      </c>
      <c r="BD7" s="36" t="s">
        <v>43</v>
      </c>
      <c r="BE7" s="36" t="s">
        <v>43</v>
      </c>
      <c r="BF7" s="36" t="s">
        <v>43</v>
      </c>
      <c r="BG7" s="36" t="s">
        <v>43</v>
      </c>
      <c r="BH7" s="36">
        <f t="shared" si="0"/>
        <v>56</v>
      </c>
      <c r="BI7" s="37">
        <f t="shared" si="1"/>
        <v>0</v>
      </c>
    </row>
    <row r="8" spans="1:61">
      <c r="A8" s="38" t="s">
        <v>67</v>
      </c>
      <c r="B8" s="38" t="str">
        <f>+RRHH_Control!B8</f>
        <v>Maestro 1° Líneas 
(Interno Alarife)</v>
      </c>
      <c r="C8" s="38" t="str">
        <f>+RRHH_Control!D8</f>
        <v>Orlando Maita</v>
      </c>
      <c r="D8" s="36" t="s">
        <v>43</v>
      </c>
      <c r="E8" s="36" t="s">
        <v>43</v>
      </c>
      <c r="F8" s="36" t="s">
        <v>43</v>
      </c>
      <c r="G8" s="36" t="s">
        <v>43</v>
      </c>
      <c r="H8" s="36" t="s">
        <v>43</v>
      </c>
      <c r="I8" s="36" t="s">
        <v>43</v>
      </c>
      <c r="J8" s="36" t="s">
        <v>43</v>
      </c>
      <c r="K8" s="36" t="s">
        <v>43</v>
      </c>
      <c r="L8" s="36" t="s">
        <v>43</v>
      </c>
      <c r="M8" s="36" t="s">
        <v>43</v>
      </c>
      <c r="N8" s="36" t="s">
        <v>43</v>
      </c>
      <c r="O8" s="36" t="s">
        <v>43</v>
      </c>
      <c r="P8" s="36" t="s">
        <v>43</v>
      </c>
      <c r="Q8" s="36" t="s">
        <v>43</v>
      </c>
      <c r="R8" s="36" t="s">
        <v>43</v>
      </c>
      <c r="S8" s="36" t="s">
        <v>43</v>
      </c>
      <c r="T8" s="36" t="s">
        <v>43</v>
      </c>
      <c r="U8" s="36" t="s">
        <v>43</v>
      </c>
      <c r="V8" s="36" t="s">
        <v>43</v>
      </c>
      <c r="W8" s="36" t="s">
        <v>43</v>
      </c>
      <c r="X8" s="36" t="s">
        <v>43</v>
      </c>
      <c r="Y8" s="36" t="s">
        <v>43</v>
      </c>
      <c r="Z8" s="36" t="s">
        <v>43</v>
      </c>
      <c r="AA8" s="36" t="s">
        <v>43</v>
      </c>
      <c r="AB8" s="36" t="s">
        <v>43</v>
      </c>
      <c r="AC8" s="36" t="s">
        <v>43</v>
      </c>
      <c r="AD8" s="36" t="s">
        <v>43</v>
      </c>
      <c r="AE8" s="36" t="s">
        <v>43</v>
      </c>
      <c r="AF8" s="36" t="s">
        <v>43</v>
      </c>
      <c r="AG8" s="36" t="s">
        <v>43</v>
      </c>
      <c r="AH8" s="36" t="s">
        <v>43</v>
      </c>
      <c r="AI8" s="36" t="s">
        <v>43</v>
      </c>
      <c r="AJ8" s="36" t="s">
        <v>43</v>
      </c>
      <c r="AK8" s="36" t="s">
        <v>43</v>
      </c>
      <c r="AL8" s="36" t="s">
        <v>43</v>
      </c>
      <c r="AM8" s="36" t="s">
        <v>43</v>
      </c>
      <c r="AN8" s="36" t="s">
        <v>43</v>
      </c>
      <c r="AO8" s="36" t="s">
        <v>43</v>
      </c>
      <c r="AP8" s="36" t="s">
        <v>43</v>
      </c>
      <c r="AQ8" s="36" t="s">
        <v>43</v>
      </c>
      <c r="AR8" s="36" t="s">
        <v>43</v>
      </c>
      <c r="AS8" s="36" t="s">
        <v>43</v>
      </c>
      <c r="AT8" s="36" t="s">
        <v>43</v>
      </c>
      <c r="AU8" s="36" t="s">
        <v>43</v>
      </c>
      <c r="AV8" s="36" t="s">
        <v>43</v>
      </c>
      <c r="AW8" s="36" t="s">
        <v>43</v>
      </c>
      <c r="AX8" s="36" t="s">
        <v>43</v>
      </c>
      <c r="AY8" s="36" t="s">
        <v>43</v>
      </c>
      <c r="AZ8" s="36" t="s">
        <v>43</v>
      </c>
      <c r="BA8" s="36" t="s">
        <v>43</v>
      </c>
      <c r="BB8" s="36" t="s">
        <v>43</v>
      </c>
      <c r="BC8" s="36" t="s">
        <v>43</v>
      </c>
      <c r="BD8" s="36" t="s">
        <v>43</v>
      </c>
      <c r="BE8" s="36" t="s">
        <v>43</v>
      </c>
      <c r="BF8" s="36" t="s">
        <v>43</v>
      </c>
      <c r="BG8" s="36" t="s">
        <v>43</v>
      </c>
      <c r="BH8" s="36">
        <f t="shared" si="0"/>
        <v>56</v>
      </c>
      <c r="BI8" s="37">
        <f t="shared" si="1"/>
        <v>0</v>
      </c>
    </row>
    <row r="9" spans="1:61">
      <c r="A9" s="35" t="s">
        <v>72</v>
      </c>
      <c r="B9" s="35" t="str">
        <f>+RRHH_Control!B9</f>
        <v>Maestro 1° Líneas</v>
      </c>
      <c r="C9" s="35" t="str">
        <f>+RRHH_Control!D9</f>
        <v>Wilmer Chambi</v>
      </c>
      <c r="D9" s="36" t="s">
        <v>43</v>
      </c>
      <c r="E9" s="36" t="s">
        <v>43</v>
      </c>
      <c r="F9" s="36" t="s">
        <v>43</v>
      </c>
      <c r="G9" s="36" t="s">
        <v>43</v>
      </c>
      <c r="H9" s="36" t="s">
        <v>43</v>
      </c>
      <c r="I9" s="36" t="s">
        <v>43</v>
      </c>
      <c r="J9" s="36" t="s">
        <v>43</v>
      </c>
      <c r="K9" s="36" t="s">
        <v>43</v>
      </c>
      <c r="L9" s="36" t="s">
        <v>43</v>
      </c>
      <c r="M9" s="36" t="s">
        <v>43</v>
      </c>
      <c r="N9" s="36" t="s">
        <v>43</v>
      </c>
      <c r="O9" s="36" t="s">
        <v>43</v>
      </c>
      <c r="P9" s="36" t="s">
        <v>43</v>
      </c>
      <c r="Q9" s="36" t="s">
        <v>43</v>
      </c>
      <c r="R9" s="36" t="s">
        <v>43</v>
      </c>
      <c r="S9" s="36" t="s">
        <v>43</v>
      </c>
      <c r="T9" s="36" t="s">
        <v>43</v>
      </c>
      <c r="U9" s="36" t="s">
        <v>43</v>
      </c>
      <c r="V9" s="36" t="s">
        <v>43</v>
      </c>
      <c r="W9" s="36" t="s">
        <v>43</v>
      </c>
      <c r="X9" s="36" t="s">
        <v>43</v>
      </c>
      <c r="Y9" s="36" t="s">
        <v>43</v>
      </c>
      <c r="Z9" s="36" t="s">
        <v>43</v>
      </c>
      <c r="AA9" s="36" t="s">
        <v>43</v>
      </c>
      <c r="AB9" s="36" t="s">
        <v>43</v>
      </c>
      <c r="AC9" s="36" t="s">
        <v>43</v>
      </c>
      <c r="AD9" s="36" t="s">
        <v>43</v>
      </c>
      <c r="AE9" s="36" t="s">
        <v>43</v>
      </c>
      <c r="AF9" s="36" t="s">
        <v>43</v>
      </c>
      <c r="AG9" s="36" t="s">
        <v>43</v>
      </c>
      <c r="AH9" s="36" t="s">
        <v>43</v>
      </c>
      <c r="AI9" s="36" t="s">
        <v>43</v>
      </c>
      <c r="AJ9" s="36" t="s">
        <v>43</v>
      </c>
      <c r="AK9" s="36" t="s">
        <v>43</v>
      </c>
      <c r="AL9" s="36" t="s">
        <v>43</v>
      </c>
      <c r="AM9" s="36" t="s">
        <v>43</v>
      </c>
      <c r="AN9" s="36" t="s">
        <v>43</v>
      </c>
      <c r="AO9" s="36" t="s">
        <v>43</v>
      </c>
      <c r="AP9" s="36" t="s">
        <v>43</v>
      </c>
      <c r="AQ9" s="36" t="s">
        <v>43</v>
      </c>
      <c r="AR9" s="36" t="s">
        <v>43</v>
      </c>
      <c r="AS9" s="36" t="s">
        <v>43</v>
      </c>
      <c r="AT9" s="36" t="s">
        <v>43</v>
      </c>
      <c r="AU9" s="36" t="s">
        <v>43</v>
      </c>
      <c r="AV9" s="36" t="s">
        <v>43</v>
      </c>
      <c r="AW9" s="36" t="s">
        <v>43</v>
      </c>
      <c r="AX9" s="36" t="s">
        <v>43</v>
      </c>
      <c r="AY9" s="36" t="s">
        <v>43</v>
      </c>
      <c r="AZ9" s="36" t="s">
        <v>43</v>
      </c>
      <c r="BA9" s="36" t="s">
        <v>43</v>
      </c>
      <c r="BB9" s="36" t="s">
        <v>43</v>
      </c>
      <c r="BC9" s="36" t="s">
        <v>43</v>
      </c>
      <c r="BD9" s="36" t="s">
        <v>43</v>
      </c>
      <c r="BE9" s="36" t="s">
        <v>43</v>
      </c>
      <c r="BF9" s="36" t="s">
        <v>43</v>
      </c>
      <c r="BG9" s="36" t="s">
        <v>43</v>
      </c>
      <c r="BH9" s="36">
        <f t="shared" si="0"/>
        <v>56</v>
      </c>
      <c r="BI9" s="37">
        <f t="shared" si="1"/>
        <v>0</v>
      </c>
    </row>
    <row r="10" spans="1:61">
      <c r="A10" s="35" t="s">
        <v>76</v>
      </c>
      <c r="B10" s="35" t="str">
        <f>+RRHH_Control!B10</f>
        <v>Maestro 1° Líneas</v>
      </c>
      <c r="C10" s="35" t="str">
        <f>+RRHH_Control!D10</f>
        <v>David Flores</v>
      </c>
      <c r="D10" s="36" t="s">
        <v>43</v>
      </c>
      <c r="E10" s="36" t="s">
        <v>43</v>
      </c>
      <c r="F10" s="36" t="s">
        <v>43</v>
      </c>
      <c r="G10" s="36" t="s">
        <v>43</v>
      </c>
      <c r="H10" s="36" t="s">
        <v>43</v>
      </c>
      <c r="I10" s="36" t="s">
        <v>43</v>
      </c>
      <c r="J10" s="36" t="s">
        <v>43</v>
      </c>
      <c r="K10" s="36" t="s">
        <v>43</v>
      </c>
      <c r="L10" s="36" t="s">
        <v>43</v>
      </c>
      <c r="M10" s="36" t="s">
        <v>43</v>
      </c>
      <c r="N10" s="36" t="s">
        <v>43</v>
      </c>
      <c r="O10" s="36" t="s">
        <v>43</v>
      </c>
      <c r="P10" s="36" t="s">
        <v>43</v>
      </c>
      <c r="Q10" s="36" t="s">
        <v>43</v>
      </c>
      <c r="R10" s="36" t="s">
        <v>43</v>
      </c>
      <c r="S10" s="36" t="s">
        <v>43</v>
      </c>
      <c r="T10" s="36" t="s">
        <v>43</v>
      </c>
      <c r="U10" s="36" t="s">
        <v>43</v>
      </c>
      <c r="V10" s="36" t="s">
        <v>43</v>
      </c>
      <c r="W10" s="36" t="s">
        <v>43</v>
      </c>
      <c r="X10" s="36" t="s">
        <v>43</v>
      </c>
      <c r="Y10" s="36" t="s">
        <v>43</v>
      </c>
      <c r="Z10" s="36" t="s">
        <v>43</v>
      </c>
      <c r="AA10" s="36" t="s">
        <v>43</v>
      </c>
      <c r="AB10" s="36" t="s">
        <v>43</v>
      </c>
      <c r="AC10" s="36" t="s">
        <v>43</v>
      </c>
      <c r="AD10" s="36" t="s">
        <v>43</v>
      </c>
      <c r="AE10" s="36" t="s">
        <v>43</v>
      </c>
      <c r="AF10" s="36" t="s">
        <v>43</v>
      </c>
      <c r="AG10" s="36" t="s">
        <v>43</v>
      </c>
      <c r="AH10" s="36" t="s">
        <v>43</v>
      </c>
      <c r="AI10" s="36" t="s">
        <v>43</v>
      </c>
      <c r="AJ10" s="36" t="s">
        <v>43</v>
      </c>
      <c r="AK10" s="36" t="s">
        <v>43</v>
      </c>
      <c r="AL10" s="36" t="s">
        <v>43</v>
      </c>
      <c r="AM10" s="36" t="s">
        <v>43</v>
      </c>
      <c r="AN10" s="36" t="s">
        <v>43</v>
      </c>
      <c r="AO10" s="36" t="s">
        <v>43</v>
      </c>
      <c r="AP10" s="36" t="s">
        <v>43</v>
      </c>
      <c r="AQ10" s="36" t="s">
        <v>43</v>
      </c>
      <c r="AR10" s="36" t="s">
        <v>43</v>
      </c>
      <c r="AS10" s="36" t="s">
        <v>43</v>
      </c>
      <c r="AT10" s="36" t="s">
        <v>43</v>
      </c>
      <c r="AU10" s="36" t="s">
        <v>43</v>
      </c>
      <c r="AV10" s="36" t="s">
        <v>43</v>
      </c>
      <c r="AW10" s="36" t="s">
        <v>43</v>
      </c>
      <c r="AX10" s="36" t="s">
        <v>43</v>
      </c>
      <c r="AY10" s="36" t="s">
        <v>43</v>
      </c>
      <c r="AZ10" s="36" t="s">
        <v>43</v>
      </c>
      <c r="BA10" s="36" t="s">
        <v>43</v>
      </c>
      <c r="BB10" s="36" t="s">
        <v>43</v>
      </c>
      <c r="BC10" s="36" t="s">
        <v>43</v>
      </c>
      <c r="BD10" s="36" t="s">
        <v>43</v>
      </c>
      <c r="BE10" s="36" t="s">
        <v>43</v>
      </c>
      <c r="BF10" s="36" t="s">
        <v>43</v>
      </c>
      <c r="BG10" s="36" t="s">
        <v>43</v>
      </c>
      <c r="BH10" s="36">
        <f t="shared" si="0"/>
        <v>56</v>
      </c>
      <c r="BI10" s="37">
        <f t="shared" si="1"/>
        <v>0</v>
      </c>
    </row>
    <row r="11" spans="1:61">
      <c r="A11" s="35" t="s">
        <v>79</v>
      </c>
      <c r="B11" s="35" t="str">
        <f>+RRHH_Control!B11</f>
        <v>Maestro 1° Líneas</v>
      </c>
      <c r="C11" s="35" t="str">
        <f>+RRHH_Control!D11</f>
        <v>Wilber Corrales</v>
      </c>
      <c r="D11" s="36" t="s">
        <v>43</v>
      </c>
      <c r="E11" s="36" t="s">
        <v>43</v>
      </c>
      <c r="F11" s="36" t="s">
        <v>43</v>
      </c>
      <c r="G11" s="36" t="s">
        <v>43</v>
      </c>
      <c r="H11" s="36" t="s">
        <v>43</v>
      </c>
      <c r="I11" s="36" t="s">
        <v>43</v>
      </c>
      <c r="J11" s="36" t="s">
        <v>43</v>
      </c>
      <c r="K11" s="36" t="s">
        <v>43</v>
      </c>
      <c r="L11" s="36" t="s">
        <v>43</v>
      </c>
      <c r="M11" s="36" t="s">
        <v>43</v>
      </c>
      <c r="N11" s="36" t="s">
        <v>43</v>
      </c>
      <c r="O11" s="36" t="s">
        <v>43</v>
      </c>
      <c r="P11" s="36" t="s">
        <v>43</v>
      </c>
      <c r="Q11" s="36" t="s">
        <v>43</v>
      </c>
      <c r="R11" s="36" t="s">
        <v>43</v>
      </c>
      <c r="S11" s="36" t="s">
        <v>43</v>
      </c>
      <c r="T11" s="36" t="s">
        <v>43</v>
      </c>
      <c r="U11" s="36" t="s">
        <v>43</v>
      </c>
      <c r="V11" s="36" t="s">
        <v>43</v>
      </c>
      <c r="W11" s="36" t="s">
        <v>43</v>
      </c>
      <c r="X11" s="36" t="s">
        <v>43</v>
      </c>
      <c r="Y11" s="36" t="s">
        <v>43</v>
      </c>
      <c r="Z11" s="36" t="s">
        <v>43</v>
      </c>
      <c r="AA11" s="36" t="s">
        <v>43</v>
      </c>
      <c r="AB11" s="36" t="s">
        <v>43</v>
      </c>
      <c r="AC11" s="36" t="s">
        <v>43</v>
      </c>
      <c r="AD11" s="36" t="s">
        <v>43</v>
      </c>
      <c r="AE11" s="36" t="s">
        <v>43</v>
      </c>
      <c r="AF11" s="36" t="s">
        <v>43</v>
      </c>
      <c r="AG11" s="36" t="s">
        <v>43</v>
      </c>
      <c r="AH11" s="36" t="s">
        <v>43</v>
      </c>
      <c r="AI11" s="36" t="s">
        <v>43</v>
      </c>
      <c r="AJ11" s="36" t="s">
        <v>43</v>
      </c>
      <c r="AK11" s="36" t="s">
        <v>43</v>
      </c>
      <c r="AL11" s="36" t="s">
        <v>43</v>
      </c>
      <c r="AM11" s="36" t="s">
        <v>43</v>
      </c>
      <c r="AN11" s="36" t="s">
        <v>43</v>
      </c>
      <c r="AO11" s="36" t="s">
        <v>43</v>
      </c>
      <c r="AP11" s="36" t="s">
        <v>43</v>
      </c>
      <c r="AQ11" s="36" t="s">
        <v>43</v>
      </c>
      <c r="AR11" s="36" t="s">
        <v>43</v>
      </c>
      <c r="AS11" s="36" t="s">
        <v>43</v>
      </c>
      <c r="AT11" s="36" t="s">
        <v>43</v>
      </c>
      <c r="AU11" s="36" t="s">
        <v>43</v>
      </c>
      <c r="AV11" s="36" t="s">
        <v>43</v>
      </c>
      <c r="AW11" s="36" t="s">
        <v>43</v>
      </c>
      <c r="AX11" s="36" t="s">
        <v>43</v>
      </c>
      <c r="AY11" s="36" t="s">
        <v>43</v>
      </c>
      <c r="AZ11" s="36" t="s">
        <v>43</v>
      </c>
      <c r="BA11" s="36" t="s">
        <v>43</v>
      </c>
      <c r="BB11" s="36" t="s">
        <v>43</v>
      </c>
      <c r="BC11" s="36" t="s">
        <v>43</v>
      </c>
      <c r="BD11" s="36" t="s">
        <v>43</v>
      </c>
      <c r="BE11" s="36" t="s">
        <v>43</v>
      </c>
      <c r="BF11" s="36" t="s">
        <v>43</v>
      </c>
      <c r="BG11" s="36" t="s">
        <v>43</v>
      </c>
      <c r="BH11" s="36">
        <f t="shared" si="0"/>
        <v>56</v>
      </c>
      <c r="BI11" s="37">
        <f t="shared" si="1"/>
        <v>0</v>
      </c>
    </row>
    <row r="12" spans="1:61">
      <c r="A12" s="35" t="s">
        <v>82</v>
      </c>
      <c r="B12" s="35" t="str">
        <f>+RRHH_Control!B12</f>
        <v>Maestro 1° Líneas</v>
      </c>
      <c r="C12" s="35" t="str">
        <f>+RRHH_Control!D12</f>
        <v>Ronald Orellana</v>
      </c>
      <c r="D12" s="36" t="s">
        <v>43</v>
      </c>
      <c r="E12" s="36" t="s">
        <v>43</v>
      </c>
      <c r="F12" s="36" t="s">
        <v>43</v>
      </c>
      <c r="G12" s="36" t="s">
        <v>43</v>
      </c>
      <c r="H12" s="36" t="s">
        <v>43</v>
      </c>
      <c r="I12" s="36" t="s">
        <v>43</v>
      </c>
      <c r="J12" s="36" t="s">
        <v>43</v>
      </c>
      <c r="K12" s="36" t="s">
        <v>43</v>
      </c>
      <c r="L12" s="36" t="s">
        <v>43</v>
      </c>
      <c r="M12" s="36" t="s">
        <v>43</v>
      </c>
      <c r="N12" s="36" t="s">
        <v>43</v>
      </c>
      <c r="O12" s="36" t="s">
        <v>43</v>
      </c>
      <c r="P12" s="36" t="s">
        <v>43</v>
      </c>
      <c r="Q12" s="36" t="s">
        <v>43</v>
      </c>
      <c r="R12" s="36" t="s">
        <v>43</v>
      </c>
      <c r="S12" s="36" t="s">
        <v>43</v>
      </c>
      <c r="T12" s="36" t="s">
        <v>43</v>
      </c>
      <c r="U12" s="36" t="s">
        <v>43</v>
      </c>
      <c r="V12" s="36" t="s">
        <v>43</v>
      </c>
      <c r="W12" s="36" t="s">
        <v>43</v>
      </c>
      <c r="X12" s="36" t="s">
        <v>43</v>
      </c>
      <c r="Y12" s="36" t="s">
        <v>43</v>
      </c>
      <c r="Z12" s="36" t="s">
        <v>43</v>
      </c>
      <c r="AA12" s="36" t="s">
        <v>43</v>
      </c>
      <c r="AB12" s="36" t="s">
        <v>43</v>
      </c>
      <c r="AC12" s="36" t="s">
        <v>43</v>
      </c>
      <c r="AD12" s="36" t="s">
        <v>43</v>
      </c>
      <c r="AE12" s="36" t="s">
        <v>43</v>
      </c>
      <c r="AF12" s="36" t="s">
        <v>43</v>
      </c>
      <c r="AG12" s="36" t="s">
        <v>43</v>
      </c>
      <c r="AH12" s="36" t="s">
        <v>43</v>
      </c>
      <c r="AI12" s="36" t="s">
        <v>43</v>
      </c>
      <c r="AJ12" s="36" t="s">
        <v>43</v>
      </c>
      <c r="AK12" s="36" t="s">
        <v>43</v>
      </c>
      <c r="AL12" s="36" t="s">
        <v>43</v>
      </c>
      <c r="AM12" s="36" t="s">
        <v>43</v>
      </c>
      <c r="AN12" s="36" t="s">
        <v>43</v>
      </c>
      <c r="AO12" s="36" t="s">
        <v>43</v>
      </c>
      <c r="AP12" s="36" t="s">
        <v>43</v>
      </c>
      <c r="AQ12" s="36" t="s">
        <v>43</v>
      </c>
      <c r="AR12" s="36" t="s">
        <v>43</v>
      </c>
      <c r="AS12" s="36" t="s">
        <v>43</v>
      </c>
      <c r="AT12" s="36" t="s">
        <v>43</v>
      </c>
      <c r="AU12" s="36" t="s">
        <v>43</v>
      </c>
      <c r="AV12" s="36" t="s">
        <v>43</v>
      </c>
      <c r="AW12" s="36" t="s">
        <v>43</v>
      </c>
      <c r="AX12" s="36" t="s">
        <v>43</v>
      </c>
      <c r="AY12" s="36" t="s">
        <v>43</v>
      </c>
      <c r="AZ12" s="36" t="s">
        <v>43</v>
      </c>
      <c r="BA12" s="36" t="s">
        <v>43</v>
      </c>
      <c r="BB12" s="36" t="s">
        <v>43</v>
      </c>
      <c r="BC12" s="36" t="s">
        <v>43</v>
      </c>
      <c r="BD12" s="36" t="s">
        <v>43</v>
      </c>
      <c r="BE12" s="36" t="s">
        <v>43</v>
      </c>
      <c r="BF12" s="36" t="s">
        <v>43</v>
      </c>
      <c r="BG12" s="36" t="s">
        <v>43</v>
      </c>
      <c r="BH12" s="36">
        <f t="shared" si="0"/>
        <v>56</v>
      </c>
      <c r="BI12" s="37">
        <f t="shared" si="1"/>
        <v>0</v>
      </c>
    </row>
    <row r="13" spans="1:61">
      <c r="A13" s="35" t="s">
        <v>85</v>
      </c>
      <c r="B13" s="35" t="str">
        <f>+RRHH_Control!B13</f>
        <v>Maestro 1° Líneas</v>
      </c>
      <c r="C13" s="35" t="str">
        <f>+RRHH_Control!D13</f>
        <v>Maica Villca</v>
      </c>
      <c r="D13" s="36" t="s">
        <v>43</v>
      </c>
      <c r="E13" s="36" t="s">
        <v>43</v>
      </c>
      <c r="F13" s="36" t="s">
        <v>43</v>
      </c>
      <c r="G13" s="36" t="s">
        <v>43</v>
      </c>
      <c r="H13" s="36" t="s">
        <v>43</v>
      </c>
      <c r="I13" s="36" t="s">
        <v>43</v>
      </c>
      <c r="J13" s="36" t="s">
        <v>43</v>
      </c>
      <c r="K13" s="36" t="s">
        <v>43</v>
      </c>
      <c r="L13" s="36" t="s">
        <v>43</v>
      </c>
      <c r="M13" s="36" t="s">
        <v>43</v>
      </c>
      <c r="N13" s="36" t="s">
        <v>43</v>
      </c>
      <c r="O13" s="36" t="s">
        <v>43</v>
      </c>
      <c r="P13" s="36" t="s">
        <v>43</v>
      </c>
      <c r="Q13" s="36" t="s">
        <v>43</v>
      </c>
      <c r="R13" s="36" t="s">
        <v>43</v>
      </c>
      <c r="S13" s="36" t="s">
        <v>43</v>
      </c>
      <c r="T13" s="36" t="s">
        <v>43</v>
      </c>
      <c r="U13" s="36" t="s">
        <v>43</v>
      </c>
      <c r="V13" s="36" t="s">
        <v>43</v>
      </c>
      <c r="W13" s="36" t="s">
        <v>43</v>
      </c>
      <c r="X13" s="36" t="s">
        <v>43</v>
      </c>
      <c r="Y13" s="36" t="s">
        <v>43</v>
      </c>
      <c r="Z13" s="36" t="s">
        <v>43</v>
      </c>
      <c r="AA13" s="36" t="s">
        <v>43</v>
      </c>
      <c r="AB13" s="36" t="s">
        <v>43</v>
      </c>
      <c r="AC13" s="36" t="s">
        <v>43</v>
      </c>
      <c r="AD13" s="36" t="s">
        <v>43</v>
      </c>
      <c r="AE13" s="36" t="s">
        <v>43</v>
      </c>
      <c r="AF13" s="36" t="s">
        <v>43</v>
      </c>
      <c r="AG13" s="36" t="s">
        <v>43</v>
      </c>
      <c r="AH13" s="36" t="s">
        <v>43</v>
      </c>
      <c r="AI13" s="36" t="s">
        <v>43</v>
      </c>
      <c r="AJ13" s="36" t="s">
        <v>43</v>
      </c>
      <c r="AK13" s="36" t="s">
        <v>43</v>
      </c>
      <c r="AL13" s="36" t="s">
        <v>43</v>
      </c>
      <c r="AM13" s="36" t="s">
        <v>43</v>
      </c>
      <c r="AN13" s="36" t="s">
        <v>43</v>
      </c>
      <c r="AO13" s="36" t="s">
        <v>43</v>
      </c>
      <c r="AP13" s="36" t="s">
        <v>43</v>
      </c>
      <c r="AQ13" s="36" t="s">
        <v>43</v>
      </c>
      <c r="AR13" s="36" t="s">
        <v>43</v>
      </c>
      <c r="AS13" s="36" t="s">
        <v>43</v>
      </c>
      <c r="AT13" s="36" t="s">
        <v>43</v>
      </c>
      <c r="AU13" s="36" t="s">
        <v>43</v>
      </c>
      <c r="AV13" s="36" t="s">
        <v>43</v>
      </c>
      <c r="AW13" s="36" t="s">
        <v>43</v>
      </c>
      <c r="AX13" s="36" t="s">
        <v>43</v>
      </c>
      <c r="AY13" s="36" t="s">
        <v>43</v>
      </c>
      <c r="AZ13" s="36" t="s">
        <v>43</v>
      </c>
      <c r="BA13" s="36" t="s">
        <v>43</v>
      </c>
      <c r="BB13" s="36" t="s">
        <v>43</v>
      </c>
      <c r="BC13" s="36" t="s">
        <v>43</v>
      </c>
      <c r="BD13" s="36" t="s">
        <v>43</v>
      </c>
      <c r="BE13" s="36" t="s">
        <v>43</v>
      </c>
      <c r="BF13" s="36" t="s">
        <v>43</v>
      </c>
      <c r="BG13" s="36" t="s">
        <v>43</v>
      </c>
      <c r="BH13" s="36">
        <f t="shared" si="0"/>
        <v>56</v>
      </c>
      <c r="BI13" s="37">
        <f t="shared" si="1"/>
        <v>0</v>
      </c>
    </row>
    <row r="14" spans="1:61">
      <c r="A14" s="35" t="s">
        <v>88</v>
      </c>
      <c r="B14" s="35" t="str">
        <f>+RRHH_Control!B14</f>
        <v>Maestro 1° Líneas</v>
      </c>
      <c r="C14" s="35" t="str">
        <f>+RRHH_Control!D14</f>
        <v>Fredy Arena</v>
      </c>
      <c r="D14" s="36" t="s">
        <v>43</v>
      </c>
      <c r="E14" s="36" t="s">
        <v>43</v>
      </c>
      <c r="F14" s="36" t="s">
        <v>43</v>
      </c>
      <c r="G14" s="36" t="s">
        <v>43</v>
      </c>
      <c r="H14" s="36" t="s">
        <v>43</v>
      </c>
      <c r="I14" s="36" t="s">
        <v>43</v>
      </c>
      <c r="J14" s="36" t="s">
        <v>43</v>
      </c>
      <c r="K14" s="36" t="s">
        <v>43</v>
      </c>
      <c r="L14" s="36" t="s">
        <v>43</v>
      </c>
      <c r="M14" s="36" t="s">
        <v>43</v>
      </c>
      <c r="N14" s="36" t="s">
        <v>43</v>
      </c>
      <c r="O14" s="36" t="s">
        <v>43</v>
      </c>
      <c r="P14" s="36" t="s">
        <v>43</v>
      </c>
      <c r="Q14" s="36" t="s">
        <v>43</v>
      </c>
      <c r="R14" s="36" t="s">
        <v>43</v>
      </c>
      <c r="S14" s="36" t="s">
        <v>43</v>
      </c>
      <c r="T14" s="36" t="s">
        <v>43</v>
      </c>
      <c r="U14" s="36" t="s">
        <v>43</v>
      </c>
      <c r="V14" s="36" t="s">
        <v>43</v>
      </c>
      <c r="W14" s="36" t="s">
        <v>43</v>
      </c>
      <c r="X14" s="36" t="s">
        <v>43</v>
      </c>
      <c r="Y14" s="36" t="s">
        <v>43</v>
      </c>
      <c r="Z14" s="36" t="s">
        <v>43</v>
      </c>
      <c r="AA14" s="36" t="s">
        <v>43</v>
      </c>
      <c r="AB14" s="36" t="s">
        <v>43</v>
      </c>
      <c r="AC14" s="36" t="s">
        <v>43</v>
      </c>
      <c r="AD14" s="36" t="s">
        <v>43</v>
      </c>
      <c r="AE14" s="36" t="s">
        <v>43</v>
      </c>
      <c r="AF14" s="36" t="s">
        <v>43</v>
      </c>
      <c r="AG14" s="36" t="s">
        <v>43</v>
      </c>
      <c r="AH14" s="36" t="s">
        <v>43</v>
      </c>
      <c r="AI14" s="36" t="s">
        <v>43</v>
      </c>
      <c r="AJ14" s="36" t="s">
        <v>43</v>
      </c>
      <c r="AK14" s="36" t="s">
        <v>43</v>
      </c>
      <c r="AL14" s="36" t="s">
        <v>43</v>
      </c>
      <c r="AM14" s="36" t="s">
        <v>43</v>
      </c>
      <c r="AN14" s="36" t="s">
        <v>43</v>
      </c>
      <c r="AO14" s="36" t="s">
        <v>43</v>
      </c>
      <c r="AP14" s="36" t="s">
        <v>43</v>
      </c>
      <c r="AQ14" s="36" t="s">
        <v>43</v>
      </c>
      <c r="AR14" s="36" t="s">
        <v>43</v>
      </c>
      <c r="AS14" s="36" t="s">
        <v>43</v>
      </c>
      <c r="AT14" s="36" t="s">
        <v>43</v>
      </c>
      <c r="AU14" s="36" t="s">
        <v>43</v>
      </c>
      <c r="AV14" s="36" t="s">
        <v>43</v>
      </c>
      <c r="AW14" s="36" t="s">
        <v>43</v>
      </c>
      <c r="AX14" s="36" t="s">
        <v>43</v>
      </c>
      <c r="AY14" s="36" t="s">
        <v>43</v>
      </c>
      <c r="AZ14" s="36" t="s">
        <v>43</v>
      </c>
      <c r="BA14" s="36" t="s">
        <v>43</v>
      </c>
      <c r="BB14" s="36" t="s">
        <v>43</v>
      </c>
      <c r="BC14" s="36" t="s">
        <v>43</v>
      </c>
      <c r="BD14" s="36" t="s">
        <v>43</v>
      </c>
      <c r="BE14" s="36" t="s">
        <v>43</v>
      </c>
      <c r="BF14" s="36" t="s">
        <v>43</v>
      </c>
      <c r="BG14" s="36" t="s">
        <v>43</v>
      </c>
      <c r="BH14" s="36">
        <f t="shared" si="0"/>
        <v>56</v>
      </c>
      <c r="BI14" s="37">
        <f t="shared" si="1"/>
        <v>0</v>
      </c>
    </row>
    <row r="15" spans="1:61">
      <c r="A15" s="35" t="s">
        <v>91</v>
      </c>
      <c r="B15" s="35" t="str">
        <f>+RRHH_Control!B15</f>
        <v>Maestro 2° Líneas</v>
      </c>
      <c r="C15" s="35" t="str">
        <f>+RRHH_Control!D15</f>
        <v>Roly Ipurani</v>
      </c>
      <c r="D15" s="36" t="s">
        <v>43</v>
      </c>
      <c r="E15" s="36" t="s">
        <v>43</v>
      </c>
      <c r="F15" s="36" t="s">
        <v>43</v>
      </c>
      <c r="G15" s="36" t="s">
        <v>43</v>
      </c>
      <c r="H15" s="36" t="s">
        <v>43</v>
      </c>
      <c r="I15" s="36" t="s">
        <v>43</v>
      </c>
      <c r="J15" s="36" t="s">
        <v>43</v>
      </c>
      <c r="K15" s="36" t="s">
        <v>43</v>
      </c>
      <c r="L15" s="36" t="s">
        <v>43</v>
      </c>
      <c r="M15" s="36" t="s">
        <v>43</v>
      </c>
      <c r="N15" s="36" t="s">
        <v>43</v>
      </c>
      <c r="O15" s="36" t="s">
        <v>43</v>
      </c>
      <c r="P15" s="36" t="s">
        <v>43</v>
      </c>
      <c r="Q15" s="36" t="s">
        <v>43</v>
      </c>
      <c r="R15" s="36" t="s">
        <v>43</v>
      </c>
      <c r="S15" s="36" t="s">
        <v>43</v>
      </c>
      <c r="T15" s="36" t="s">
        <v>43</v>
      </c>
      <c r="U15" s="36" t="s">
        <v>43</v>
      </c>
      <c r="V15" s="36" t="s">
        <v>43</v>
      </c>
      <c r="W15" s="36" t="s">
        <v>43</v>
      </c>
      <c r="X15" s="36" t="s">
        <v>43</v>
      </c>
      <c r="Y15" s="36" t="s">
        <v>43</v>
      </c>
      <c r="Z15" s="36" t="s">
        <v>43</v>
      </c>
      <c r="AA15" s="36" t="s">
        <v>43</v>
      </c>
      <c r="AB15" s="36" t="s">
        <v>43</v>
      </c>
      <c r="AC15" s="36" t="s">
        <v>43</v>
      </c>
      <c r="AD15" s="36" t="s">
        <v>43</v>
      </c>
      <c r="AE15" s="36" t="s">
        <v>43</v>
      </c>
      <c r="AF15" s="36" t="s">
        <v>43</v>
      </c>
      <c r="AG15" s="36" t="s">
        <v>43</v>
      </c>
      <c r="AH15" s="36" t="s">
        <v>43</v>
      </c>
      <c r="AI15" s="36" t="s">
        <v>43</v>
      </c>
      <c r="AJ15" s="36" t="s">
        <v>43</v>
      </c>
      <c r="AK15" s="36" t="s">
        <v>43</v>
      </c>
      <c r="AL15" s="36" t="s">
        <v>43</v>
      </c>
      <c r="AM15" s="36" t="s">
        <v>43</v>
      </c>
      <c r="AN15" s="36" t="s">
        <v>43</v>
      </c>
      <c r="AO15" s="36" t="s">
        <v>43</v>
      </c>
      <c r="AP15" s="36" t="s">
        <v>43</v>
      </c>
      <c r="AQ15" s="36" t="s">
        <v>43</v>
      </c>
      <c r="AR15" s="36" t="s">
        <v>43</v>
      </c>
      <c r="AS15" s="36" t="s">
        <v>43</v>
      </c>
      <c r="AT15" s="36" t="s">
        <v>43</v>
      </c>
      <c r="AU15" s="36" t="s">
        <v>43</v>
      </c>
      <c r="AV15" s="36" t="s">
        <v>43</v>
      </c>
      <c r="AW15" s="36" t="s">
        <v>43</v>
      </c>
      <c r="AX15" s="36" t="s">
        <v>43</v>
      </c>
      <c r="AY15" s="36" t="s">
        <v>43</v>
      </c>
      <c r="AZ15" s="36" t="s">
        <v>43</v>
      </c>
      <c r="BA15" s="36" t="s">
        <v>43</v>
      </c>
      <c r="BB15" s="36" t="s">
        <v>43</v>
      </c>
      <c r="BC15" s="36" t="s">
        <v>43</v>
      </c>
      <c r="BD15" s="36" t="s">
        <v>43</v>
      </c>
      <c r="BE15" s="36" t="s">
        <v>43</v>
      </c>
      <c r="BF15" s="36" t="s">
        <v>43</v>
      </c>
      <c r="BG15" s="36" t="s">
        <v>43</v>
      </c>
      <c r="BH15" s="36">
        <f t="shared" si="0"/>
        <v>56</v>
      </c>
      <c r="BI15" s="37">
        <f t="shared" si="1"/>
        <v>0</v>
      </c>
    </row>
    <row r="16" spans="1:61">
      <c r="A16" s="35" t="s">
        <v>95</v>
      </c>
      <c r="B16" s="35" t="str">
        <f>+RRHH_Control!B21</f>
        <v>Maestro 2° Líneas</v>
      </c>
      <c r="C16" s="35" t="str">
        <f>+RRHH_Control!D21</f>
        <v>Teodoro Paca</v>
      </c>
      <c r="D16" s="36" t="s">
        <v>43</v>
      </c>
      <c r="E16" s="36" t="s">
        <v>43</v>
      </c>
      <c r="F16" s="36" t="s">
        <v>43</v>
      </c>
      <c r="G16" s="36" t="s">
        <v>43</v>
      </c>
      <c r="H16" s="36" t="s">
        <v>43</v>
      </c>
      <c r="I16" s="36" t="s">
        <v>43</v>
      </c>
      <c r="J16" s="36" t="s">
        <v>43</v>
      </c>
      <c r="K16" s="36" t="s">
        <v>43</v>
      </c>
      <c r="L16" s="36" t="s">
        <v>43</v>
      </c>
      <c r="M16" s="36" t="s">
        <v>43</v>
      </c>
      <c r="N16" s="36" t="s">
        <v>43</v>
      </c>
      <c r="O16" s="36" t="s">
        <v>43</v>
      </c>
      <c r="P16" s="36" t="s">
        <v>43</v>
      </c>
      <c r="Q16" s="36" t="s">
        <v>43</v>
      </c>
      <c r="R16" s="36" t="s">
        <v>43</v>
      </c>
      <c r="S16" s="36" t="s">
        <v>43</v>
      </c>
      <c r="T16" s="36" t="s">
        <v>43</v>
      </c>
      <c r="U16" s="36" t="s">
        <v>43</v>
      </c>
      <c r="V16" s="36" t="s">
        <v>43</v>
      </c>
      <c r="W16" s="36" t="s">
        <v>43</v>
      </c>
      <c r="X16" s="36" t="s">
        <v>43</v>
      </c>
      <c r="Y16" s="36" t="s">
        <v>43</v>
      </c>
      <c r="Z16" s="36" t="s">
        <v>43</v>
      </c>
      <c r="AA16" s="36" t="s">
        <v>43</v>
      </c>
      <c r="AB16" s="36" t="s">
        <v>43</v>
      </c>
      <c r="AC16" s="36" t="s">
        <v>43</v>
      </c>
      <c r="AD16" s="36" t="s">
        <v>43</v>
      </c>
      <c r="AE16" s="36" t="s">
        <v>43</v>
      </c>
      <c r="AF16" s="36" t="s">
        <v>43</v>
      </c>
      <c r="AG16" s="36" t="s">
        <v>43</v>
      </c>
      <c r="AH16" s="36" t="s">
        <v>43</v>
      </c>
      <c r="AI16" s="36" t="s">
        <v>43</v>
      </c>
      <c r="AJ16" s="36" t="s">
        <v>43</v>
      </c>
      <c r="AK16" s="36" t="s">
        <v>43</v>
      </c>
      <c r="AL16" s="36" t="s">
        <v>43</v>
      </c>
      <c r="AM16" s="36" t="s">
        <v>43</v>
      </c>
      <c r="AN16" s="36" t="s">
        <v>43</v>
      </c>
      <c r="AO16" s="36" t="s">
        <v>43</v>
      </c>
      <c r="AP16" s="36" t="s">
        <v>43</v>
      </c>
      <c r="AQ16" s="36" t="s">
        <v>43</v>
      </c>
      <c r="AR16" s="36" t="s">
        <v>43</v>
      </c>
      <c r="AS16" s="36" t="s">
        <v>43</v>
      </c>
      <c r="AT16" s="36" t="s">
        <v>43</v>
      </c>
      <c r="AU16" s="36" t="s">
        <v>43</v>
      </c>
      <c r="AV16" s="36" t="s">
        <v>43</v>
      </c>
      <c r="AW16" s="36" t="s">
        <v>43</v>
      </c>
      <c r="AX16" s="36" t="s">
        <v>43</v>
      </c>
      <c r="AY16" s="36" t="s">
        <v>43</v>
      </c>
      <c r="AZ16" s="36" t="s">
        <v>43</v>
      </c>
      <c r="BA16" s="36" t="s">
        <v>43</v>
      </c>
      <c r="BB16" s="36" t="s">
        <v>43</v>
      </c>
      <c r="BC16" s="36" t="s">
        <v>43</v>
      </c>
      <c r="BD16" s="36" t="s">
        <v>43</v>
      </c>
      <c r="BE16" s="36" t="s">
        <v>43</v>
      </c>
      <c r="BF16" s="36" t="s">
        <v>43</v>
      </c>
      <c r="BG16" s="36" t="s">
        <v>43</v>
      </c>
      <c r="BH16" s="36">
        <f t="shared" si="0"/>
        <v>56</v>
      </c>
      <c r="BI16" s="37">
        <f t="shared" si="1"/>
        <v>0</v>
      </c>
    </row>
    <row r="17" spans="1:61">
      <c r="A17" s="35" t="s">
        <v>98</v>
      </c>
      <c r="B17" s="35" t="str">
        <f>+RRHH_Control!B17</f>
        <v>Operador</v>
      </c>
      <c r="C17" s="35" t="str">
        <f>+RRHH_Control!D17</f>
        <v xml:space="preserve">Matias Quiñenao </v>
      </c>
      <c r="D17" s="36" t="s">
        <v>43</v>
      </c>
      <c r="E17" s="36" t="s">
        <v>43</v>
      </c>
      <c r="F17" s="36" t="s">
        <v>43</v>
      </c>
      <c r="G17" s="36" t="s">
        <v>43</v>
      </c>
      <c r="H17" s="36" t="s">
        <v>43</v>
      </c>
      <c r="I17" s="36" t="s">
        <v>43</v>
      </c>
      <c r="J17" s="36" t="s">
        <v>43</v>
      </c>
      <c r="K17" s="36" t="s">
        <v>43</v>
      </c>
      <c r="L17" s="36" t="s">
        <v>43</v>
      </c>
      <c r="M17" s="36" t="s">
        <v>43</v>
      </c>
      <c r="N17" s="36" t="s">
        <v>43</v>
      </c>
      <c r="O17" s="36" t="s">
        <v>43</v>
      </c>
      <c r="P17" s="36" t="s">
        <v>43</v>
      </c>
      <c r="Q17" s="36" t="s">
        <v>43</v>
      </c>
      <c r="R17" s="36" t="s">
        <v>43</v>
      </c>
      <c r="S17" s="36" t="s">
        <v>43</v>
      </c>
      <c r="T17" s="36" t="s">
        <v>43</v>
      </c>
      <c r="U17" s="36" t="s">
        <v>43</v>
      </c>
      <c r="V17" s="36" t="s">
        <v>43</v>
      </c>
      <c r="W17" s="36" t="s">
        <v>43</v>
      </c>
      <c r="X17" s="36" t="s">
        <v>43</v>
      </c>
      <c r="Y17" s="36" t="s">
        <v>43</v>
      </c>
      <c r="Z17" s="36" t="s">
        <v>43</v>
      </c>
      <c r="AA17" s="36" t="s">
        <v>43</v>
      </c>
      <c r="AB17" s="36" t="s">
        <v>43</v>
      </c>
      <c r="AC17" s="36" t="s">
        <v>43</v>
      </c>
      <c r="AD17" s="36" t="s">
        <v>43</v>
      </c>
      <c r="AE17" s="36" t="s">
        <v>43</v>
      </c>
      <c r="AF17" s="36" t="s">
        <v>43</v>
      </c>
      <c r="AG17" s="36" t="s">
        <v>43</v>
      </c>
      <c r="AH17" s="36" t="s">
        <v>43</v>
      </c>
      <c r="AI17" s="36" t="s">
        <v>43</v>
      </c>
      <c r="AJ17" s="36" t="s">
        <v>43</v>
      </c>
      <c r="AK17" s="36" t="s">
        <v>43</v>
      </c>
      <c r="AL17" s="36" t="s">
        <v>43</v>
      </c>
      <c r="AM17" s="36" t="s">
        <v>43</v>
      </c>
      <c r="AN17" s="36" t="s">
        <v>43</v>
      </c>
      <c r="AO17" s="36" t="s">
        <v>43</v>
      </c>
      <c r="AP17" s="36" t="s">
        <v>43</v>
      </c>
      <c r="AQ17" s="36" t="s">
        <v>43</v>
      </c>
      <c r="AR17" s="36" t="s">
        <v>43</v>
      </c>
      <c r="AS17" s="36" t="s">
        <v>43</v>
      </c>
      <c r="AT17" s="36" t="s">
        <v>43</v>
      </c>
      <c r="AU17" s="36" t="s">
        <v>43</v>
      </c>
      <c r="AV17" s="36" t="s">
        <v>43</v>
      </c>
      <c r="AW17" s="36" t="s">
        <v>43</v>
      </c>
      <c r="AX17" s="36" t="s">
        <v>43</v>
      </c>
      <c r="AY17" s="36" t="s">
        <v>43</v>
      </c>
      <c r="AZ17" s="36" t="s">
        <v>43</v>
      </c>
      <c r="BA17" s="36" t="s">
        <v>43</v>
      </c>
      <c r="BB17" s="36" t="s">
        <v>43</v>
      </c>
      <c r="BC17" s="36" t="s">
        <v>43</v>
      </c>
      <c r="BD17" s="36" t="s">
        <v>43</v>
      </c>
      <c r="BE17" s="36" t="s">
        <v>43</v>
      </c>
      <c r="BF17" s="36" t="s">
        <v>43</v>
      </c>
      <c r="BG17" s="36" t="s">
        <v>43</v>
      </c>
      <c r="BH17" s="36">
        <f t="shared" si="0"/>
        <v>56</v>
      </c>
      <c r="BI17" s="37">
        <f t="shared" si="1"/>
        <v>0</v>
      </c>
    </row>
    <row r="18" spans="1:61">
      <c r="A18" s="35" t="s">
        <v>102</v>
      </c>
      <c r="B18" s="35" t="str">
        <f>+RRHH_Control!B18</f>
        <v>Rigger</v>
      </c>
      <c r="C18" s="35" t="str">
        <f>+RRHH_Control!D18</f>
        <v>Mauro Vega (OP1)
Sebastian Morales (OP2)</v>
      </c>
      <c r="D18" s="36" t="s">
        <v>43</v>
      </c>
      <c r="E18" s="36" t="s">
        <v>43</v>
      </c>
      <c r="F18" s="36" t="s">
        <v>43</v>
      </c>
      <c r="G18" s="36" t="s">
        <v>43</v>
      </c>
      <c r="H18" s="36" t="s">
        <v>43</v>
      </c>
      <c r="I18" s="36" t="s">
        <v>43</v>
      </c>
      <c r="J18" s="36" t="s">
        <v>43</v>
      </c>
      <c r="K18" s="36" t="s">
        <v>43</v>
      </c>
      <c r="L18" s="36" t="s">
        <v>43</v>
      </c>
      <c r="M18" s="36" t="s">
        <v>43</v>
      </c>
      <c r="N18" s="36" t="s">
        <v>43</v>
      </c>
      <c r="O18" s="36" t="s">
        <v>43</v>
      </c>
      <c r="P18" s="36" t="s">
        <v>43</v>
      </c>
      <c r="Q18" s="36" t="s">
        <v>43</v>
      </c>
      <c r="R18" s="36" t="s">
        <v>43</v>
      </c>
      <c r="S18" s="36" t="s">
        <v>43</v>
      </c>
      <c r="T18" s="36" t="s">
        <v>43</v>
      </c>
      <c r="U18" s="36" t="s">
        <v>43</v>
      </c>
      <c r="V18" s="36" t="s">
        <v>43</v>
      </c>
      <c r="W18" s="36" t="s">
        <v>43</v>
      </c>
      <c r="X18" s="36" t="s">
        <v>43</v>
      </c>
      <c r="Y18" s="36" t="s">
        <v>43</v>
      </c>
      <c r="Z18" s="36" t="s">
        <v>43</v>
      </c>
      <c r="AA18" s="36" t="s">
        <v>43</v>
      </c>
      <c r="AB18" s="36" t="s">
        <v>43</v>
      </c>
      <c r="AC18" s="36" t="s">
        <v>43</v>
      </c>
      <c r="AD18" s="36" t="s">
        <v>43</v>
      </c>
      <c r="AE18" s="36" t="s">
        <v>43</v>
      </c>
      <c r="AF18" s="36" t="s">
        <v>43</v>
      </c>
      <c r="AG18" s="36" t="s">
        <v>43</v>
      </c>
      <c r="AH18" s="36" t="s">
        <v>43</v>
      </c>
      <c r="AI18" s="36" t="s">
        <v>43</v>
      </c>
      <c r="AJ18" s="36" t="s">
        <v>43</v>
      </c>
      <c r="AK18" s="36" t="s">
        <v>43</v>
      </c>
      <c r="AL18" s="36" t="s">
        <v>43</v>
      </c>
      <c r="AM18" s="36" t="s">
        <v>43</v>
      </c>
      <c r="AN18" s="36" t="s">
        <v>43</v>
      </c>
      <c r="AO18" s="36" t="s">
        <v>43</v>
      </c>
      <c r="AP18" s="36" t="s">
        <v>43</v>
      </c>
      <c r="AQ18" s="36" t="s">
        <v>43</v>
      </c>
      <c r="AR18" s="36" t="s">
        <v>43</v>
      </c>
      <c r="AS18" s="36" t="s">
        <v>43</v>
      </c>
      <c r="AT18" s="36" t="s">
        <v>43</v>
      </c>
      <c r="AU18" s="36" t="s">
        <v>43</v>
      </c>
      <c r="AV18" s="36" t="s">
        <v>43</v>
      </c>
      <c r="AW18" s="36" t="s">
        <v>43</v>
      </c>
      <c r="AX18" s="36" t="s">
        <v>43</v>
      </c>
      <c r="AY18" s="36" t="s">
        <v>43</v>
      </c>
      <c r="AZ18" s="36" t="s">
        <v>43</v>
      </c>
      <c r="BA18" s="36" t="s">
        <v>43</v>
      </c>
      <c r="BB18" s="36" t="s">
        <v>43</v>
      </c>
      <c r="BC18" s="36" t="s">
        <v>43</v>
      </c>
      <c r="BD18" s="36" t="s">
        <v>43</v>
      </c>
      <c r="BE18" s="36" t="s">
        <v>43</v>
      </c>
      <c r="BF18" s="36" t="s">
        <v>43</v>
      </c>
      <c r="BG18" s="36" t="s">
        <v>43</v>
      </c>
      <c r="BH18" s="36">
        <f t="shared" si="0"/>
        <v>56</v>
      </c>
      <c r="BI18" s="37">
        <f t="shared" si="1"/>
        <v>0</v>
      </c>
    </row>
    <row r="19" spans="1:61">
      <c r="A19" s="35" t="s">
        <v>105</v>
      </c>
      <c r="B19" s="35" t="str">
        <f>+RRHH_Control!B19</f>
        <v>Jefe Especialista Tendido</v>
      </c>
      <c r="C19" s="35" t="str">
        <f>+RRHH_Control!D19</f>
        <v xml:space="preserve">Ismael Dones </v>
      </c>
      <c r="D19" s="36" t="s">
        <v>43</v>
      </c>
      <c r="E19" s="36" t="s">
        <v>43</v>
      </c>
      <c r="F19" s="36" t="s">
        <v>43</v>
      </c>
      <c r="G19" s="36" t="s">
        <v>43</v>
      </c>
      <c r="H19" s="36" t="s">
        <v>43</v>
      </c>
      <c r="I19" s="36" t="s">
        <v>43</v>
      </c>
      <c r="J19" s="36" t="s">
        <v>43</v>
      </c>
      <c r="K19" s="36" t="s">
        <v>43</v>
      </c>
      <c r="L19" s="36" t="s">
        <v>43</v>
      </c>
      <c r="M19" s="36" t="s">
        <v>43</v>
      </c>
      <c r="N19" s="36" t="s">
        <v>43</v>
      </c>
      <c r="O19" s="36" t="s">
        <v>43</v>
      </c>
      <c r="P19" s="36" t="s">
        <v>43</v>
      </c>
      <c r="Q19" s="36" t="s">
        <v>43</v>
      </c>
      <c r="R19" s="36" t="s">
        <v>43</v>
      </c>
      <c r="S19" s="36" t="s">
        <v>43</v>
      </c>
      <c r="T19" s="36" t="s">
        <v>43</v>
      </c>
      <c r="U19" s="36" t="s">
        <v>43</v>
      </c>
      <c r="V19" s="36" t="s">
        <v>43</v>
      </c>
      <c r="W19" s="36" t="s">
        <v>43</v>
      </c>
      <c r="X19" s="36" t="s">
        <v>43</v>
      </c>
      <c r="Y19" s="36" t="s">
        <v>43</v>
      </c>
      <c r="Z19" s="36" t="s">
        <v>43</v>
      </c>
      <c r="AA19" s="36" t="s">
        <v>43</v>
      </c>
      <c r="AB19" s="36" t="s">
        <v>43</v>
      </c>
      <c r="AC19" s="36" t="s">
        <v>43</v>
      </c>
      <c r="AD19" s="36" t="s">
        <v>43</v>
      </c>
      <c r="AE19" s="36" t="s">
        <v>43</v>
      </c>
      <c r="AF19" s="36" t="s">
        <v>43</v>
      </c>
      <c r="AG19" s="36" t="s">
        <v>43</v>
      </c>
      <c r="AH19" s="36" t="s">
        <v>43</v>
      </c>
      <c r="AI19" s="36" t="s">
        <v>43</v>
      </c>
      <c r="AJ19" s="36" t="s">
        <v>43</v>
      </c>
      <c r="AK19" s="36" t="s">
        <v>43</v>
      </c>
      <c r="AL19" s="36" t="s">
        <v>43</v>
      </c>
      <c r="AM19" s="36" t="s">
        <v>43</v>
      </c>
      <c r="AN19" s="36" t="s">
        <v>43</v>
      </c>
      <c r="AO19" s="36" t="s">
        <v>43</v>
      </c>
      <c r="AP19" s="36" t="s">
        <v>43</v>
      </c>
      <c r="AQ19" s="36" t="s">
        <v>43</v>
      </c>
      <c r="AR19" s="36" t="s">
        <v>43</v>
      </c>
      <c r="AS19" s="36" t="s">
        <v>43</v>
      </c>
      <c r="AT19" s="36" t="s">
        <v>43</v>
      </c>
      <c r="AU19" s="36" t="s">
        <v>43</v>
      </c>
      <c r="AV19" s="36" t="s">
        <v>43</v>
      </c>
      <c r="AW19" s="36" t="s">
        <v>43</v>
      </c>
      <c r="AX19" s="36" t="s">
        <v>43</v>
      </c>
      <c r="AY19" s="36" t="s">
        <v>43</v>
      </c>
      <c r="AZ19" s="36" t="s">
        <v>43</v>
      </c>
      <c r="BA19" s="36" t="s">
        <v>43</v>
      </c>
      <c r="BB19" s="36" t="s">
        <v>43</v>
      </c>
      <c r="BC19" s="36" t="s">
        <v>43</v>
      </c>
      <c r="BD19" s="36" t="s">
        <v>43</v>
      </c>
      <c r="BE19" s="36" t="s">
        <v>43</v>
      </c>
      <c r="BF19" s="36" t="s">
        <v>43</v>
      </c>
      <c r="BG19" s="36" t="s">
        <v>43</v>
      </c>
      <c r="BH19" s="36">
        <f t="shared" si="0"/>
        <v>56</v>
      </c>
      <c r="BI19" s="37">
        <f t="shared" si="1"/>
        <v>0</v>
      </c>
    </row>
    <row r="21" spans="1:61">
      <c r="A21" s="35" t="s">
        <v>108</v>
      </c>
      <c r="B21" s="35" t="s">
        <v>355</v>
      </c>
      <c r="C21" s="35" t="s">
        <v>109</v>
      </c>
      <c r="D21" s="36" t="s">
        <v>43</v>
      </c>
      <c r="E21" s="36" t="s">
        <v>43</v>
      </c>
      <c r="F21" s="36" t="s">
        <v>43</v>
      </c>
      <c r="G21" s="36" t="s">
        <v>43</v>
      </c>
      <c r="H21" s="36" t="s">
        <v>43</v>
      </c>
      <c r="I21" s="36" t="s">
        <v>43</v>
      </c>
      <c r="J21" s="36" t="s">
        <v>43</v>
      </c>
      <c r="K21" s="36" t="s">
        <v>43</v>
      </c>
      <c r="L21" s="36" t="s">
        <v>43</v>
      </c>
      <c r="M21" s="36" t="s">
        <v>43</v>
      </c>
      <c r="N21" s="36" t="s">
        <v>43</v>
      </c>
      <c r="O21" s="36" t="s">
        <v>43</v>
      </c>
      <c r="P21" s="36" t="s">
        <v>43</v>
      </c>
      <c r="Q21" s="36" t="s">
        <v>43</v>
      </c>
      <c r="R21" s="36" t="s">
        <v>43</v>
      </c>
      <c r="S21" s="36" t="s">
        <v>43</v>
      </c>
      <c r="T21" s="36" t="s">
        <v>43</v>
      </c>
      <c r="U21" s="36" t="s">
        <v>43</v>
      </c>
      <c r="V21" s="36" t="s">
        <v>43</v>
      </c>
      <c r="W21" s="36" t="s">
        <v>43</v>
      </c>
      <c r="X21" s="36" t="s">
        <v>43</v>
      </c>
      <c r="Y21" s="36" t="s">
        <v>43</v>
      </c>
      <c r="Z21" s="36" t="s">
        <v>43</v>
      </c>
      <c r="AA21" s="36" t="s">
        <v>43</v>
      </c>
      <c r="AB21" s="36" t="s">
        <v>43</v>
      </c>
      <c r="AC21" s="36" t="s">
        <v>43</v>
      </c>
      <c r="AD21" s="36" t="s">
        <v>43</v>
      </c>
      <c r="AE21" s="36" t="s">
        <v>43</v>
      </c>
      <c r="AF21" s="36" t="s">
        <v>43</v>
      </c>
      <c r="AG21" s="36" t="s">
        <v>43</v>
      </c>
      <c r="AH21" s="36" t="s">
        <v>43</v>
      </c>
      <c r="AI21" s="36" t="s">
        <v>43</v>
      </c>
      <c r="AJ21" s="36" t="s">
        <v>43</v>
      </c>
      <c r="AK21" s="36" t="s">
        <v>43</v>
      </c>
      <c r="AL21" s="36" t="s">
        <v>43</v>
      </c>
      <c r="AM21" s="36" t="s">
        <v>43</v>
      </c>
      <c r="AN21" s="36" t="s">
        <v>43</v>
      </c>
      <c r="AO21" s="36" t="s">
        <v>43</v>
      </c>
      <c r="AP21" s="36" t="s">
        <v>43</v>
      </c>
      <c r="AQ21" s="36" t="s">
        <v>43</v>
      </c>
      <c r="AR21" s="36" t="s">
        <v>43</v>
      </c>
      <c r="AS21" s="36" t="s">
        <v>43</v>
      </c>
      <c r="AT21" s="36" t="s">
        <v>43</v>
      </c>
      <c r="AU21" s="36" t="s">
        <v>43</v>
      </c>
      <c r="AV21" s="36" t="s">
        <v>43</v>
      </c>
      <c r="AW21" s="36" t="s">
        <v>43</v>
      </c>
      <c r="AX21" s="36" t="s">
        <v>43</v>
      </c>
      <c r="AY21" s="36" t="s">
        <v>43</v>
      </c>
      <c r="AZ21" s="36" t="s">
        <v>43</v>
      </c>
      <c r="BA21" s="36" t="s">
        <v>43</v>
      </c>
      <c r="BB21" s="36" t="s">
        <v>43</v>
      </c>
      <c r="BC21" s="36" t="s">
        <v>43</v>
      </c>
      <c r="BD21" s="36" t="s">
        <v>43</v>
      </c>
      <c r="BE21" s="36" t="s">
        <v>43</v>
      </c>
      <c r="BF21" s="36" t="s">
        <v>43</v>
      </c>
      <c r="BG21" s="36" t="s">
        <v>43</v>
      </c>
      <c r="BH21" s="36">
        <f>IFERROR(56 - COUNTIF(D21:BG21, "N/A"), "Pendiente datos")</f>
        <v>56</v>
      </c>
      <c r="BI21" s="37">
        <f>IFERROR(COUNTIF(D21:BG21, "Aprobado") / BH21, "Pendiente datos")</f>
        <v>0</v>
      </c>
    </row>
    <row r="22" spans="1:61">
      <c r="A22" s="35" t="s">
        <v>111</v>
      </c>
      <c r="B22" s="35" t="s">
        <v>355</v>
      </c>
      <c r="C22" s="35" t="s">
        <v>112</v>
      </c>
      <c r="D22" s="36" t="s">
        <v>43</v>
      </c>
      <c r="E22" s="36" t="s">
        <v>43</v>
      </c>
      <c r="F22" s="36" t="s">
        <v>43</v>
      </c>
      <c r="G22" s="36" t="s">
        <v>43</v>
      </c>
      <c r="H22" s="36" t="s">
        <v>43</v>
      </c>
      <c r="I22" s="36" t="s">
        <v>43</v>
      </c>
      <c r="J22" s="36" t="s">
        <v>43</v>
      </c>
      <c r="K22" s="36" t="s">
        <v>43</v>
      </c>
      <c r="L22" s="36" t="s">
        <v>43</v>
      </c>
      <c r="M22" s="36" t="s">
        <v>43</v>
      </c>
      <c r="N22" s="36" t="s">
        <v>43</v>
      </c>
      <c r="O22" s="36" t="s">
        <v>43</v>
      </c>
      <c r="P22" s="36" t="s">
        <v>43</v>
      </c>
      <c r="Q22" s="36" t="s">
        <v>43</v>
      </c>
      <c r="R22" s="36" t="s">
        <v>43</v>
      </c>
      <c r="S22" s="36" t="s">
        <v>43</v>
      </c>
      <c r="T22" s="36" t="s">
        <v>43</v>
      </c>
      <c r="U22" s="36" t="s">
        <v>43</v>
      </c>
      <c r="V22" s="36" t="s">
        <v>43</v>
      </c>
      <c r="W22" s="36" t="s">
        <v>43</v>
      </c>
      <c r="X22" s="36" t="s">
        <v>43</v>
      </c>
      <c r="Y22" s="36" t="s">
        <v>43</v>
      </c>
      <c r="Z22" s="36" t="s">
        <v>43</v>
      </c>
      <c r="AA22" s="36" t="s">
        <v>43</v>
      </c>
      <c r="AB22" s="36" t="s">
        <v>43</v>
      </c>
      <c r="AC22" s="36" t="s">
        <v>43</v>
      </c>
      <c r="AD22" s="36" t="s">
        <v>43</v>
      </c>
      <c r="AE22" s="36" t="s">
        <v>43</v>
      </c>
      <c r="AF22" s="36" t="s">
        <v>43</v>
      </c>
      <c r="AG22" s="36" t="s">
        <v>43</v>
      </c>
      <c r="AH22" s="36" t="s">
        <v>43</v>
      </c>
      <c r="AI22" s="36" t="s">
        <v>43</v>
      </c>
      <c r="AJ22" s="36" t="s">
        <v>43</v>
      </c>
      <c r="AK22" s="36" t="s">
        <v>43</v>
      </c>
      <c r="AL22" s="36" t="s">
        <v>43</v>
      </c>
      <c r="AM22" s="36" t="s">
        <v>43</v>
      </c>
      <c r="AN22" s="36" t="s">
        <v>43</v>
      </c>
      <c r="AO22" s="36" t="s">
        <v>43</v>
      </c>
      <c r="AP22" s="36" t="s">
        <v>43</v>
      </c>
      <c r="AQ22" s="36" t="s">
        <v>43</v>
      </c>
      <c r="AR22" s="36" t="s">
        <v>43</v>
      </c>
      <c r="AS22" s="36" t="s">
        <v>43</v>
      </c>
      <c r="AT22" s="36" t="s">
        <v>43</v>
      </c>
      <c r="AU22" s="36" t="s">
        <v>43</v>
      </c>
      <c r="AV22" s="36" t="s">
        <v>43</v>
      </c>
      <c r="AW22" s="36" t="s">
        <v>43</v>
      </c>
      <c r="AX22" s="36" t="s">
        <v>43</v>
      </c>
      <c r="AY22" s="36" t="s">
        <v>43</v>
      </c>
      <c r="AZ22" s="36" t="s">
        <v>43</v>
      </c>
      <c r="BA22" s="36" t="s">
        <v>43</v>
      </c>
      <c r="BB22" s="36" t="s">
        <v>43</v>
      </c>
      <c r="BC22" s="36" t="s">
        <v>43</v>
      </c>
      <c r="BD22" s="36" t="s">
        <v>43</v>
      </c>
      <c r="BE22" s="36" t="s">
        <v>43</v>
      </c>
      <c r="BF22" s="36" t="s">
        <v>43</v>
      </c>
      <c r="BG22" s="36" t="s">
        <v>43</v>
      </c>
      <c r="BH22" s="36">
        <f>IFERROR(56 - COUNTIF(D22:BG22, "N/A"), "Pendiente datos")</f>
        <v>56</v>
      </c>
      <c r="BI22" s="37">
        <f>IFERROR(COUNTIF(D22:BG22, "Aprobado") / BH22, "Pendiente datos")</f>
        <v>0</v>
      </c>
    </row>
  </sheetData>
  <conditionalFormatting sqref="D2:BI19">
    <cfRule type="cellIs" dxfId="15" priority="20" operator="equal">
      <formula>"Aprobado"</formula>
    </cfRule>
    <cfRule type="cellIs" dxfId="14" priority="21" operator="equal">
      <formula>"Verde"</formula>
    </cfRule>
    <cfRule type="cellIs" dxfId="13" priority="22" operator="equal">
      <formula>"En proceso"</formula>
    </cfRule>
    <cfRule type="cellIs" dxfId="12" priority="23" operator="equal">
      <formula>"Amarillo"</formula>
    </cfRule>
    <cfRule type="cellIs" dxfId="11" priority="24" operator="equal">
      <formula>"No Iniciado"</formula>
    </cfRule>
    <cfRule type="cellIs" dxfId="10" priority="25" operator="equal">
      <formula>"Rojo"</formula>
    </cfRule>
  </conditionalFormatting>
  <conditionalFormatting sqref="D21:BI22">
    <cfRule type="cellIs" dxfId="9" priority="1" operator="equal">
      <formula>"Aprobado"</formula>
    </cfRule>
    <cfRule type="cellIs" dxfId="8" priority="2" operator="equal">
      <formula>"Verde"</formula>
    </cfRule>
    <cfRule type="cellIs" dxfId="7" priority="3" operator="equal">
      <formula>"En proceso"</formula>
    </cfRule>
    <cfRule type="cellIs" dxfId="6" priority="4" operator="equal">
      <formula>"Amarillo"</formula>
    </cfRule>
    <cfRule type="cellIs" dxfId="5" priority="5" operator="equal">
      <formula>"No Iniciado"</formula>
    </cfRule>
    <cfRule type="cellIs" dxfId="4" priority="6" operator="equal">
      <formula>"Rojo"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2:BL44"/>
  <sheetViews>
    <sheetView showGridLines="0" topLeftCell="A15" zoomScale="110" zoomScaleNormal="110" zoomScaleSheetLayoutView="85" workbookViewId="0">
      <selection activeCell="E13" sqref="E13:I13"/>
    </sheetView>
  </sheetViews>
  <sheetFormatPr baseColWidth="10" defaultColWidth="2.54296875" defaultRowHeight="11.25" customHeight="1"/>
  <cols>
    <col min="1" max="1" width="0.81640625" style="137" customWidth="1"/>
    <col min="2" max="2" width="2.54296875" style="137" customWidth="1"/>
    <col min="3" max="3" width="2.453125" style="82" customWidth="1"/>
    <col min="4" max="4" width="2.81640625" style="82" customWidth="1"/>
    <col min="5" max="5" width="4.453125" style="82" customWidth="1"/>
    <col min="6" max="6" width="5" style="82" customWidth="1"/>
    <col min="7" max="7" width="4.26953125" style="89" customWidth="1"/>
    <col min="8" max="8" width="8.7265625" style="82" customWidth="1"/>
    <col min="9" max="9" width="7.54296875" style="82" customWidth="1"/>
    <col min="10" max="10" width="6.7265625" style="151" customWidth="1"/>
    <col min="11" max="11" width="3.54296875" style="82" customWidth="1"/>
    <col min="12" max="12" width="5.54296875" style="82" customWidth="1"/>
    <col min="13" max="13" width="6.1796875" style="82" customWidth="1"/>
    <col min="14" max="14" width="3.453125" style="82" customWidth="1"/>
    <col min="15" max="15" width="1.453125" style="82" customWidth="1"/>
    <col min="16" max="16" width="4.453125" style="82" customWidth="1"/>
    <col min="17" max="17" width="5.453125" style="82" customWidth="1"/>
    <col min="18" max="18" width="5.26953125" style="82" customWidth="1"/>
    <col min="19" max="19" width="5.1796875" style="82" customWidth="1"/>
    <col min="20" max="20" width="3.7265625" style="82" customWidth="1"/>
    <col min="21" max="22" width="3.453125" style="82" customWidth="1"/>
    <col min="23" max="23" width="6.81640625" style="82" customWidth="1"/>
    <col min="24" max="24" width="4.54296875" style="82" customWidth="1"/>
    <col min="25" max="25" width="5" style="82" customWidth="1"/>
    <col min="26" max="26" width="4.54296875" style="82" customWidth="1"/>
    <col min="27" max="27" width="5.81640625" style="82" bestFit="1" customWidth="1"/>
    <col min="28" max="28" width="6.54296875" style="82" customWidth="1"/>
    <col min="29" max="29" width="4.26953125" style="82" customWidth="1"/>
    <col min="30" max="30" width="5" style="82" customWidth="1"/>
    <col min="31" max="31" width="2.81640625" style="82" customWidth="1"/>
    <col min="32" max="32" width="3.453125" style="82" customWidth="1"/>
    <col min="33" max="33" width="3.26953125" style="82" customWidth="1"/>
    <col min="34" max="34" width="3.54296875" style="82" customWidth="1"/>
    <col min="35" max="35" width="4.1796875" style="82" customWidth="1"/>
    <col min="36" max="36" width="3.7265625" style="82" customWidth="1"/>
    <col min="37" max="37" width="4" style="82" customWidth="1"/>
    <col min="38" max="38" width="6" style="90" customWidth="1"/>
    <col min="39" max="39" width="6.453125" style="82" customWidth="1"/>
    <col min="40" max="40" width="8.26953125" style="82" customWidth="1"/>
    <col min="41" max="41" width="2.81640625" style="82" customWidth="1"/>
    <col min="42" max="42" width="6.1796875" style="82" customWidth="1"/>
    <col min="43" max="43" width="17.1796875" style="82" bestFit="1" customWidth="1"/>
    <col min="44" max="44" width="2.81640625" style="82" bestFit="1" customWidth="1"/>
    <col min="45" max="45" width="7.1796875" style="82" customWidth="1"/>
    <col min="46" max="46" width="10" style="82" customWidth="1"/>
    <col min="47" max="47" width="2.54296875" style="82" customWidth="1"/>
    <col min="48" max="16384" width="2.54296875" style="82"/>
  </cols>
  <sheetData>
    <row r="2" spans="1:64" s="77" customFormat="1" ht="13" customHeight="1">
      <c r="A2" s="76"/>
      <c r="B2" s="76"/>
      <c r="F2" s="78"/>
      <c r="H2" s="78"/>
      <c r="I2" s="79"/>
      <c r="J2" s="80"/>
      <c r="AL2" s="81"/>
      <c r="AS2" s="82"/>
    </row>
    <row r="3" spans="1:64" s="77" customFormat="1" ht="17.5" customHeight="1">
      <c r="A3" s="83"/>
      <c r="B3" s="83"/>
      <c r="G3" s="84"/>
      <c r="J3" s="84"/>
      <c r="P3" s="85">
        <v>1</v>
      </c>
      <c r="T3" s="86"/>
      <c r="V3" s="424" t="s">
        <v>356</v>
      </c>
      <c r="W3" s="425"/>
      <c r="AL3" s="81"/>
      <c r="AQ3" s="78" t="s">
        <v>357</v>
      </c>
      <c r="AR3" s="87">
        <f>+P3+E11+E15+P11+AB11+AJ11+P17+K22+U22+K31+U26</f>
        <v>17</v>
      </c>
      <c r="AS3" s="82"/>
    </row>
    <row r="4" spans="1:64" ht="11.25" customHeight="1">
      <c r="A4" s="88"/>
      <c r="B4" s="82"/>
      <c r="G4" s="82"/>
      <c r="J4" s="89"/>
      <c r="P4" s="426" t="s">
        <v>358</v>
      </c>
      <c r="Q4" s="427"/>
      <c r="R4" s="427"/>
      <c r="S4" s="427"/>
      <c r="T4" s="427"/>
      <c r="U4" s="427"/>
      <c r="V4" s="427"/>
      <c r="W4" s="428"/>
    </row>
    <row r="5" spans="1:64" ht="12.5" customHeight="1">
      <c r="A5" s="88"/>
      <c r="B5" s="82"/>
      <c r="G5" s="82"/>
      <c r="H5" s="91"/>
      <c r="J5" s="89"/>
      <c r="P5" s="429"/>
      <c r="Q5" s="430"/>
      <c r="R5" s="430"/>
      <c r="S5" s="430"/>
      <c r="T5" s="430"/>
      <c r="U5" s="430"/>
      <c r="V5" s="430"/>
      <c r="W5" s="431"/>
    </row>
    <row r="6" spans="1:64" ht="18.649999999999999" customHeight="1">
      <c r="A6" s="88"/>
      <c r="B6" s="82"/>
      <c r="G6" s="82"/>
      <c r="J6" s="89"/>
      <c r="P6" s="442" t="s">
        <v>359</v>
      </c>
      <c r="Q6" s="439"/>
      <c r="R6" s="439"/>
      <c r="S6" s="439"/>
      <c r="T6" s="439"/>
      <c r="U6" s="439"/>
      <c r="V6" s="443"/>
      <c r="W6" s="92" t="s">
        <v>360</v>
      </c>
    </row>
    <row r="7" spans="1:64" ht="9.65" customHeight="1">
      <c r="A7" s="88"/>
      <c r="B7" s="82"/>
      <c r="G7" s="82"/>
      <c r="J7" s="89"/>
      <c r="P7" s="93"/>
      <c r="Q7" s="93"/>
      <c r="R7" s="93"/>
      <c r="S7" s="93"/>
      <c r="T7" s="94"/>
      <c r="V7" s="93"/>
      <c r="W7" s="93"/>
    </row>
    <row r="8" spans="1:64" ht="8.15" customHeight="1">
      <c r="A8" s="88"/>
      <c r="B8" s="82"/>
      <c r="G8" s="82"/>
      <c r="J8" s="89"/>
      <c r="T8" s="95"/>
      <c r="W8" s="96"/>
    </row>
    <row r="9" spans="1:64" ht="13.5" customHeight="1" thickBot="1">
      <c r="A9" s="88"/>
      <c r="B9" s="82"/>
      <c r="G9" s="82"/>
      <c r="J9" s="89"/>
      <c r="K9" s="97"/>
      <c r="L9" s="98"/>
      <c r="M9" s="98"/>
      <c r="N9" s="98"/>
      <c r="O9" s="98"/>
      <c r="P9" s="98"/>
      <c r="Q9" s="97"/>
      <c r="R9" s="97"/>
      <c r="S9" s="97"/>
      <c r="T9" s="99"/>
      <c r="U9" s="97"/>
      <c r="V9" s="100"/>
      <c r="W9" s="100"/>
      <c r="X9" s="100"/>
      <c r="Y9" s="100"/>
      <c r="Z9" s="100"/>
      <c r="AA9" s="100"/>
      <c r="AB9" s="100"/>
      <c r="AC9" s="100"/>
      <c r="AD9" s="100"/>
    </row>
    <row r="10" spans="1:64" ht="17.5" customHeight="1">
      <c r="A10" s="88"/>
      <c r="B10" s="82"/>
      <c r="G10" s="101"/>
      <c r="H10" s="102"/>
      <c r="I10" s="102"/>
      <c r="J10" s="103"/>
      <c r="K10" s="93"/>
      <c r="L10" s="93"/>
      <c r="M10" s="93"/>
      <c r="N10" s="93"/>
      <c r="O10" s="104"/>
      <c r="P10" s="93"/>
      <c r="T10" s="105"/>
      <c r="X10" s="106"/>
      <c r="Y10" s="107"/>
      <c r="AB10" s="102"/>
      <c r="AC10" s="102"/>
      <c r="AD10" s="102"/>
      <c r="AE10" s="105"/>
      <c r="AF10" s="102"/>
      <c r="AG10" s="102"/>
      <c r="AH10" s="102"/>
      <c r="AI10" s="102"/>
      <c r="AJ10" s="102"/>
      <c r="AK10" s="102"/>
      <c r="AL10" s="108"/>
      <c r="AO10" s="90"/>
    </row>
    <row r="11" spans="1:64" ht="13.5" customHeight="1">
      <c r="A11" s="88"/>
      <c r="B11" s="82"/>
      <c r="E11" s="126">
        <v>1</v>
      </c>
      <c r="G11" s="127"/>
      <c r="H11" s="128"/>
      <c r="I11" s="126" t="s">
        <v>356</v>
      </c>
      <c r="J11" s="89"/>
      <c r="P11" s="85">
        <v>1</v>
      </c>
      <c r="Q11" s="110"/>
      <c r="R11" s="111"/>
      <c r="S11" s="111"/>
      <c r="T11" s="112"/>
      <c r="U11" s="111"/>
      <c r="V11" s="111"/>
      <c r="W11" s="85" t="s">
        <v>356</v>
      </c>
      <c r="AB11" s="85">
        <v>1</v>
      </c>
      <c r="AC11" s="113"/>
      <c r="AD11" s="114"/>
      <c r="AE11" s="115"/>
      <c r="AF11" s="116"/>
      <c r="AG11" s="448" t="s">
        <v>356</v>
      </c>
      <c r="AH11" s="449"/>
      <c r="AJ11" s="85">
        <v>1</v>
      </c>
      <c r="AK11" s="113"/>
      <c r="AL11" s="114"/>
      <c r="AM11" s="115"/>
      <c r="AN11" s="85" t="s">
        <v>356</v>
      </c>
      <c r="AO11" s="90"/>
    </row>
    <row r="12" spans="1:64" ht="13.5" customHeight="1">
      <c r="A12" s="88"/>
      <c r="B12" s="82"/>
      <c r="E12" s="446" t="s">
        <v>64</v>
      </c>
      <c r="F12" s="439"/>
      <c r="G12" s="439"/>
      <c r="H12" s="439"/>
      <c r="I12" s="443"/>
      <c r="J12" s="440"/>
      <c r="P12" s="457" t="s">
        <v>361</v>
      </c>
      <c r="Q12" s="433"/>
      <c r="R12" s="433"/>
      <c r="S12" s="433"/>
      <c r="T12" s="433"/>
      <c r="U12" s="433"/>
      <c r="V12" s="433"/>
      <c r="W12" s="434"/>
      <c r="AB12" s="432" t="s">
        <v>362</v>
      </c>
      <c r="AC12" s="433"/>
      <c r="AD12" s="433"/>
      <c r="AE12" s="433"/>
      <c r="AF12" s="433"/>
      <c r="AG12" s="433"/>
      <c r="AH12" s="434"/>
      <c r="AJ12" s="432" t="s">
        <v>363</v>
      </c>
      <c r="AK12" s="433"/>
      <c r="AL12" s="433"/>
      <c r="AM12" s="433"/>
      <c r="AN12" s="434"/>
      <c r="AO12" s="90"/>
    </row>
    <row r="13" spans="1:64" ht="13.5" customHeight="1">
      <c r="A13" s="88"/>
      <c r="B13" s="82"/>
      <c r="E13" s="452" t="s">
        <v>66</v>
      </c>
      <c r="F13" s="453"/>
      <c r="G13" s="453"/>
      <c r="H13" s="453"/>
      <c r="I13" s="425"/>
      <c r="J13" s="441"/>
      <c r="P13" s="458"/>
      <c r="Q13" s="459"/>
      <c r="R13" s="459"/>
      <c r="S13" s="459"/>
      <c r="T13" s="459"/>
      <c r="U13" s="459"/>
      <c r="V13" s="459"/>
      <c r="W13" s="460"/>
      <c r="AB13" s="435"/>
      <c r="AC13" s="423"/>
      <c r="AD13" s="423"/>
      <c r="AE13" s="423"/>
      <c r="AF13" s="423"/>
      <c r="AG13" s="423"/>
      <c r="AH13" s="437"/>
      <c r="AJ13" s="435"/>
      <c r="AK13" s="423"/>
      <c r="AL13" s="436"/>
      <c r="AM13" s="423"/>
      <c r="AN13" s="437"/>
      <c r="AO13" s="90"/>
    </row>
    <row r="14" spans="1:64" ht="17.5" customHeight="1">
      <c r="A14" s="88"/>
      <c r="B14" s="82"/>
      <c r="G14" s="82"/>
      <c r="H14" s="119"/>
      <c r="J14" s="117"/>
      <c r="P14" s="438" t="s">
        <v>364</v>
      </c>
      <c r="Q14" s="439"/>
      <c r="R14" s="439"/>
      <c r="S14" s="439"/>
      <c r="T14" s="439"/>
      <c r="U14" s="439"/>
      <c r="V14" s="439"/>
      <c r="W14" s="92" t="s">
        <v>360</v>
      </c>
      <c r="AB14" s="447" t="s">
        <v>62</v>
      </c>
      <c r="AC14" s="439"/>
      <c r="AD14" s="439"/>
      <c r="AE14" s="439"/>
      <c r="AF14" s="443"/>
      <c r="AG14" s="447" t="s">
        <v>365</v>
      </c>
      <c r="AH14" s="443"/>
      <c r="AJ14" s="447" t="s">
        <v>49</v>
      </c>
      <c r="AK14" s="439"/>
      <c r="AL14" s="439"/>
      <c r="AM14" s="443"/>
      <c r="AN14" s="92" t="s">
        <v>360</v>
      </c>
      <c r="AO14" s="90"/>
    </row>
    <row r="15" spans="1:64" ht="13.5" customHeight="1">
      <c r="A15" s="118"/>
      <c r="B15" s="118"/>
      <c r="C15" s="90"/>
      <c r="D15" s="90"/>
      <c r="E15" s="126">
        <v>1</v>
      </c>
      <c r="G15" s="127"/>
      <c r="H15" s="128"/>
      <c r="I15" s="126" t="s">
        <v>356</v>
      </c>
      <c r="J15" s="89"/>
      <c r="P15" s="93"/>
      <c r="Q15" s="93"/>
      <c r="R15" s="93"/>
      <c r="S15" s="93"/>
      <c r="T15" s="120"/>
      <c r="U15" s="93"/>
      <c r="V15" s="93"/>
      <c r="W15" s="93"/>
      <c r="AB15" s="121"/>
      <c r="AC15" s="121"/>
      <c r="AD15" s="121"/>
      <c r="AE15" s="121"/>
      <c r="AF15" s="121"/>
      <c r="AG15" s="121"/>
      <c r="AH15" s="121"/>
      <c r="AL15" s="82"/>
      <c r="AO15" s="90"/>
      <c r="AT15" s="122"/>
    </row>
    <row r="16" spans="1:64" ht="13.5" customHeight="1">
      <c r="A16" s="118"/>
      <c r="B16" s="118"/>
      <c r="C16" s="90"/>
      <c r="E16" s="446" t="s">
        <v>68</v>
      </c>
      <c r="F16" s="439"/>
      <c r="G16" s="439"/>
      <c r="H16" s="439"/>
      <c r="I16" s="443"/>
      <c r="J16" s="82"/>
      <c r="K16" s="124"/>
      <c r="L16" s="124"/>
      <c r="M16" s="124"/>
      <c r="N16" s="124"/>
      <c r="O16" s="124"/>
      <c r="P16" s="124"/>
      <c r="T16" s="123"/>
      <c r="U16" s="93"/>
      <c r="V16" s="93"/>
      <c r="W16" s="93"/>
      <c r="AL16" s="82"/>
      <c r="BJ16" s="90"/>
      <c r="BL16" s="90"/>
    </row>
    <row r="17" spans="1:50" s="77" customFormat="1" ht="13.5" customHeight="1">
      <c r="A17" s="125"/>
      <c r="B17" s="125"/>
      <c r="C17" s="81"/>
      <c r="D17" s="82"/>
      <c r="E17" s="464" t="str">
        <f>+RRHH_Control!D8</f>
        <v>Orlando Maita</v>
      </c>
      <c r="F17" s="453"/>
      <c r="G17" s="453"/>
      <c r="H17" s="453"/>
      <c r="I17" s="425"/>
      <c r="J17" s="82"/>
      <c r="K17" s="124"/>
      <c r="L17" s="124"/>
      <c r="M17" s="124"/>
      <c r="N17" s="124"/>
      <c r="O17" s="124"/>
      <c r="P17" s="126">
        <v>1</v>
      </c>
      <c r="Q17" s="129"/>
      <c r="R17" s="111"/>
      <c r="S17" s="111"/>
      <c r="T17" s="129"/>
      <c r="U17" s="111"/>
      <c r="V17" s="109"/>
      <c r="W17" s="126" t="s">
        <v>356</v>
      </c>
      <c r="X17" s="93"/>
      <c r="Y17" s="93"/>
      <c r="Z17" s="93"/>
      <c r="AA17" s="82"/>
      <c r="AB17" s="82"/>
      <c r="AC17" s="82"/>
      <c r="AD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461"/>
      <c r="AS17" s="462"/>
      <c r="AT17" s="462"/>
      <c r="AU17" s="462"/>
      <c r="AV17" s="462"/>
      <c r="AW17" s="130"/>
    </row>
    <row r="18" spans="1:50" ht="13.5" customHeight="1">
      <c r="A18" s="118"/>
      <c r="B18" s="118"/>
      <c r="C18" s="422"/>
      <c r="G18" s="82"/>
      <c r="J18" s="82"/>
      <c r="K18" s="124"/>
      <c r="L18" s="124"/>
      <c r="M18" s="124"/>
      <c r="N18" s="124"/>
      <c r="O18" s="124"/>
      <c r="P18" s="446" t="s">
        <v>366</v>
      </c>
      <c r="Q18" s="439"/>
      <c r="R18" s="439"/>
      <c r="S18" s="439"/>
      <c r="T18" s="439"/>
      <c r="U18" s="439"/>
      <c r="V18" s="439"/>
      <c r="W18" s="443"/>
      <c r="X18" s="93"/>
      <c r="Y18" s="93"/>
      <c r="Z18" s="93"/>
      <c r="AB18" s="121"/>
      <c r="AC18" s="121"/>
      <c r="AD18" s="121"/>
      <c r="AL18" s="82"/>
      <c r="AR18" s="132"/>
      <c r="AS18" s="132"/>
      <c r="AT18" s="132"/>
      <c r="AU18" s="132"/>
      <c r="AV18" s="132"/>
      <c r="AW18" s="132"/>
      <c r="AX18" s="131"/>
    </row>
    <row r="19" spans="1:50" ht="13.5" customHeight="1">
      <c r="A19" s="133"/>
      <c r="B19" s="118"/>
      <c r="C19" s="423"/>
      <c r="E19" s="145"/>
      <c r="F19" s="124"/>
      <c r="G19" s="93"/>
      <c r="I19" s="83"/>
      <c r="J19" s="82"/>
      <c r="K19" s="124"/>
      <c r="L19" s="124"/>
      <c r="M19" s="124"/>
      <c r="N19" s="124"/>
      <c r="O19" s="124"/>
      <c r="P19" s="442" t="s">
        <v>57</v>
      </c>
      <c r="Q19" s="439"/>
      <c r="R19" s="439"/>
      <c r="S19" s="439"/>
      <c r="T19" s="439"/>
      <c r="U19" s="439"/>
      <c r="V19" s="439"/>
      <c r="W19" s="443"/>
      <c r="AL19" s="82"/>
      <c r="AO19" s="132"/>
      <c r="AP19" s="132"/>
      <c r="AQ19" s="132"/>
      <c r="AR19" s="132"/>
      <c r="AS19" s="132"/>
      <c r="AT19" s="132"/>
      <c r="AU19" s="131"/>
    </row>
    <row r="20" spans="1:50" ht="13" customHeight="1">
      <c r="A20" s="118"/>
      <c r="B20" s="118"/>
      <c r="C20" s="81"/>
      <c r="F20" s="124"/>
      <c r="G20" s="145"/>
      <c r="I20" s="145"/>
      <c r="J20" s="82"/>
      <c r="K20" s="124"/>
      <c r="L20" s="124"/>
      <c r="M20" s="124"/>
      <c r="N20" s="124"/>
      <c r="O20" s="134"/>
      <c r="P20" s="134"/>
      <c r="Q20" s="127"/>
      <c r="R20" s="127"/>
      <c r="S20" s="135"/>
      <c r="T20" s="136"/>
      <c r="U20" s="127"/>
      <c r="V20" s="127"/>
      <c r="W20" s="127"/>
      <c r="X20" s="127"/>
      <c r="Y20" s="121"/>
      <c r="Z20" s="121"/>
      <c r="AA20" s="121"/>
      <c r="AL20" s="82"/>
      <c r="AO20" s="456"/>
      <c r="AP20" s="423"/>
      <c r="AQ20" s="423"/>
      <c r="AR20" s="423"/>
      <c r="AS20" s="423"/>
      <c r="AT20" s="423"/>
      <c r="AU20" s="81"/>
    </row>
    <row r="21" spans="1:50" ht="13" customHeight="1">
      <c r="A21" s="118"/>
      <c r="B21" s="118"/>
      <c r="C21" s="81"/>
      <c r="F21" s="124"/>
      <c r="G21" s="145"/>
      <c r="I21" s="145"/>
      <c r="J21" s="82"/>
      <c r="O21" s="119"/>
      <c r="Y21" s="123"/>
      <c r="AB21" s="93"/>
      <c r="AL21" s="82"/>
      <c r="AO21" s="93"/>
      <c r="AP21" s="93"/>
      <c r="AQ21" s="93"/>
      <c r="AR21" s="93"/>
      <c r="AS21" s="93"/>
      <c r="AT21" s="93"/>
      <c r="AU21" s="81"/>
    </row>
    <row r="22" spans="1:50" ht="13.5" customHeight="1">
      <c r="B22" s="118"/>
      <c r="F22" s="124"/>
      <c r="G22" s="145"/>
      <c r="I22" s="145"/>
      <c r="J22" s="82"/>
      <c r="K22" s="138">
        <v>6</v>
      </c>
      <c r="L22" s="139"/>
      <c r="M22" s="140"/>
      <c r="N22" s="140"/>
      <c r="O22" s="141"/>
      <c r="P22" s="142"/>
      <c r="Q22" s="143"/>
      <c r="R22" s="126" t="s">
        <v>356</v>
      </c>
      <c r="S22" s="130"/>
      <c r="T22" s="130"/>
      <c r="U22" s="138">
        <v>1</v>
      </c>
      <c r="V22" s="139"/>
      <c r="W22" s="140"/>
      <c r="X22" s="144"/>
      <c r="Y22" s="142"/>
      <c r="Z22" s="142"/>
      <c r="AA22" s="126" t="s">
        <v>356</v>
      </c>
      <c r="AL22" s="82"/>
    </row>
    <row r="23" spans="1:50" ht="13.5" customHeight="1">
      <c r="A23" s="118"/>
      <c r="B23" s="118"/>
      <c r="C23" s="130"/>
      <c r="E23" s="87"/>
      <c r="F23" s="87"/>
      <c r="G23" s="148"/>
      <c r="H23" s="149"/>
      <c r="I23" s="149"/>
      <c r="J23" s="82"/>
      <c r="K23" s="445" t="s">
        <v>367</v>
      </c>
      <c r="L23" s="439"/>
      <c r="M23" s="439"/>
      <c r="N23" s="439"/>
      <c r="O23" s="439"/>
      <c r="P23" s="439"/>
      <c r="Q23" s="439"/>
      <c r="R23" s="443"/>
      <c r="S23" s="130"/>
      <c r="T23" s="106"/>
      <c r="U23" s="445" t="s">
        <v>226</v>
      </c>
      <c r="V23" s="439"/>
      <c r="W23" s="439"/>
      <c r="X23" s="439"/>
      <c r="Y23" s="439"/>
      <c r="Z23" s="439"/>
      <c r="AA23" s="443"/>
      <c r="AL23" s="82"/>
      <c r="AO23" s="140"/>
      <c r="AP23" s="140"/>
      <c r="AQ23" s="140"/>
      <c r="AR23" s="140"/>
      <c r="AS23" s="140"/>
      <c r="AT23" s="130"/>
    </row>
    <row r="24" spans="1:50" ht="13" customHeight="1">
      <c r="A24" s="118"/>
      <c r="B24" s="118"/>
      <c r="C24" s="131"/>
      <c r="E24" s="87"/>
      <c r="F24" s="87"/>
      <c r="G24" s="148"/>
      <c r="H24" s="149"/>
      <c r="I24" s="149"/>
      <c r="J24" s="82"/>
      <c r="K24" s="92">
        <v>1</v>
      </c>
      <c r="L24" s="438" t="s">
        <v>75</v>
      </c>
      <c r="M24" s="439"/>
      <c r="N24" s="439"/>
      <c r="O24" s="152" t="s">
        <v>368</v>
      </c>
      <c r="P24" s="444" t="s">
        <v>369</v>
      </c>
      <c r="Q24" s="439"/>
      <c r="R24" s="443"/>
      <c r="S24" s="130"/>
      <c r="T24" s="93"/>
      <c r="U24" s="92">
        <v>1</v>
      </c>
      <c r="V24" s="452" t="str">
        <f>+RRHH_Control!D17</f>
        <v xml:space="preserve">Matias Quiñenao </v>
      </c>
      <c r="W24" s="453"/>
      <c r="X24" s="453"/>
      <c r="Y24" s="453"/>
      <c r="Z24" s="425"/>
      <c r="AA24" s="92" t="s">
        <v>360</v>
      </c>
      <c r="AL24" s="82"/>
      <c r="AT24" s="131"/>
    </row>
    <row r="25" spans="1:50" ht="12" customHeight="1">
      <c r="A25" s="82"/>
      <c r="B25" s="118"/>
      <c r="C25" s="81"/>
      <c r="E25" s="87"/>
      <c r="F25" s="87"/>
      <c r="G25" s="148"/>
      <c r="H25" s="149"/>
      <c r="I25" s="149"/>
      <c r="J25" s="82"/>
      <c r="K25" s="92">
        <v>2</v>
      </c>
      <c r="L25" s="438" t="s">
        <v>78</v>
      </c>
      <c r="M25" s="439"/>
      <c r="N25" s="439"/>
      <c r="O25" s="152" t="s">
        <v>368</v>
      </c>
      <c r="P25" s="444" t="s">
        <v>370</v>
      </c>
      <c r="Q25" s="439"/>
      <c r="R25" s="443"/>
      <c r="S25" s="130"/>
      <c r="T25" s="93"/>
      <c r="U25" s="93"/>
      <c r="V25" s="93"/>
      <c r="W25" s="93"/>
      <c r="X25" s="93"/>
      <c r="Y25" s="120"/>
      <c r="Z25" s="93"/>
      <c r="AA25" s="93"/>
      <c r="AL25" s="82"/>
      <c r="AT25" s="81"/>
    </row>
    <row r="26" spans="1:50" ht="13.5" customHeight="1">
      <c r="A26" s="82"/>
      <c r="B26" s="118"/>
      <c r="C26" s="83"/>
      <c r="E26" s="87"/>
      <c r="F26" s="87"/>
      <c r="G26" s="148"/>
      <c r="H26" s="149"/>
      <c r="I26" s="149"/>
      <c r="J26" s="82"/>
      <c r="K26" s="92">
        <v>3</v>
      </c>
      <c r="L26" s="438" t="s">
        <v>81</v>
      </c>
      <c r="M26" s="439"/>
      <c r="N26" s="439"/>
      <c r="O26" s="152" t="s">
        <v>368</v>
      </c>
      <c r="P26" s="444" t="s">
        <v>370</v>
      </c>
      <c r="Q26" s="439"/>
      <c r="R26" s="443"/>
      <c r="S26" s="130"/>
      <c r="T26" s="93"/>
      <c r="U26" s="138">
        <v>1</v>
      </c>
      <c r="V26" s="139"/>
      <c r="W26" s="140"/>
      <c r="X26" s="140"/>
      <c r="Y26" s="141"/>
      <c r="Z26" s="142"/>
      <c r="AA26" s="126" t="s">
        <v>356</v>
      </c>
      <c r="AL26" s="82"/>
      <c r="AT26" s="81"/>
    </row>
    <row r="27" spans="1:50" ht="13.5" customHeight="1">
      <c r="A27" s="82"/>
      <c r="B27" s="118"/>
      <c r="C27" s="145"/>
      <c r="D27" s="145"/>
      <c r="E27" s="87"/>
      <c r="F27" s="87"/>
      <c r="G27" s="148"/>
      <c r="H27" s="149"/>
      <c r="I27" s="149"/>
      <c r="J27" s="146"/>
      <c r="K27" s="92">
        <v>4</v>
      </c>
      <c r="L27" s="438" t="s">
        <v>84</v>
      </c>
      <c r="M27" s="439"/>
      <c r="N27" s="439"/>
      <c r="O27" s="152" t="s">
        <v>368</v>
      </c>
      <c r="P27" s="444" t="s">
        <v>370</v>
      </c>
      <c r="Q27" s="439"/>
      <c r="R27" s="443"/>
      <c r="S27" s="130"/>
      <c r="T27" s="93"/>
      <c r="U27" s="445" t="s">
        <v>103</v>
      </c>
      <c r="V27" s="439"/>
      <c r="W27" s="439"/>
      <c r="X27" s="439"/>
      <c r="Y27" s="439"/>
      <c r="Z27" s="439"/>
      <c r="AA27" s="443"/>
      <c r="AL27" s="82"/>
      <c r="AT27" s="81"/>
    </row>
    <row r="28" spans="1:50" ht="13.5" customHeight="1">
      <c r="A28" s="82"/>
      <c r="B28" s="118"/>
      <c r="E28" s="87"/>
      <c r="F28" s="87"/>
      <c r="G28" s="148"/>
      <c r="H28" s="149"/>
      <c r="I28" s="149"/>
      <c r="J28" s="147"/>
      <c r="K28" s="92">
        <v>5</v>
      </c>
      <c r="L28" s="438" t="s">
        <v>87</v>
      </c>
      <c r="M28" s="439"/>
      <c r="N28" s="439"/>
      <c r="O28" s="152" t="s">
        <v>368</v>
      </c>
      <c r="P28" s="444" t="s">
        <v>370</v>
      </c>
      <c r="Q28" s="439"/>
      <c r="R28" s="443"/>
      <c r="S28" s="130"/>
      <c r="T28" s="93"/>
      <c r="U28" s="92">
        <v>1</v>
      </c>
      <c r="V28" s="463" t="str">
        <f>+RRHH_Control!D18</f>
        <v>Mauro Vega (OP1)
Sebastian Morales (OP2)</v>
      </c>
      <c r="W28" s="439"/>
      <c r="X28" s="439"/>
      <c r="Y28" s="439"/>
      <c r="Z28" s="439"/>
      <c r="AA28" s="443"/>
      <c r="AL28" s="82"/>
    </row>
    <row r="29" spans="1:50" ht="13.5" customHeight="1">
      <c r="A29" s="82"/>
      <c r="B29" s="82"/>
      <c r="E29" s="87"/>
      <c r="F29" s="87"/>
      <c r="G29" s="148"/>
      <c r="H29" s="149"/>
      <c r="I29" s="149"/>
      <c r="J29" s="147"/>
      <c r="K29" s="92">
        <v>6</v>
      </c>
      <c r="L29" s="438" t="s">
        <v>90</v>
      </c>
      <c r="M29" s="439"/>
      <c r="N29" s="439"/>
      <c r="O29" s="152" t="s">
        <v>368</v>
      </c>
      <c r="P29" s="444" t="s">
        <v>370</v>
      </c>
      <c r="Q29" s="439"/>
      <c r="R29" s="443"/>
      <c r="S29" s="93"/>
      <c r="T29" s="93"/>
      <c r="U29" s="93"/>
      <c r="V29" s="93"/>
      <c r="W29" s="93"/>
      <c r="AL29" s="82"/>
    </row>
    <row r="30" spans="1:50" ht="13.5" customHeight="1">
      <c r="A30" s="82"/>
      <c r="F30" s="87"/>
      <c r="G30" s="148"/>
      <c r="H30" s="96"/>
      <c r="I30" s="96"/>
      <c r="J30" s="147"/>
      <c r="O30" s="119"/>
      <c r="AL30" s="82"/>
    </row>
    <row r="31" spans="1:50" ht="11.25" customHeight="1">
      <c r="B31" s="82"/>
      <c r="C31" s="87"/>
      <c r="D31" s="87"/>
      <c r="J31" s="150"/>
      <c r="K31" s="138">
        <v>2</v>
      </c>
      <c r="L31" s="139"/>
      <c r="M31" s="140"/>
      <c r="N31" s="140"/>
      <c r="O31" s="141"/>
      <c r="P31" s="142"/>
      <c r="Q31" s="143"/>
      <c r="R31" s="126" t="s">
        <v>356</v>
      </c>
      <c r="S31" s="130"/>
      <c r="T31" s="130"/>
      <c r="U31" s="130"/>
      <c r="V31" s="130"/>
      <c r="W31" s="130"/>
      <c r="AL31" s="82"/>
    </row>
    <row r="32" spans="1:50" ht="11.25" customHeight="1">
      <c r="B32" s="82"/>
      <c r="C32" s="87"/>
      <c r="D32" s="87"/>
      <c r="J32" s="150"/>
      <c r="K32" s="445" t="s">
        <v>371</v>
      </c>
      <c r="L32" s="439"/>
      <c r="M32" s="439"/>
      <c r="N32" s="439"/>
      <c r="O32" s="439"/>
      <c r="P32" s="439"/>
      <c r="Q32" s="439"/>
      <c r="R32" s="443"/>
      <c r="S32" s="106"/>
      <c r="T32" s="106"/>
      <c r="U32" s="106"/>
      <c r="V32" s="106"/>
      <c r="W32" s="106"/>
      <c r="AL32" s="82"/>
    </row>
    <row r="33" spans="2:38" ht="13" customHeight="1">
      <c r="B33" s="118"/>
      <c r="C33" s="87"/>
      <c r="D33" s="87"/>
      <c r="J33" s="150"/>
      <c r="K33" s="92">
        <v>1</v>
      </c>
      <c r="L33" s="438" t="s">
        <v>94</v>
      </c>
      <c r="M33" s="439"/>
      <c r="N33" s="439"/>
      <c r="O33" s="152" t="s">
        <v>368</v>
      </c>
      <c r="P33" s="444" t="s">
        <v>372</v>
      </c>
      <c r="Q33" s="439"/>
      <c r="R33" s="443"/>
      <c r="S33" s="93"/>
      <c r="T33" s="93"/>
      <c r="U33" s="93"/>
      <c r="V33" s="93"/>
      <c r="W33" s="93"/>
      <c r="AL33" s="82"/>
    </row>
    <row r="34" spans="2:38" ht="13" customHeight="1">
      <c r="B34" s="118"/>
      <c r="C34" s="87"/>
      <c r="D34" s="87"/>
      <c r="J34" s="150"/>
      <c r="K34" s="92">
        <v>2</v>
      </c>
      <c r="L34" s="450"/>
      <c r="M34" s="451"/>
      <c r="N34" s="451"/>
      <c r="O34" s="377" t="s">
        <v>368</v>
      </c>
      <c r="P34" s="454" t="s">
        <v>372</v>
      </c>
      <c r="Q34" s="451"/>
      <c r="R34" s="455"/>
      <c r="S34" s="93"/>
      <c r="T34" s="93"/>
      <c r="U34" s="93"/>
      <c r="V34" s="93"/>
      <c r="W34" s="93"/>
      <c r="AL34" s="82"/>
    </row>
    <row r="35" spans="2:38" ht="13" customHeight="1">
      <c r="B35" s="118"/>
      <c r="C35" s="87"/>
      <c r="D35" s="87"/>
      <c r="J35" s="150"/>
      <c r="AL35" s="82"/>
    </row>
    <row r="36" spans="2:38" ht="11.25" customHeight="1">
      <c r="C36" s="87"/>
      <c r="D36" s="87"/>
      <c r="J36" s="150"/>
      <c r="K36" s="139"/>
      <c r="L36" s="139"/>
      <c r="M36" s="140"/>
      <c r="N36" s="140"/>
      <c r="O36" s="140"/>
      <c r="P36" s="140"/>
      <c r="Q36" s="140"/>
      <c r="R36" s="130"/>
      <c r="S36" s="130"/>
      <c r="T36" s="130"/>
      <c r="U36" s="130"/>
      <c r="V36" s="130"/>
      <c r="W36" s="130"/>
      <c r="AL36" s="82"/>
    </row>
    <row r="37" spans="2:38" ht="11.25" customHeight="1">
      <c r="C37" s="87"/>
      <c r="D37" s="87"/>
      <c r="J37" s="150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AL37" s="82"/>
    </row>
    <row r="38" spans="2:38" ht="11.25" customHeight="1"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AL38" s="82"/>
    </row>
    <row r="39" spans="2:38" ht="11.25" customHeight="1"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AL39" s="82"/>
    </row>
    <row r="40" spans="2:38" ht="11.25" customHeight="1">
      <c r="K40" s="93"/>
      <c r="L40" s="93"/>
      <c r="M40" s="93"/>
      <c r="N40" s="93"/>
      <c r="O40" s="93"/>
      <c r="P40" s="93"/>
      <c r="Q40" s="93"/>
      <c r="R40" s="93"/>
      <c r="AL40" s="82"/>
    </row>
    <row r="41" spans="2:38" ht="11.25" customHeight="1">
      <c r="K41" s="93"/>
      <c r="L41" s="93"/>
      <c r="M41" s="93"/>
      <c r="N41" s="93"/>
      <c r="O41" s="93"/>
      <c r="P41" s="93"/>
      <c r="Q41" s="93"/>
      <c r="R41" s="93"/>
      <c r="AL41" s="82"/>
    </row>
    <row r="42" spans="2:38" ht="11.25" customHeight="1">
      <c r="K42" s="93"/>
      <c r="L42" s="93"/>
      <c r="M42" s="93"/>
      <c r="N42" s="93"/>
      <c r="O42" s="93"/>
      <c r="P42" s="93"/>
      <c r="Q42" s="93"/>
      <c r="R42" s="93"/>
      <c r="AL42" s="82"/>
    </row>
    <row r="43" spans="2:38" ht="11.25" customHeight="1">
      <c r="K43" s="93"/>
      <c r="L43" s="93"/>
      <c r="M43" s="93"/>
      <c r="N43" s="93"/>
      <c r="O43" s="93"/>
      <c r="P43" s="93"/>
      <c r="Q43" s="93"/>
      <c r="R43" s="93"/>
    </row>
    <row r="44" spans="2:38" ht="11.25" customHeight="1">
      <c r="K44" s="93"/>
      <c r="L44" s="93"/>
      <c r="M44" s="93"/>
      <c r="N44" s="93"/>
      <c r="O44" s="93"/>
      <c r="P44" s="93"/>
      <c r="Q44" s="93"/>
      <c r="R44" s="93"/>
    </row>
  </sheetData>
  <mergeCells count="43">
    <mergeCell ref="E12:I12"/>
    <mergeCell ref="L24:N24"/>
    <mergeCell ref="V28:AA28"/>
    <mergeCell ref="P27:R27"/>
    <mergeCell ref="P28:R28"/>
    <mergeCell ref="E13:I13"/>
    <mergeCell ref="E16:I16"/>
    <mergeCell ref="E17:I17"/>
    <mergeCell ref="AO20:AT20"/>
    <mergeCell ref="P12:W13"/>
    <mergeCell ref="AJ14:AM14"/>
    <mergeCell ref="AR17:AV17"/>
    <mergeCell ref="AB14:AF14"/>
    <mergeCell ref="P14:V14"/>
    <mergeCell ref="L34:N34"/>
    <mergeCell ref="V24:Z24"/>
    <mergeCell ref="P33:R33"/>
    <mergeCell ref="P24:R24"/>
    <mergeCell ref="U27:AA27"/>
    <mergeCell ref="P29:R29"/>
    <mergeCell ref="L28:N28"/>
    <mergeCell ref="P34:R34"/>
    <mergeCell ref="L25:N25"/>
    <mergeCell ref="L26:N26"/>
    <mergeCell ref="L29:N29"/>
    <mergeCell ref="L33:N33"/>
    <mergeCell ref="K32:R32"/>
    <mergeCell ref="C18:C19"/>
    <mergeCell ref="V3:W3"/>
    <mergeCell ref="P4:W5"/>
    <mergeCell ref="AJ12:AN13"/>
    <mergeCell ref="L27:N27"/>
    <mergeCell ref="J12:J13"/>
    <mergeCell ref="P19:W19"/>
    <mergeCell ref="P6:V6"/>
    <mergeCell ref="P26:R26"/>
    <mergeCell ref="K23:R23"/>
    <mergeCell ref="P18:W18"/>
    <mergeCell ref="P25:R25"/>
    <mergeCell ref="AG14:AH14"/>
    <mergeCell ref="AG11:AH11"/>
    <mergeCell ref="AB12:AH13"/>
    <mergeCell ref="U23:AA23"/>
  </mergeCells>
  <dataValidations count="1">
    <dataValidation type="list" showInputMessage="1" showErrorMessage="1" sqref="AO20:AT21" xr:uid="{00000000-0002-0000-0600-000000000000}">
      <formula1>#REF!</formula1>
    </dataValidation>
  </dataValidations>
  <pageMargins left="0.25" right="0.25" top="0.75" bottom="0.75" header="0.3" footer="0.3"/>
  <pageSetup scale="4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31"/>
  <sheetViews>
    <sheetView showGridLines="0" topLeftCell="I1" workbookViewId="0">
      <selection activeCell="N32" sqref="N32"/>
    </sheetView>
  </sheetViews>
  <sheetFormatPr baseColWidth="10" defaultColWidth="8.7265625" defaultRowHeight="14.5"/>
  <cols>
    <col min="1" max="1" width="13.7265625" bestFit="1" customWidth="1"/>
    <col min="2" max="2" width="10.1796875" bestFit="1" customWidth="1"/>
    <col min="3" max="3" width="3.1796875" customWidth="1"/>
    <col min="4" max="4" width="20.26953125" customWidth="1"/>
    <col min="5" max="5" width="2.453125" customWidth="1"/>
    <col min="6" max="6" width="24.54296875" bestFit="1" customWidth="1"/>
    <col min="7" max="7" width="2.54296875" customWidth="1"/>
    <col min="9" max="9" width="3.81640625" customWidth="1"/>
    <col min="10" max="10" width="51.81640625" bestFit="1" customWidth="1"/>
    <col min="11" max="11" width="4.7265625" customWidth="1"/>
    <col min="12" max="12" width="25.26953125" customWidth="1"/>
    <col min="14" max="14" width="23.54296875" bestFit="1" customWidth="1"/>
    <col min="16" max="16" width="51.90625" bestFit="1" customWidth="1"/>
  </cols>
  <sheetData>
    <row r="1" spans="1:16">
      <c r="A1" s="12" t="s">
        <v>373</v>
      </c>
      <c r="B1" t="s">
        <v>374</v>
      </c>
      <c r="D1" s="12" t="s">
        <v>375</v>
      </c>
      <c r="F1" s="12" t="s">
        <v>376</v>
      </c>
      <c r="H1" s="12" t="s">
        <v>377</v>
      </c>
      <c r="J1" s="53" t="s">
        <v>283</v>
      </c>
      <c r="L1" s="73" t="s">
        <v>287</v>
      </c>
      <c r="N1" s="12" t="s">
        <v>378</v>
      </c>
      <c r="P1" s="53" t="s">
        <v>197</v>
      </c>
    </row>
    <row r="2" spans="1:16">
      <c r="A2" t="s">
        <v>43</v>
      </c>
      <c r="B2" t="s">
        <v>44</v>
      </c>
      <c r="D2" s="9" t="s">
        <v>379</v>
      </c>
      <c r="F2" s="11" t="s">
        <v>359</v>
      </c>
      <c r="H2" s="11" t="s">
        <v>380</v>
      </c>
      <c r="J2" s="17" t="s">
        <v>55</v>
      </c>
      <c r="L2" s="352" t="s">
        <v>290</v>
      </c>
      <c r="N2" s="9" t="s">
        <v>110</v>
      </c>
      <c r="P2" t="s">
        <v>55</v>
      </c>
    </row>
    <row r="3" spans="1:16">
      <c r="A3" t="s">
        <v>381</v>
      </c>
      <c r="B3" t="s">
        <v>382</v>
      </c>
      <c r="D3" s="9" t="s">
        <v>383</v>
      </c>
      <c r="F3" s="11" t="s">
        <v>384</v>
      </c>
      <c r="H3" s="11" t="s">
        <v>385</v>
      </c>
      <c r="J3" s="17" t="s">
        <v>218</v>
      </c>
      <c r="L3" s="352" t="s">
        <v>386</v>
      </c>
      <c r="N3" s="9" t="s">
        <v>387</v>
      </c>
      <c r="P3" t="s">
        <v>218</v>
      </c>
    </row>
    <row r="4" spans="1:16">
      <c r="A4" t="s">
        <v>44</v>
      </c>
      <c r="D4" s="9" t="s">
        <v>388</v>
      </c>
      <c r="F4" s="11" t="s">
        <v>389</v>
      </c>
      <c r="H4" s="11" t="s">
        <v>390</v>
      </c>
      <c r="J4" s="17" t="s">
        <v>64</v>
      </c>
      <c r="L4" s="352" t="s">
        <v>391</v>
      </c>
      <c r="N4" s="9"/>
      <c r="P4" t="s">
        <v>64</v>
      </c>
    </row>
    <row r="5" spans="1:16">
      <c r="A5" t="s">
        <v>41</v>
      </c>
      <c r="D5" s="9" t="s">
        <v>392</v>
      </c>
      <c r="F5" s="11" t="s">
        <v>393</v>
      </c>
      <c r="J5" s="17" t="s">
        <v>68</v>
      </c>
      <c r="N5" s="9"/>
      <c r="P5" t="s">
        <v>68</v>
      </c>
    </row>
    <row r="6" spans="1:16">
      <c r="A6" t="s">
        <v>58</v>
      </c>
      <c r="D6" s="9" t="s">
        <v>394</v>
      </c>
      <c r="F6" s="11" t="s">
        <v>395</v>
      </c>
      <c r="J6" s="17" t="s">
        <v>222</v>
      </c>
      <c r="N6" s="9"/>
      <c r="P6" t="s">
        <v>222</v>
      </c>
    </row>
    <row r="7" spans="1:16">
      <c r="A7" t="s">
        <v>71</v>
      </c>
      <c r="F7" s="11" t="s">
        <v>395</v>
      </c>
      <c r="J7" s="17" t="s">
        <v>73</v>
      </c>
      <c r="P7" t="s">
        <v>73</v>
      </c>
    </row>
    <row r="8" spans="1:16">
      <c r="A8" t="s">
        <v>1302</v>
      </c>
      <c r="F8" s="11" t="s">
        <v>396</v>
      </c>
      <c r="J8" s="17" t="s">
        <v>92</v>
      </c>
      <c r="P8" t="s">
        <v>92</v>
      </c>
    </row>
    <row r="9" spans="1:16">
      <c r="A9" t="s">
        <v>42</v>
      </c>
      <c r="F9" s="11" t="s">
        <v>397</v>
      </c>
      <c r="J9" s="17" t="s">
        <v>226</v>
      </c>
      <c r="P9" t="s">
        <v>226</v>
      </c>
    </row>
    <row r="10" spans="1:16">
      <c r="F10" s="11" t="s">
        <v>398</v>
      </c>
      <c r="J10" s="17" t="s">
        <v>103</v>
      </c>
      <c r="P10" t="s">
        <v>103</v>
      </c>
    </row>
    <row r="11" spans="1:16">
      <c r="F11" s="11" t="s">
        <v>399</v>
      </c>
      <c r="J11" s="17" t="s">
        <v>231</v>
      </c>
      <c r="P11" t="s">
        <v>231</v>
      </c>
    </row>
    <row r="12" spans="1:16">
      <c r="F12" s="11" t="s">
        <v>400</v>
      </c>
      <c r="J12" s="17" t="s">
        <v>233</v>
      </c>
      <c r="P12" t="s">
        <v>233</v>
      </c>
    </row>
    <row r="13" spans="1:16">
      <c r="F13" s="11" t="s">
        <v>401</v>
      </c>
      <c r="J13" s="17" t="s">
        <v>235</v>
      </c>
      <c r="P13" t="s">
        <v>235</v>
      </c>
    </row>
    <row r="14" spans="1:16">
      <c r="F14" s="11" t="s">
        <v>49</v>
      </c>
      <c r="J14" s="17" t="s">
        <v>239</v>
      </c>
      <c r="P14" t="s">
        <v>239</v>
      </c>
    </row>
    <row r="15" spans="1:16">
      <c r="F15" s="11" t="s">
        <v>402</v>
      </c>
      <c r="J15" s="17" t="s">
        <v>241</v>
      </c>
      <c r="P15" t="s">
        <v>241</v>
      </c>
    </row>
    <row r="16" spans="1:16">
      <c r="F16" s="11" t="s">
        <v>53</v>
      </c>
      <c r="J16" s="17" t="s">
        <v>243</v>
      </c>
      <c r="P16" t="s">
        <v>243</v>
      </c>
    </row>
    <row r="17" spans="6:16">
      <c r="F17" s="11" t="s">
        <v>403</v>
      </c>
      <c r="J17" s="17" t="s">
        <v>245</v>
      </c>
      <c r="P17" t="s">
        <v>245</v>
      </c>
    </row>
    <row r="18" spans="6:16">
      <c r="F18" s="11" t="s">
        <v>57</v>
      </c>
      <c r="J18" s="17" t="s">
        <v>247</v>
      </c>
      <c r="P18" t="s">
        <v>247</v>
      </c>
    </row>
    <row r="19" spans="6:16">
      <c r="F19" s="11"/>
      <c r="J19" s="17" t="s">
        <v>250</v>
      </c>
      <c r="P19" t="s">
        <v>250</v>
      </c>
    </row>
    <row r="20" spans="6:16">
      <c r="J20" s="17" t="s">
        <v>252</v>
      </c>
      <c r="P20" t="s">
        <v>252</v>
      </c>
    </row>
    <row r="21" spans="6:16">
      <c r="J21" s="17" t="s">
        <v>254</v>
      </c>
      <c r="P21" t="s">
        <v>254</v>
      </c>
    </row>
    <row r="22" spans="6:16">
      <c r="J22" s="17" t="s">
        <v>258</v>
      </c>
      <c r="P22" t="s">
        <v>258</v>
      </c>
    </row>
    <row r="23" spans="6:16">
      <c r="J23" s="17" t="s">
        <v>260</v>
      </c>
      <c r="P23" t="s">
        <v>260</v>
      </c>
    </row>
    <row r="24" spans="6:16">
      <c r="J24" s="17" t="s">
        <v>262</v>
      </c>
      <c r="P24" t="s">
        <v>262</v>
      </c>
    </row>
    <row r="25" spans="6:16">
      <c r="J25" s="17" t="s">
        <v>266</v>
      </c>
      <c r="P25" t="s">
        <v>266</v>
      </c>
    </row>
    <row r="26" spans="6:16">
      <c r="J26" s="17" t="s">
        <v>268</v>
      </c>
      <c r="P26" t="s">
        <v>268</v>
      </c>
    </row>
    <row r="27" spans="6:16">
      <c r="J27" s="17" t="s">
        <v>270</v>
      </c>
      <c r="P27" t="s">
        <v>270</v>
      </c>
    </row>
    <row r="28" spans="6:16">
      <c r="J28" s="17" t="s">
        <v>272</v>
      </c>
      <c r="P28" t="s">
        <v>272</v>
      </c>
    </row>
    <row r="29" spans="6:16">
      <c r="J29" s="17" t="s">
        <v>274</v>
      </c>
      <c r="P29" t="s">
        <v>274</v>
      </c>
    </row>
    <row r="30" spans="6:16">
      <c r="J30" s="17" t="s">
        <v>276</v>
      </c>
      <c r="P30" t="s">
        <v>276</v>
      </c>
    </row>
    <row r="31" spans="6:16">
      <c r="P31" t="s">
        <v>280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52"/>
  <sheetViews>
    <sheetView showGridLines="0" zoomScale="90" zoomScaleNormal="90" workbookViewId="0">
      <pane ySplit="12" topLeftCell="A13" activePane="bottomLeft" state="frozen"/>
      <selection pane="bottomLeft" activeCell="L20" sqref="L20"/>
    </sheetView>
  </sheetViews>
  <sheetFormatPr baseColWidth="10" defaultColWidth="11.453125" defaultRowHeight="12" outlineLevelRow="1"/>
  <cols>
    <col min="1" max="1" width="3.453125" style="289" customWidth="1"/>
    <col min="2" max="2" width="3.7265625" style="289" customWidth="1"/>
    <col min="3" max="4" width="20.453125" style="289" customWidth="1"/>
    <col min="5" max="5" width="16.81640625" style="289" customWidth="1"/>
    <col min="6" max="6" width="18.453125" style="289" customWidth="1"/>
    <col min="7" max="7" width="4" style="289" customWidth="1"/>
    <col min="8" max="8" width="3.7265625" style="289" customWidth="1"/>
    <col min="9" max="9" width="3.453125" style="289" customWidth="1"/>
    <col min="10" max="10" width="16.54296875" style="290" customWidth="1"/>
    <col min="11" max="11" width="9.54296875" style="291" customWidth="1"/>
    <col min="12" max="12" width="9.453125" style="291" customWidth="1"/>
    <col min="13" max="13" width="10.26953125" style="291" customWidth="1"/>
    <col min="14" max="14" width="12.453125" style="291" customWidth="1"/>
    <col min="15" max="15" width="26.26953125" style="291" customWidth="1"/>
    <col min="16" max="16" width="31.453125" style="291" customWidth="1"/>
    <col min="17" max="17" width="61.453125" style="289" customWidth="1"/>
    <col min="18" max="18" width="14.26953125" style="290" bestFit="1" customWidth="1"/>
    <col min="19" max="19" width="2.81640625" style="289" customWidth="1"/>
    <col min="20" max="20" width="26.7265625" style="289" bestFit="1" customWidth="1"/>
    <col min="21" max="21" width="10.26953125" style="289" bestFit="1" customWidth="1"/>
    <col min="22" max="22" width="11.453125" style="289" customWidth="1"/>
    <col min="23" max="16384" width="11.453125" style="289"/>
  </cols>
  <sheetData>
    <row r="1" spans="2:21" hidden="1"/>
    <row r="2" spans="2:21" s="295" customFormat="1" ht="14.5" hidden="1" outlineLevel="1">
      <c r="B2" s="474" t="s">
        <v>404</v>
      </c>
      <c r="C2" s="453"/>
      <c r="D2" s="453"/>
      <c r="E2" s="425"/>
      <c r="F2" s="292" t="s">
        <v>405</v>
      </c>
      <c r="G2" s="470" t="s">
        <v>406</v>
      </c>
      <c r="H2" s="453"/>
      <c r="I2" s="453"/>
      <c r="J2" s="425"/>
      <c r="K2" s="293"/>
      <c r="L2" s="293"/>
      <c r="M2" s="293"/>
      <c r="N2" s="293"/>
      <c r="O2" s="293"/>
      <c r="P2" s="293"/>
      <c r="Q2" s="294"/>
      <c r="R2" s="293"/>
      <c r="T2" s="296" t="s">
        <v>407</v>
      </c>
      <c r="U2" s="297">
        <v>45957</v>
      </c>
    </row>
    <row r="3" spans="2:21" ht="40" hidden="1" customHeight="1" outlineLevel="1">
      <c r="B3" s="471" t="s">
        <v>408</v>
      </c>
      <c r="C3" s="472"/>
      <c r="D3" s="472"/>
      <c r="E3" s="473"/>
      <c r="F3" s="299" t="s">
        <v>409</v>
      </c>
      <c r="G3" s="477" t="s">
        <v>410</v>
      </c>
      <c r="H3" s="472"/>
      <c r="I3" s="472"/>
      <c r="J3" s="473"/>
      <c r="K3" s="293"/>
      <c r="L3" s="293"/>
      <c r="M3" s="293"/>
      <c r="N3" s="293"/>
      <c r="O3" s="293"/>
      <c r="P3" s="293"/>
      <c r="Q3" s="301"/>
      <c r="R3" s="302"/>
    </row>
    <row r="4" spans="2:21" s="295" customFormat="1" ht="14.5" hidden="1" outlineLevel="1">
      <c r="B4" s="478" t="s">
        <v>411</v>
      </c>
      <c r="C4" s="479"/>
      <c r="D4" s="303" t="s">
        <v>3</v>
      </c>
      <c r="E4" s="303" t="s">
        <v>1</v>
      </c>
      <c r="F4" s="303" t="s">
        <v>412</v>
      </c>
      <c r="G4" s="486" t="s">
        <v>413</v>
      </c>
      <c r="H4" s="466"/>
      <c r="I4" s="466"/>
      <c r="J4" s="467"/>
      <c r="K4" s="293"/>
      <c r="L4" s="293"/>
      <c r="M4" s="293"/>
      <c r="N4" s="293"/>
      <c r="O4" s="293"/>
      <c r="P4" s="293"/>
      <c r="Q4" s="301"/>
      <c r="R4" s="302"/>
    </row>
    <row r="5" spans="2:21" s="295" customFormat="1" ht="28.5" hidden="1" customHeight="1" outlineLevel="1">
      <c r="B5" s="480"/>
      <c r="C5" s="481"/>
      <c r="D5" s="304" t="s">
        <v>401</v>
      </c>
      <c r="E5" s="305" t="s">
        <v>414</v>
      </c>
      <c r="F5" s="304" t="s">
        <v>415</v>
      </c>
      <c r="G5" s="475" t="s">
        <v>410</v>
      </c>
      <c r="H5" s="466"/>
      <c r="I5" s="466"/>
      <c r="J5" s="467"/>
      <c r="K5" s="293"/>
      <c r="L5" s="293"/>
      <c r="M5" s="293"/>
      <c r="N5" s="293"/>
      <c r="O5" s="293"/>
      <c r="P5" s="293"/>
      <c r="Q5" s="301"/>
      <c r="R5" s="302"/>
    </row>
    <row r="6" spans="2:21" s="295" customFormat="1" ht="24" hidden="1" customHeight="1" outlineLevel="1">
      <c r="B6" s="482"/>
      <c r="C6" s="473"/>
      <c r="D6" s="304" t="s">
        <v>416</v>
      </c>
      <c r="E6" s="298" t="s">
        <v>417</v>
      </c>
      <c r="F6" s="304" t="s">
        <v>415</v>
      </c>
      <c r="G6" s="475" t="s">
        <v>410</v>
      </c>
      <c r="H6" s="466"/>
      <c r="I6" s="466"/>
      <c r="J6" s="467"/>
      <c r="K6" s="293"/>
      <c r="L6" s="293"/>
      <c r="M6" s="293"/>
      <c r="N6" s="293"/>
      <c r="O6" s="293"/>
      <c r="P6" s="293"/>
      <c r="Q6" s="301"/>
      <c r="R6" s="302"/>
    </row>
    <row r="7" spans="2:21" s="295" customFormat="1" ht="14.5" hidden="1" outlineLevel="1">
      <c r="B7" s="476" t="s">
        <v>418</v>
      </c>
      <c r="C7" s="466"/>
      <c r="D7" s="466"/>
      <c r="E7" s="466"/>
      <c r="F7" s="466"/>
      <c r="G7" s="466"/>
      <c r="H7" s="466"/>
      <c r="I7" s="466"/>
      <c r="J7" s="467"/>
      <c r="K7" s="293"/>
      <c r="L7" s="293"/>
      <c r="M7" s="293"/>
      <c r="N7" s="293"/>
      <c r="O7" s="293"/>
      <c r="P7" s="293"/>
      <c r="Q7" s="301"/>
      <c r="R7" s="302"/>
    </row>
    <row r="8" spans="2:21" s="295" customFormat="1" ht="14.5" hidden="1" outlineLevel="1">
      <c r="B8" s="488" t="s">
        <v>419</v>
      </c>
      <c r="C8" s="479"/>
      <c r="D8" s="303" t="s">
        <v>3</v>
      </c>
      <c r="E8" s="303" t="s">
        <v>1</v>
      </c>
      <c r="F8" s="303" t="s">
        <v>412</v>
      </c>
      <c r="G8" s="485" t="s">
        <v>413</v>
      </c>
      <c r="H8" s="484"/>
      <c r="I8" s="484"/>
      <c r="J8" s="479"/>
      <c r="K8" s="293"/>
      <c r="L8" s="293"/>
      <c r="M8" s="293"/>
      <c r="N8" s="293"/>
      <c r="O8" s="293"/>
      <c r="P8" s="293"/>
      <c r="Q8" s="301"/>
      <c r="R8" s="302"/>
    </row>
    <row r="9" spans="2:21" s="295" customFormat="1" ht="14.5" hidden="1" outlineLevel="1">
      <c r="B9" s="480"/>
      <c r="C9" s="481"/>
      <c r="D9" s="306" t="s">
        <v>420</v>
      </c>
      <c r="E9" s="300" t="s">
        <v>421</v>
      </c>
      <c r="F9" s="306" t="s">
        <v>415</v>
      </c>
      <c r="G9" s="475" t="s">
        <v>410</v>
      </c>
      <c r="H9" s="466"/>
      <c r="I9" s="466"/>
      <c r="J9" s="467"/>
      <c r="K9" s="293"/>
      <c r="L9" s="293"/>
      <c r="M9" s="293"/>
      <c r="N9" s="293"/>
      <c r="O9" s="293"/>
      <c r="P9" s="293"/>
      <c r="Q9" s="301"/>
      <c r="R9" s="302"/>
    </row>
    <row r="10" spans="2:21" s="295" customFormat="1" ht="14.5" hidden="1" outlineLevel="1">
      <c r="B10" s="482"/>
      <c r="C10" s="473"/>
      <c r="D10" s="306" t="s">
        <v>422</v>
      </c>
      <c r="E10" s="300" t="s">
        <v>423</v>
      </c>
      <c r="F10" s="306" t="s">
        <v>424</v>
      </c>
      <c r="G10" s="483" t="s">
        <v>410</v>
      </c>
      <c r="H10" s="484"/>
      <c r="I10" s="484"/>
      <c r="J10" s="479"/>
      <c r="K10" s="293"/>
      <c r="L10" s="293"/>
      <c r="M10" s="293"/>
      <c r="N10" s="293"/>
      <c r="O10" s="293"/>
      <c r="P10" s="293"/>
      <c r="Q10" s="301"/>
      <c r="R10" s="302"/>
    </row>
    <row r="11" spans="2:21" s="295" customFormat="1" ht="12" customHeight="1" collapsed="1">
      <c r="B11" s="489" t="s">
        <v>425</v>
      </c>
      <c r="C11" s="466"/>
      <c r="D11" s="466"/>
      <c r="E11" s="466"/>
      <c r="F11" s="490"/>
      <c r="G11" s="468" t="s">
        <v>426</v>
      </c>
      <c r="H11" s="453"/>
      <c r="I11" s="453"/>
      <c r="J11" s="425"/>
      <c r="K11" s="356">
        <f ca="1">TODAY()</f>
        <v>46195</v>
      </c>
      <c r="L11" s="355"/>
      <c r="M11" s="355"/>
      <c r="N11" s="468" t="s">
        <v>427</v>
      </c>
      <c r="O11" s="343"/>
      <c r="P11" s="343"/>
      <c r="Q11" s="301"/>
      <c r="R11" s="302"/>
    </row>
    <row r="12" spans="2:21" s="295" customFormat="1" ht="14.5">
      <c r="B12" s="487" t="s">
        <v>428</v>
      </c>
      <c r="C12" s="466"/>
      <c r="D12" s="466"/>
      <c r="E12" s="466"/>
      <c r="F12" s="467"/>
      <c r="G12" s="344" t="s">
        <v>429</v>
      </c>
      <c r="H12" s="344" t="s">
        <v>430</v>
      </c>
      <c r="I12" s="344" t="s">
        <v>42</v>
      </c>
      <c r="J12" s="345" t="s">
        <v>431</v>
      </c>
      <c r="K12" s="346" t="s">
        <v>432</v>
      </c>
      <c r="L12" s="347" t="s">
        <v>433</v>
      </c>
      <c r="M12" s="347" t="s">
        <v>434</v>
      </c>
      <c r="N12" s="469"/>
      <c r="O12" s="350" t="s">
        <v>435</v>
      </c>
      <c r="P12" s="348" t="s">
        <v>435</v>
      </c>
      <c r="Q12" s="349" t="s">
        <v>436</v>
      </c>
      <c r="R12" s="349" t="s">
        <v>437</v>
      </c>
    </row>
    <row r="13" spans="2:21" s="315" customFormat="1" ht="14.5">
      <c r="B13" s="307">
        <v>1</v>
      </c>
      <c r="C13" s="465" t="s">
        <v>438</v>
      </c>
      <c r="D13" s="466"/>
      <c r="E13" s="466"/>
      <c r="F13" s="467"/>
      <c r="G13" s="308"/>
      <c r="H13" s="308" t="s">
        <v>439</v>
      </c>
      <c r="I13" s="308" t="s">
        <v>410</v>
      </c>
      <c r="J13" s="310" t="s">
        <v>440</v>
      </c>
      <c r="K13" s="311">
        <f t="shared" ref="K13:K33" ca="1" si="0">IF(N13="","",MIN(1,MAX(0,(TODAY()-DATE(2026,5,1))/(N13-DATE(2026,5,1)))))</f>
        <v>1</v>
      </c>
      <c r="L13" s="312">
        <v>1</v>
      </c>
      <c r="M13" s="312">
        <f t="shared" ref="M13:M47" ca="1" si="1">+L13-K13</f>
        <v>0</v>
      </c>
      <c r="N13" s="341">
        <v>46188</v>
      </c>
      <c r="O13" s="313"/>
      <c r="P13" s="313"/>
      <c r="Q13" s="314"/>
      <c r="R13" s="341"/>
    </row>
    <row r="14" spans="2:21" s="315" customFormat="1" ht="14.5">
      <c r="B14" s="307">
        <v>2</v>
      </c>
      <c r="C14" s="465" t="s">
        <v>441</v>
      </c>
      <c r="D14" s="466"/>
      <c r="E14" s="466"/>
      <c r="F14" s="467"/>
      <c r="G14" s="308" t="s">
        <v>439</v>
      </c>
      <c r="H14" s="309" t="s">
        <v>410</v>
      </c>
      <c r="I14" s="308" t="s">
        <v>410</v>
      </c>
      <c r="J14" s="316" t="s">
        <v>440</v>
      </c>
      <c r="K14" s="311">
        <f t="shared" ca="1" si="0"/>
        <v>1</v>
      </c>
      <c r="L14" s="312">
        <v>0</v>
      </c>
      <c r="M14" s="312">
        <f t="shared" ca="1" si="1"/>
        <v>-1</v>
      </c>
      <c r="N14" s="341">
        <v>46188</v>
      </c>
      <c r="O14" s="313"/>
      <c r="P14" s="313"/>
      <c r="Q14" s="317"/>
      <c r="R14" s="341"/>
    </row>
    <row r="15" spans="2:21" s="315" customFormat="1" ht="24.5" customHeight="1">
      <c r="B15" s="307">
        <v>3</v>
      </c>
      <c r="C15" s="465" t="s">
        <v>442</v>
      </c>
      <c r="D15" s="466"/>
      <c r="E15" s="466"/>
      <c r="F15" s="467"/>
      <c r="G15" s="308" t="s">
        <v>439</v>
      </c>
      <c r="H15" s="309" t="s">
        <v>410</v>
      </c>
      <c r="I15" s="308" t="s">
        <v>410</v>
      </c>
      <c r="J15" s="310" t="s">
        <v>443</v>
      </c>
      <c r="K15" s="311">
        <f t="shared" ca="1" si="0"/>
        <v>1</v>
      </c>
      <c r="L15" s="312">
        <v>1</v>
      </c>
      <c r="M15" s="312">
        <f t="shared" ca="1" si="1"/>
        <v>0</v>
      </c>
      <c r="N15" s="341">
        <v>46188</v>
      </c>
      <c r="O15" s="313"/>
      <c r="P15" s="313"/>
      <c r="Q15" s="314"/>
      <c r="R15" s="341"/>
    </row>
    <row r="16" spans="2:21" s="315" customFormat="1" ht="14.5">
      <c r="B16" s="307">
        <v>4</v>
      </c>
      <c r="C16" s="465" t="s">
        <v>444</v>
      </c>
      <c r="D16" s="466"/>
      <c r="E16" s="466"/>
      <c r="F16" s="467"/>
      <c r="G16" s="308" t="s">
        <v>439</v>
      </c>
      <c r="H16" s="309" t="s">
        <v>410</v>
      </c>
      <c r="I16" s="308" t="s">
        <v>410</v>
      </c>
      <c r="J16" s="310" t="s">
        <v>440</v>
      </c>
      <c r="K16" s="311">
        <f t="shared" ca="1" si="0"/>
        <v>1</v>
      </c>
      <c r="L16" s="312">
        <v>0</v>
      </c>
      <c r="M16" s="312">
        <f t="shared" ca="1" si="1"/>
        <v>-1</v>
      </c>
      <c r="N16" s="341">
        <v>46188</v>
      </c>
      <c r="O16" s="312"/>
      <c r="P16" s="312"/>
      <c r="Q16" s="314"/>
      <c r="R16" s="341"/>
    </row>
    <row r="17" spans="2:18" s="315" customFormat="1" ht="14.5">
      <c r="B17" s="307">
        <v>5</v>
      </c>
      <c r="C17" s="465" t="s">
        <v>445</v>
      </c>
      <c r="D17" s="466"/>
      <c r="E17" s="466"/>
      <c r="F17" s="467"/>
      <c r="G17" s="308" t="s">
        <v>439</v>
      </c>
      <c r="H17" s="309" t="s">
        <v>410</v>
      </c>
      <c r="I17" s="308" t="s">
        <v>410</v>
      </c>
      <c r="J17" s="310" t="s">
        <v>446</v>
      </c>
      <c r="K17" s="311">
        <f t="shared" ca="1" si="0"/>
        <v>1</v>
      </c>
      <c r="L17" s="312"/>
      <c r="M17" s="312">
        <f t="shared" ca="1" si="1"/>
        <v>-1</v>
      </c>
      <c r="N17" s="341">
        <v>46188</v>
      </c>
      <c r="O17" s="312"/>
      <c r="P17" s="312"/>
      <c r="Q17" s="314"/>
      <c r="R17" s="341"/>
    </row>
    <row r="18" spans="2:18" s="315" customFormat="1" ht="14.5">
      <c r="B18" s="307">
        <v>6</v>
      </c>
      <c r="C18" s="465" t="s">
        <v>447</v>
      </c>
      <c r="D18" s="466"/>
      <c r="E18" s="466"/>
      <c r="F18" s="467"/>
      <c r="G18" s="308" t="s">
        <v>439</v>
      </c>
      <c r="H18" s="309" t="s">
        <v>410</v>
      </c>
      <c r="I18" s="308" t="s">
        <v>410</v>
      </c>
      <c r="J18" s="310" t="s">
        <v>443</v>
      </c>
      <c r="K18" s="311">
        <f t="shared" ca="1" si="0"/>
        <v>1</v>
      </c>
      <c r="L18" s="312"/>
      <c r="M18" s="312">
        <f t="shared" ca="1" si="1"/>
        <v>-1</v>
      </c>
      <c r="N18" s="341">
        <v>46188</v>
      </c>
      <c r="O18" s="312"/>
      <c r="P18" s="312"/>
      <c r="Q18" s="314"/>
      <c r="R18" s="341"/>
    </row>
    <row r="19" spans="2:18" s="315" customFormat="1" ht="26.5" customHeight="1">
      <c r="B19" s="307">
        <v>7</v>
      </c>
      <c r="C19" s="465" t="s">
        <v>448</v>
      </c>
      <c r="D19" s="466"/>
      <c r="E19" s="466"/>
      <c r="F19" s="467"/>
      <c r="G19" s="308" t="s">
        <v>439</v>
      </c>
      <c r="H19" s="309" t="s">
        <v>410</v>
      </c>
      <c r="I19" s="308" t="s">
        <v>410</v>
      </c>
      <c r="J19" s="310" t="s">
        <v>449</v>
      </c>
      <c r="K19" s="311">
        <f t="shared" ca="1" si="0"/>
        <v>1</v>
      </c>
      <c r="L19" s="312"/>
      <c r="M19" s="312">
        <f t="shared" ca="1" si="1"/>
        <v>-1</v>
      </c>
      <c r="N19" s="341">
        <v>46188</v>
      </c>
      <c r="O19" s="312"/>
      <c r="P19" s="312"/>
      <c r="Q19" s="317"/>
      <c r="R19" s="341"/>
    </row>
    <row r="20" spans="2:18" s="315" customFormat="1" ht="14.5">
      <c r="B20" s="307">
        <v>8</v>
      </c>
      <c r="C20" s="465" t="s">
        <v>450</v>
      </c>
      <c r="D20" s="466"/>
      <c r="E20" s="466"/>
      <c r="F20" s="467"/>
      <c r="G20" s="308" t="s">
        <v>439</v>
      </c>
      <c r="H20" s="309" t="s">
        <v>410</v>
      </c>
      <c r="I20" s="308" t="s">
        <v>410</v>
      </c>
      <c r="J20" s="310" t="s">
        <v>451</v>
      </c>
      <c r="K20" s="311">
        <f t="shared" ca="1" si="0"/>
        <v>1</v>
      </c>
      <c r="L20" s="312"/>
      <c r="M20" s="312">
        <f t="shared" ca="1" si="1"/>
        <v>-1</v>
      </c>
      <c r="N20" s="341">
        <v>46188</v>
      </c>
      <c r="O20" s="312"/>
      <c r="P20" s="312"/>
      <c r="Q20" s="314"/>
      <c r="R20" s="341"/>
    </row>
    <row r="21" spans="2:18" s="315" customFormat="1" ht="14.5">
      <c r="B21" s="307">
        <v>9</v>
      </c>
      <c r="C21" s="465" t="s">
        <v>452</v>
      </c>
      <c r="D21" s="466"/>
      <c r="E21" s="466"/>
      <c r="F21" s="467"/>
      <c r="G21" s="308" t="s">
        <v>439</v>
      </c>
      <c r="H21" s="309" t="s">
        <v>410</v>
      </c>
      <c r="I21" s="308" t="s">
        <v>410</v>
      </c>
      <c r="J21" s="310" t="s">
        <v>453</v>
      </c>
      <c r="K21" s="311">
        <f t="shared" ca="1" si="0"/>
        <v>1</v>
      </c>
      <c r="L21" s="312"/>
      <c r="M21" s="312">
        <f t="shared" ca="1" si="1"/>
        <v>-1</v>
      </c>
      <c r="N21" s="341">
        <v>46188</v>
      </c>
      <c r="O21" s="312"/>
      <c r="P21" s="312"/>
      <c r="Q21" s="314"/>
      <c r="R21" s="341"/>
    </row>
    <row r="22" spans="2:18" s="315" customFormat="1" ht="14.5">
      <c r="B22" s="307">
        <v>10</v>
      </c>
      <c r="C22" s="465" t="s">
        <v>454</v>
      </c>
      <c r="D22" s="466"/>
      <c r="E22" s="466"/>
      <c r="F22" s="467"/>
      <c r="G22" s="308" t="s">
        <v>439</v>
      </c>
      <c r="H22" s="309" t="s">
        <v>410</v>
      </c>
      <c r="I22" s="308" t="s">
        <v>410</v>
      </c>
      <c r="J22" s="310" t="s">
        <v>455</v>
      </c>
      <c r="K22" s="311">
        <f t="shared" ca="1" si="0"/>
        <v>1</v>
      </c>
      <c r="L22" s="312"/>
      <c r="M22" s="312">
        <f t="shared" ca="1" si="1"/>
        <v>-1</v>
      </c>
      <c r="N22" s="341">
        <v>46188</v>
      </c>
      <c r="O22" s="312"/>
      <c r="P22" s="312"/>
      <c r="Q22" s="314"/>
      <c r="R22" s="341"/>
    </row>
    <row r="23" spans="2:18" s="315" customFormat="1" ht="14.5">
      <c r="B23" s="307">
        <v>11</v>
      </c>
      <c r="C23" s="465" t="s">
        <v>456</v>
      </c>
      <c r="D23" s="466"/>
      <c r="E23" s="466"/>
      <c r="F23" s="467"/>
      <c r="G23" s="308" t="s">
        <v>439</v>
      </c>
      <c r="H23" s="309" t="s">
        <v>410</v>
      </c>
      <c r="I23" s="308" t="s">
        <v>410</v>
      </c>
      <c r="J23" s="310" t="s">
        <v>453</v>
      </c>
      <c r="K23" s="311">
        <f t="shared" ca="1" si="0"/>
        <v>1</v>
      </c>
      <c r="L23" s="312"/>
      <c r="M23" s="312">
        <f t="shared" ca="1" si="1"/>
        <v>-1</v>
      </c>
      <c r="N23" s="341">
        <v>46188</v>
      </c>
      <c r="O23" s="312"/>
      <c r="P23" s="312"/>
      <c r="Q23" s="314"/>
      <c r="R23" s="341"/>
    </row>
    <row r="24" spans="2:18" s="315" customFormat="1" ht="14.5">
      <c r="B24" s="307">
        <v>12</v>
      </c>
      <c r="C24" s="465" t="s">
        <v>457</v>
      </c>
      <c r="D24" s="466"/>
      <c r="E24" s="466"/>
      <c r="F24" s="467"/>
      <c r="G24" s="308" t="s">
        <v>439</v>
      </c>
      <c r="H24" s="309" t="s">
        <v>410</v>
      </c>
      <c r="I24" s="308" t="s">
        <v>410</v>
      </c>
      <c r="J24" s="310" t="s">
        <v>440</v>
      </c>
      <c r="K24" s="311">
        <f t="shared" ca="1" si="0"/>
        <v>1</v>
      </c>
      <c r="L24" s="312"/>
      <c r="M24" s="312">
        <f t="shared" ca="1" si="1"/>
        <v>-1</v>
      </c>
      <c r="N24" s="341">
        <v>46188</v>
      </c>
      <c r="O24" s="312"/>
      <c r="P24" s="312"/>
      <c r="Q24" s="314"/>
      <c r="R24" s="341"/>
    </row>
    <row r="25" spans="2:18" s="315" customFormat="1" ht="14.5">
      <c r="B25" s="307">
        <v>13</v>
      </c>
      <c r="C25" s="465" t="s">
        <v>458</v>
      </c>
      <c r="D25" s="466"/>
      <c r="E25" s="466"/>
      <c r="F25" s="467"/>
      <c r="G25" s="308" t="s">
        <v>439</v>
      </c>
      <c r="H25" s="309" t="s">
        <v>410</v>
      </c>
      <c r="I25" s="308" t="s">
        <v>410</v>
      </c>
      <c r="J25" s="310" t="s">
        <v>453</v>
      </c>
      <c r="K25" s="311">
        <f t="shared" ca="1" si="0"/>
        <v>1</v>
      </c>
      <c r="L25" s="312"/>
      <c r="M25" s="312">
        <f t="shared" ca="1" si="1"/>
        <v>-1</v>
      </c>
      <c r="N25" s="341">
        <v>46188</v>
      </c>
      <c r="O25" s="312"/>
      <c r="P25" s="312"/>
      <c r="Q25" s="314"/>
      <c r="R25" s="341"/>
    </row>
    <row r="26" spans="2:18" s="315" customFormat="1" ht="42.5" customHeight="1">
      <c r="B26" s="307">
        <v>14</v>
      </c>
      <c r="C26" s="465" t="s">
        <v>459</v>
      </c>
      <c r="D26" s="466"/>
      <c r="E26" s="466"/>
      <c r="F26" s="467"/>
      <c r="G26" s="308" t="s">
        <v>439</v>
      </c>
      <c r="H26" s="309" t="s">
        <v>410</v>
      </c>
      <c r="I26" s="308" t="s">
        <v>410</v>
      </c>
      <c r="J26" s="310" t="s">
        <v>453</v>
      </c>
      <c r="K26" s="311">
        <f t="shared" ca="1" si="0"/>
        <v>1</v>
      </c>
      <c r="L26" s="312"/>
      <c r="M26" s="312">
        <f t="shared" ca="1" si="1"/>
        <v>-1</v>
      </c>
      <c r="N26" s="341">
        <v>46188</v>
      </c>
      <c r="O26" s="312"/>
      <c r="P26" s="312"/>
      <c r="Q26" s="314"/>
      <c r="R26" s="341"/>
    </row>
    <row r="27" spans="2:18" s="315" customFormat="1" ht="14.5">
      <c r="B27" s="307">
        <v>15</v>
      </c>
      <c r="C27" s="465" t="s">
        <v>460</v>
      </c>
      <c r="D27" s="466"/>
      <c r="E27" s="466"/>
      <c r="F27" s="467"/>
      <c r="G27" s="308" t="s">
        <v>410</v>
      </c>
      <c r="H27" s="309" t="s">
        <v>410</v>
      </c>
      <c r="I27" s="308" t="s">
        <v>439</v>
      </c>
      <c r="J27" s="310" t="s">
        <v>453</v>
      </c>
      <c r="K27" s="311">
        <f t="shared" ca="1" si="0"/>
        <v>1</v>
      </c>
      <c r="L27" s="312"/>
      <c r="M27" s="312">
        <f t="shared" ca="1" si="1"/>
        <v>-1</v>
      </c>
      <c r="N27" s="341">
        <v>46188</v>
      </c>
      <c r="O27" s="312"/>
      <c r="P27" s="312"/>
      <c r="Q27" s="314"/>
      <c r="R27" s="341"/>
    </row>
    <row r="28" spans="2:18" s="315" customFormat="1" ht="14.5">
      <c r="B28" s="307">
        <v>16</v>
      </c>
      <c r="C28" s="465" t="s">
        <v>461</v>
      </c>
      <c r="D28" s="466"/>
      <c r="E28" s="466"/>
      <c r="F28" s="467"/>
      <c r="G28" s="308" t="s">
        <v>439</v>
      </c>
      <c r="H28" s="309" t="s">
        <v>410</v>
      </c>
      <c r="I28" s="308" t="s">
        <v>410</v>
      </c>
      <c r="J28" s="310" t="s">
        <v>462</v>
      </c>
      <c r="K28" s="311">
        <f t="shared" ca="1" si="0"/>
        <v>1</v>
      </c>
      <c r="L28" s="312"/>
      <c r="M28" s="312">
        <f t="shared" ca="1" si="1"/>
        <v>-1</v>
      </c>
      <c r="N28" s="341">
        <v>46188</v>
      </c>
      <c r="O28" s="312"/>
      <c r="P28" s="312"/>
      <c r="Q28" s="318"/>
      <c r="R28" s="341"/>
    </row>
    <row r="29" spans="2:18" s="315" customFormat="1" ht="14.5">
      <c r="B29" s="319">
        <v>17</v>
      </c>
      <c r="C29" s="465" t="s">
        <v>463</v>
      </c>
      <c r="D29" s="466"/>
      <c r="E29" s="466"/>
      <c r="F29" s="467"/>
      <c r="G29" s="308" t="s">
        <v>439</v>
      </c>
      <c r="H29" s="309" t="s">
        <v>410</v>
      </c>
      <c r="I29" s="308" t="s">
        <v>410</v>
      </c>
      <c r="J29" s="310" t="s">
        <v>453</v>
      </c>
      <c r="K29" s="311">
        <f t="shared" ca="1" si="0"/>
        <v>1</v>
      </c>
      <c r="L29" s="312"/>
      <c r="M29" s="312">
        <f t="shared" ca="1" si="1"/>
        <v>-1</v>
      </c>
      <c r="N29" s="341">
        <v>46188</v>
      </c>
      <c r="O29" s="312"/>
      <c r="P29" s="312"/>
      <c r="Q29" s="317"/>
      <c r="R29" s="341"/>
    </row>
    <row r="30" spans="2:18" s="315" customFormat="1" ht="14.5">
      <c r="B30" s="319">
        <v>18</v>
      </c>
      <c r="C30" s="465" t="s">
        <v>464</v>
      </c>
      <c r="D30" s="466"/>
      <c r="E30" s="466"/>
      <c r="F30" s="467"/>
      <c r="G30" s="308" t="s">
        <v>439</v>
      </c>
      <c r="H30" s="309" t="s">
        <v>410</v>
      </c>
      <c r="I30" s="308" t="s">
        <v>410</v>
      </c>
      <c r="J30" s="310" t="s">
        <v>440</v>
      </c>
      <c r="K30" s="311">
        <f t="shared" ca="1" si="0"/>
        <v>1</v>
      </c>
      <c r="L30" s="312"/>
      <c r="M30" s="312">
        <f t="shared" ca="1" si="1"/>
        <v>-1</v>
      </c>
      <c r="N30" s="341">
        <v>46188</v>
      </c>
      <c r="O30" s="312"/>
      <c r="P30" s="312"/>
      <c r="Q30" s="314"/>
      <c r="R30" s="341"/>
    </row>
    <row r="31" spans="2:18" s="315" customFormat="1" ht="14.5">
      <c r="B31" s="307">
        <v>19</v>
      </c>
      <c r="C31" s="465" t="s">
        <v>465</v>
      </c>
      <c r="D31" s="466"/>
      <c r="E31" s="466"/>
      <c r="F31" s="467"/>
      <c r="G31" s="308" t="s">
        <v>439</v>
      </c>
      <c r="H31" s="309" t="s">
        <v>410</v>
      </c>
      <c r="I31" s="308" t="s">
        <v>410</v>
      </c>
      <c r="J31" s="310" t="s">
        <v>451</v>
      </c>
      <c r="K31" s="311">
        <f t="shared" ca="1" si="0"/>
        <v>1</v>
      </c>
      <c r="L31" s="312"/>
      <c r="M31" s="312">
        <f t="shared" ca="1" si="1"/>
        <v>-1</v>
      </c>
      <c r="N31" s="341">
        <v>46188</v>
      </c>
      <c r="O31" s="312"/>
      <c r="P31" s="312"/>
      <c r="Q31" s="314"/>
      <c r="R31" s="341"/>
    </row>
    <row r="32" spans="2:18" s="315" customFormat="1" ht="14.5">
      <c r="B32" s="307">
        <v>20</v>
      </c>
      <c r="C32" s="465" t="s">
        <v>466</v>
      </c>
      <c r="D32" s="466"/>
      <c r="E32" s="466"/>
      <c r="F32" s="467"/>
      <c r="G32" s="308" t="s">
        <v>439</v>
      </c>
      <c r="H32" s="309" t="s">
        <v>410</v>
      </c>
      <c r="I32" s="308" t="s">
        <v>410</v>
      </c>
      <c r="J32" s="310" t="s">
        <v>453</v>
      </c>
      <c r="K32" s="311">
        <f t="shared" ca="1" si="0"/>
        <v>1</v>
      </c>
      <c r="L32" s="312"/>
      <c r="M32" s="312">
        <f t="shared" ca="1" si="1"/>
        <v>-1</v>
      </c>
      <c r="N32" s="341">
        <v>46188</v>
      </c>
      <c r="O32" s="312"/>
      <c r="P32" s="312"/>
      <c r="Q32" s="314"/>
      <c r="R32" s="341"/>
    </row>
    <row r="33" spans="2:18" s="315" customFormat="1" ht="14.5">
      <c r="B33" s="307">
        <v>21</v>
      </c>
      <c r="C33" s="465" t="s">
        <v>467</v>
      </c>
      <c r="D33" s="466"/>
      <c r="E33" s="466"/>
      <c r="F33" s="467"/>
      <c r="G33" s="308" t="s">
        <v>439</v>
      </c>
      <c r="H33" s="309" t="s">
        <v>410</v>
      </c>
      <c r="I33" s="308" t="s">
        <v>410</v>
      </c>
      <c r="J33" s="310" t="s">
        <v>453</v>
      </c>
      <c r="K33" s="311">
        <f t="shared" ca="1" si="0"/>
        <v>1</v>
      </c>
      <c r="L33" s="312"/>
      <c r="M33" s="312">
        <f t="shared" ca="1" si="1"/>
        <v>-1</v>
      </c>
      <c r="N33" s="341">
        <v>46188</v>
      </c>
      <c r="O33" s="312"/>
      <c r="P33" s="312"/>
      <c r="Q33" s="314"/>
      <c r="R33" s="341"/>
    </row>
    <row r="34" spans="2:18" s="315" customFormat="1" ht="14.5">
      <c r="B34" s="307">
        <v>22</v>
      </c>
      <c r="C34" s="465" t="s">
        <v>468</v>
      </c>
      <c r="D34" s="466"/>
      <c r="E34" s="466"/>
      <c r="F34" s="467"/>
      <c r="G34" s="308" t="s">
        <v>439</v>
      </c>
      <c r="H34" s="309" t="s">
        <v>410</v>
      </c>
      <c r="I34" s="308" t="s">
        <v>410</v>
      </c>
      <c r="J34" s="310" t="s">
        <v>449</v>
      </c>
      <c r="K34" s="311">
        <f t="shared" ref="K34:K47" ca="1" si="2">IF(N34="", "", IF($K$11&gt;=N34, 1, 0))</f>
        <v>1</v>
      </c>
      <c r="L34" s="312"/>
      <c r="M34" s="312">
        <f t="shared" ca="1" si="1"/>
        <v>-1</v>
      </c>
      <c r="N34" s="341">
        <v>46188</v>
      </c>
      <c r="O34" s="312"/>
      <c r="P34" s="312"/>
      <c r="Q34" s="314"/>
      <c r="R34" s="341"/>
    </row>
    <row r="35" spans="2:18" s="315" customFormat="1" ht="14.5">
      <c r="B35" s="307">
        <v>23</v>
      </c>
      <c r="C35" s="465" t="s">
        <v>469</v>
      </c>
      <c r="D35" s="466"/>
      <c r="E35" s="466"/>
      <c r="F35" s="467"/>
      <c r="G35" s="308" t="s">
        <v>410</v>
      </c>
      <c r="H35" s="309" t="s">
        <v>410</v>
      </c>
      <c r="I35" s="308" t="s">
        <v>439</v>
      </c>
      <c r="J35" s="310" t="s">
        <v>470</v>
      </c>
      <c r="K35" s="311">
        <f t="shared" ca="1" si="2"/>
        <v>1</v>
      </c>
      <c r="L35" s="312"/>
      <c r="M35" s="312">
        <f t="shared" ca="1" si="1"/>
        <v>-1</v>
      </c>
      <c r="N35" s="341">
        <v>46188</v>
      </c>
      <c r="O35" s="312"/>
      <c r="P35" s="312"/>
      <c r="Q35" s="314"/>
      <c r="R35" s="341"/>
    </row>
    <row r="36" spans="2:18" s="315" customFormat="1" ht="14.5">
      <c r="B36" s="307">
        <v>24</v>
      </c>
      <c r="C36" s="465" t="s">
        <v>471</v>
      </c>
      <c r="D36" s="466"/>
      <c r="E36" s="466"/>
      <c r="F36" s="467"/>
      <c r="G36" s="308" t="s">
        <v>410</v>
      </c>
      <c r="H36" s="309" t="s">
        <v>410</v>
      </c>
      <c r="I36" s="308" t="s">
        <v>439</v>
      </c>
      <c r="J36" s="310" t="s">
        <v>443</v>
      </c>
      <c r="K36" s="311">
        <f t="shared" ca="1" si="2"/>
        <v>1</v>
      </c>
      <c r="L36" s="312"/>
      <c r="M36" s="312">
        <f t="shared" ca="1" si="1"/>
        <v>-1</v>
      </c>
      <c r="N36" s="341">
        <v>46188</v>
      </c>
      <c r="O36" s="312"/>
      <c r="P36" s="312"/>
      <c r="Q36" s="314"/>
      <c r="R36" s="341"/>
    </row>
    <row r="37" spans="2:18" s="315" customFormat="1" ht="14.5">
      <c r="B37" s="307">
        <v>25</v>
      </c>
      <c r="C37" s="465" t="s">
        <v>472</v>
      </c>
      <c r="D37" s="466"/>
      <c r="E37" s="466"/>
      <c r="F37" s="467"/>
      <c r="G37" s="308" t="s">
        <v>439</v>
      </c>
      <c r="H37" s="309" t="s">
        <v>410</v>
      </c>
      <c r="I37" s="308" t="s">
        <v>410</v>
      </c>
      <c r="J37" s="310" t="s">
        <v>443</v>
      </c>
      <c r="K37" s="311">
        <f t="shared" ca="1" si="2"/>
        <v>1</v>
      </c>
      <c r="L37" s="312"/>
      <c r="M37" s="312">
        <f t="shared" ca="1" si="1"/>
        <v>-1</v>
      </c>
      <c r="N37" s="341">
        <v>46188</v>
      </c>
      <c r="O37" s="312"/>
      <c r="P37" s="312"/>
      <c r="Q37" s="314"/>
      <c r="R37" s="341"/>
    </row>
    <row r="38" spans="2:18" s="315" customFormat="1" ht="14.5">
      <c r="B38" s="307">
        <v>26</v>
      </c>
      <c r="C38" s="465" t="s">
        <v>473</v>
      </c>
      <c r="D38" s="466"/>
      <c r="E38" s="466"/>
      <c r="F38" s="467"/>
      <c r="G38" s="308" t="s">
        <v>439</v>
      </c>
      <c r="H38" s="309" t="s">
        <v>410</v>
      </c>
      <c r="I38" s="308" t="s">
        <v>410</v>
      </c>
      <c r="J38" s="310" t="s">
        <v>443</v>
      </c>
      <c r="K38" s="311">
        <f t="shared" ca="1" si="2"/>
        <v>1</v>
      </c>
      <c r="L38" s="312"/>
      <c r="M38" s="312">
        <f t="shared" ca="1" si="1"/>
        <v>-1</v>
      </c>
      <c r="N38" s="341">
        <v>46188</v>
      </c>
      <c r="O38" s="312"/>
      <c r="P38" s="312"/>
      <c r="Q38" s="314"/>
      <c r="R38" s="341"/>
    </row>
    <row r="39" spans="2:18" s="315" customFormat="1" ht="14.5">
      <c r="B39" s="307">
        <v>27</v>
      </c>
      <c r="C39" s="465" t="s">
        <v>474</v>
      </c>
      <c r="D39" s="466"/>
      <c r="E39" s="466"/>
      <c r="F39" s="467"/>
      <c r="G39" s="308" t="s">
        <v>439</v>
      </c>
      <c r="H39" s="309" t="s">
        <v>410</v>
      </c>
      <c r="I39" s="308" t="s">
        <v>410</v>
      </c>
      <c r="J39" s="310" t="s">
        <v>453</v>
      </c>
      <c r="K39" s="311">
        <f t="shared" ca="1" si="2"/>
        <v>1</v>
      </c>
      <c r="L39" s="312"/>
      <c r="M39" s="312">
        <f t="shared" ca="1" si="1"/>
        <v>-1</v>
      </c>
      <c r="N39" s="341">
        <v>46188</v>
      </c>
      <c r="O39" s="312"/>
      <c r="P39" s="312"/>
      <c r="Q39" s="314"/>
      <c r="R39" s="341"/>
    </row>
    <row r="40" spans="2:18" s="315" customFormat="1" ht="14.5">
      <c r="B40" s="307">
        <v>28</v>
      </c>
      <c r="C40" s="465" t="s">
        <v>475</v>
      </c>
      <c r="D40" s="466"/>
      <c r="E40" s="466"/>
      <c r="F40" s="467"/>
      <c r="G40" s="308" t="s">
        <v>439</v>
      </c>
      <c r="H40" s="309" t="s">
        <v>410</v>
      </c>
      <c r="I40" s="308" t="s">
        <v>410</v>
      </c>
      <c r="J40" s="310" t="s">
        <v>453</v>
      </c>
      <c r="K40" s="311">
        <f t="shared" ca="1" si="2"/>
        <v>1</v>
      </c>
      <c r="L40" s="312"/>
      <c r="M40" s="312">
        <f t="shared" ca="1" si="1"/>
        <v>-1</v>
      </c>
      <c r="N40" s="341">
        <v>46188</v>
      </c>
      <c r="O40" s="312"/>
      <c r="P40" s="312"/>
      <c r="Q40" s="314"/>
      <c r="R40" s="341"/>
    </row>
    <row r="41" spans="2:18" s="321" customFormat="1" ht="24" customHeight="1">
      <c r="B41" s="307">
        <v>29</v>
      </c>
      <c r="C41" s="465" t="s">
        <v>476</v>
      </c>
      <c r="D41" s="466"/>
      <c r="E41" s="466"/>
      <c r="F41" s="467"/>
      <c r="G41" s="308" t="s">
        <v>439</v>
      </c>
      <c r="H41" s="309" t="s">
        <v>410</v>
      </c>
      <c r="I41" s="308" t="s">
        <v>410</v>
      </c>
      <c r="J41" s="310" t="s">
        <v>477</v>
      </c>
      <c r="K41" s="311">
        <f t="shared" ca="1" si="2"/>
        <v>1</v>
      </c>
      <c r="L41" s="312"/>
      <c r="M41" s="312">
        <f t="shared" ca="1" si="1"/>
        <v>-1</v>
      </c>
      <c r="N41" s="341">
        <v>46188</v>
      </c>
      <c r="O41" s="312"/>
      <c r="P41" s="312"/>
      <c r="Q41" s="320"/>
      <c r="R41" s="341"/>
    </row>
    <row r="42" spans="2:18" s="315" customFormat="1" ht="14.5">
      <c r="B42" s="307">
        <v>30</v>
      </c>
      <c r="C42" s="465" t="s">
        <v>478</v>
      </c>
      <c r="D42" s="466"/>
      <c r="E42" s="466"/>
      <c r="F42" s="467"/>
      <c r="G42" s="308" t="s">
        <v>439</v>
      </c>
      <c r="H42" s="309" t="s">
        <v>410</v>
      </c>
      <c r="I42" s="308" t="s">
        <v>410</v>
      </c>
      <c r="J42" s="310" t="s">
        <v>453</v>
      </c>
      <c r="K42" s="311">
        <f t="shared" ca="1" si="2"/>
        <v>1</v>
      </c>
      <c r="L42" s="312"/>
      <c r="M42" s="312">
        <f t="shared" ca="1" si="1"/>
        <v>-1</v>
      </c>
      <c r="N42" s="341">
        <v>46188</v>
      </c>
      <c r="O42" s="312"/>
      <c r="P42" s="312"/>
      <c r="Q42" s="314"/>
      <c r="R42" s="341"/>
    </row>
    <row r="43" spans="2:18" s="321" customFormat="1" ht="22.5" customHeight="1">
      <c r="B43" s="307">
        <v>31</v>
      </c>
      <c r="C43" s="465" t="s">
        <v>479</v>
      </c>
      <c r="D43" s="466"/>
      <c r="E43" s="466"/>
      <c r="F43" s="467"/>
      <c r="G43" s="308" t="s">
        <v>439</v>
      </c>
      <c r="H43" s="322" t="s">
        <v>410</v>
      </c>
      <c r="I43" s="308" t="s">
        <v>410</v>
      </c>
      <c r="J43" s="310" t="s">
        <v>453</v>
      </c>
      <c r="K43" s="311">
        <f t="shared" ca="1" si="2"/>
        <v>1</v>
      </c>
      <c r="L43" s="312"/>
      <c r="M43" s="312">
        <f t="shared" ca="1" si="1"/>
        <v>-1</v>
      </c>
      <c r="N43" s="341">
        <v>46188</v>
      </c>
      <c r="O43" s="312"/>
      <c r="P43" s="312"/>
      <c r="Q43" s="317"/>
      <c r="R43" s="341"/>
    </row>
    <row r="44" spans="2:18" s="321" customFormat="1" ht="14.5">
      <c r="B44" s="319">
        <v>32</v>
      </c>
      <c r="C44" s="465" t="s">
        <v>480</v>
      </c>
      <c r="D44" s="466"/>
      <c r="E44" s="466"/>
      <c r="F44" s="467"/>
      <c r="G44" s="308" t="s">
        <v>439</v>
      </c>
      <c r="H44" s="309" t="s">
        <v>410</v>
      </c>
      <c r="I44" s="308" t="s">
        <v>410</v>
      </c>
      <c r="J44" s="316" t="s">
        <v>451</v>
      </c>
      <c r="K44" s="311">
        <f t="shared" ca="1" si="2"/>
        <v>1</v>
      </c>
      <c r="L44" s="312"/>
      <c r="M44" s="312">
        <f t="shared" ca="1" si="1"/>
        <v>-1</v>
      </c>
      <c r="N44" s="341">
        <v>46188</v>
      </c>
      <c r="O44" s="312"/>
      <c r="P44" s="312"/>
      <c r="Q44" s="314"/>
      <c r="R44" s="341"/>
    </row>
    <row r="45" spans="2:18" s="321" customFormat="1" ht="31" customHeight="1">
      <c r="B45" s="307">
        <v>33</v>
      </c>
      <c r="C45" s="465" t="s">
        <v>481</v>
      </c>
      <c r="D45" s="466"/>
      <c r="E45" s="466"/>
      <c r="F45" s="467"/>
      <c r="G45" s="308" t="s">
        <v>439</v>
      </c>
      <c r="H45" s="309" t="s">
        <v>410</v>
      </c>
      <c r="I45" s="308" t="s">
        <v>410</v>
      </c>
      <c r="J45" s="316" t="s">
        <v>440</v>
      </c>
      <c r="K45" s="311">
        <f t="shared" ca="1" si="2"/>
        <v>1</v>
      </c>
      <c r="L45" s="312"/>
      <c r="M45" s="312">
        <f t="shared" ca="1" si="1"/>
        <v>-1</v>
      </c>
      <c r="N45" s="341">
        <v>46188</v>
      </c>
      <c r="O45" s="312"/>
      <c r="P45" s="312"/>
      <c r="Q45" s="314"/>
      <c r="R45" s="341"/>
    </row>
    <row r="46" spans="2:18" s="315" customFormat="1" ht="14.5">
      <c r="B46" s="307">
        <v>34</v>
      </c>
      <c r="C46" s="465" t="s">
        <v>482</v>
      </c>
      <c r="D46" s="466"/>
      <c r="E46" s="466"/>
      <c r="F46" s="467"/>
      <c r="G46" s="308" t="s">
        <v>439</v>
      </c>
      <c r="H46" s="309" t="s">
        <v>410</v>
      </c>
      <c r="I46" s="308" t="s">
        <v>410</v>
      </c>
      <c r="J46" s="310" t="s">
        <v>455</v>
      </c>
      <c r="K46" s="311">
        <f t="shared" ca="1" si="2"/>
        <v>1</v>
      </c>
      <c r="L46" s="312"/>
      <c r="M46" s="312">
        <f t="shared" ca="1" si="1"/>
        <v>-1</v>
      </c>
      <c r="N46" s="341">
        <v>46188</v>
      </c>
      <c r="O46" s="312"/>
      <c r="P46" s="312"/>
      <c r="Q46" s="314"/>
      <c r="R46" s="341"/>
    </row>
    <row r="47" spans="2:18" s="315" customFormat="1" ht="14.5">
      <c r="B47" s="307">
        <v>35</v>
      </c>
      <c r="C47" s="465" t="s">
        <v>483</v>
      </c>
      <c r="D47" s="466"/>
      <c r="E47" s="466"/>
      <c r="F47" s="467"/>
      <c r="G47" s="308" t="s">
        <v>439</v>
      </c>
      <c r="H47" s="309" t="s">
        <v>410</v>
      </c>
      <c r="I47" s="308" t="s">
        <v>410</v>
      </c>
      <c r="J47" s="310" t="s">
        <v>453</v>
      </c>
      <c r="K47" s="311">
        <f t="shared" ca="1" si="2"/>
        <v>1</v>
      </c>
      <c r="L47" s="312"/>
      <c r="M47" s="312">
        <f t="shared" ca="1" si="1"/>
        <v>-1</v>
      </c>
      <c r="N47" s="341">
        <v>46188</v>
      </c>
      <c r="O47" s="312"/>
      <c r="P47" s="312"/>
      <c r="Q47" s="314"/>
      <c r="R47" s="341"/>
    </row>
    <row r="48" spans="2:18">
      <c r="B48" s="342" t="s">
        <v>410</v>
      </c>
      <c r="C48" s="323" t="s">
        <v>410</v>
      </c>
      <c r="D48" s="324" t="s">
        <v>410</v>
      </c>
      <c r="E48" s="324" t="s">
        <v>410</v>
      </c>
      <c r="F48" s="324" t="s">
        <v>410</v>
      </c>
      <c r="G48" s="325" t="s">
        <v>410</v>
      </c>
      <c r="H48" s="326" t="s">
        <v>410</v>
      </c>
      <c r="I48" s="325" t="s">
        <v>410</v>
      </c>
      <c r="J48" s="327" t="s">
        <v>484</v>
      </c>
      <c r="K48" s="328">
        <f ca="1">AVERAGE(K13:K47)</f>
        <v>1</v>
      </c>
      <c r="L48" s="328">
        <f>AVERAGE(L13:L47)</f>
        <v>0.5</v>
      </c>
      <c r="M48" s="328">
        <f ca="1">AVERAGE(M13:M47)</f>
        <v>-0.94285714285714284</v>
      </c>
      <c r="N48" s="329"/>
      <c r="O48" s="329"/>
      <c r="P48" s="329"/>
      <c r="Q48" s="330"/>
      <c r="R48" s="331"/>
    </row>
    <row r="50" spans="11:16">
      <c r="K50" s="332"/>
      <c r="L50" s="332"/>
      <c r="M50" s="332"/>
      <c r="N50" s="332"/>
      <c r="O50" s="332"/>
      <c r="P50" s="332"/>
    </row>
    <row r="52" spans="11:16">
      <c r="K52" s="332"/>
      <c r="L52" s="332"/>
      <c r="M52" s="332"/>
      <c r="N52" s="332"/>
      <c r="O52" s="332"/>
      <c r="P52" s="332"/>
    </row>
  </sheetData>
  <mergeCells count="52">
    <mergeCell ref="C47:F47"/>
    <mergeCell ref="C41:F41"/>
    <mergeCell ref="C46:F46"/>
    <mergeCell ref="C45:F45"/>
    <mergeCell ref="G4:J4"/>
    <mergeCell ref="C38:F38"/>
    <mergeCell ref="C32:F32"/>
    <mergeCell ref="C19:F19"/>
    <mergeCell ref="C37:F37"/>
    <mergeCell ref="C28:F28"/>
    <mergeCell ref="C13:F13"/>
    <mergeCell ref="C18:F18"/>
    <mergeCell ref="B12:F12"/>
    <mergeCell ref="G9:J9"/>
    <mergeCell ref="B8:C10"/>
    <mergeCell ref="B11:F11"/>
    <mergeCell ref="G2:J2"/>
    <mergeCell ref="B3:E3"/>
    <mergeCell ref="C15:F15"/>
    <mergeCell ref="C33:F33"/>
    <mergeCell ref="G11:J11"/>
    <mergeCell ref="C24:F24"/>
    <mergeCell ref="B2:E2"/>
    <mergeCell ref="G6:J6"/>
    <mergeCell ref="B7:J7"/>
    <mergeCell ref="G3:J3"/>
    <mergeCell ref="G5:J5"/>
    <mergeCell ref="B4:C6"/>
    <mergeCell ref="G10:J10"/>
    <mergeCell ref="C23:F23"/>
    <mergeCell ref="G8:J8"/>
    <mergeCell ref="C20:F20"/>
    <mergeCell ref="N11:N12"/>
    <mergeCell ref="C22:F22"/>
    <mergeCell ref="C14:F14"/>
    <mergeCell ref="C16:F16"/>
    <mergeCell ref="C17:F17"/>
    <mergeCell ref="C40:F40"/>
    <mergeCell ref="C44:F44"/>
    <mergeCell ref="C31:F31"/>
    <mergeCell ref="C43:F43"/>
    <mergeCell ref="C21:F21"/>
    <mergeCell ref="C27:F27"/>
    <mergeCell ref="C36:F36"/>
    <mergeCell ref="C42:F42"/>
    <mergeCell ref="C25:F25"/>
    <mergeCell ref="C34:F34"/>
    <mergeCell ref="C30:F30"/>
    <mergeCell ref="C39:F39"/>
    <mergeCell ref="C35:F35"/>
    <mergeCell ref="C26:F26"/>
    <mergeCell ref="C29:F29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24"/>
  <sheetViews>
    <sheetView showGridLines="0" topLeftCell="F1" zoomScaleNormal="100" workbookViewId="0">
      <pane ySplit="1" topLeftCell="A91" activePane="bottomLeft" state="frozen"/>
      <selection activeCell="B1" sqref="B1"/>
      <selection pane="bottomLeft" sqref="A1:N94"/>
    </sheetView>
  </sheetViews>
  <sheetFormatPr baseColWidth="10" defaultColWidth="8.7265625" defaultRowHeight="14.5"/>
  <cols>
    <col min="1" max="1" width="7.7265625" bestFit="1" customWidth="1"/>
    <col min="2" max="2" width="24.81640625" bestFit="1" customWidth="1"/>
    <col min="3" max="3" width="55.453125" bestFit="1" customWidth="1"/>
    <col min="4" max="4" width="26.36328125" style="7" customWidth="1"/>
    <col min="5" max="5" width="8.7265625" style="7" bestFit="1" customWidth="1"/>
    <col min="6" max="6" width="20.54296875" style="7" customWidth="1"/>
    <col min="7" max="7" width="15.1796875" style="7" customWidth="1"/>
    <col min="8" max="8" width="8.7265625" style="7" customWidth="1"/>
    <col min="9" max="11" width="13.26953125" style="7" customWidth="1"/>
    <col min="12" max="12" width="9.26953125" style="7" customWidth="1"/>
    <col min="13" max="13" width="10.36328125" style="7" customWidth="1"/>
    <col min="14" max="14" width="54" bestFit="1" customWidth="1"/>
  </cols>
  <sheetData>
    <row r="1" spans="1:14" s="340" customFormat="1" ht="43.5" customHeight="1">
      <c r="A1" s="73" t="s">
        <v>485</v>
      </c>
      <c r="B1" s="73" t="s">
        <v>486</v>
      </c>
      <c r="C1" s="73" t="s">
        <v>487</v>
      </c>
      <c r="D1" s="73" t="s">
        <v>488</v>
      </c>
      <c r="E1" s="73" t="s">
        <v>377</v>
      </c>
      <c r="F1" s="73" t="s">
        <v>489</v>
      </c>
      <c r="G1" s="73" t="s">
        <v>490</v>
      </c>
      <c r="H1" s="73" t="s">
        <v>491</v>
      </c>
      <c r="I1" s="73" t="s">
        <v>492</v>
      </c>
      <c r="J1" s="73" t="s">
        <v>493</v>
      </c>
      <c r="K1" s="73" t="s">
        <v>494</v>
      </c>
      <c r="L1" s="73" t="s">
        <v>495</v>
      </c>
      <c r="M1" s="73" t="s">
        <v>496</v>
      </c>
      <c r="N1" s="73" t="s">
        <v>497</v>
      </c>
    </row>
    <row r="2" spans="1:14">
      <c r="A2" s="9" t="s">
        <v>498</v>
      </c>
      <c r="B2" s="9" t="s">
        <v>499</v>
      </c>
      <c r="C2" s="9" t="s">
        <v>500</v>
      </c>
      <c r="D2" s="11" t="s">
        <v>400</v>
      </c>
      <c r="E2" s="11" t="str">
        <f t="shared" ref="E2:E13" ca="1" si="0">IF(J2="", "", IF(J2&lt;=TODAY()+7, "Alta", IF(J2&lt;=TODAY()+14, "Media", "Baja")))</f>
        <v>Alta</v>
      </c>
      <c r="F2" s="11" t="s">
        <v>379</v>
      </c>
      <c r="G2" s="159">
        <v>46188</v>
      </c>
      <c r="H2" s="10">
        <f t="shared" ref="H2:H17" si="1">IF(F2="Aprobado / Terminado", 1, IF(F2="En Revisión / MEL", 0.9, IF(F2="En Proceso", 0.5, 0)))</f>
        <v>0</v>
      </c>
      <c r="I2" s="159">
        <v>46183</v>
      </c>
      <c r="J2" s="159">
        <v>46193</v>
      </c>
      <c r="K2" s="357">
        <f t="shared" ref="K2:K17" si="2">IF(OR(I2="", J2=""), 0, NETWORKDAYS(I2, J2))</f>
        <v>8</v>
      </c>
      <c r="L2" s="10">
        <f t="shared" ref="L2:L13" ca="1" si="3">IF(OR(I2="", J2=""), 0, IF(TODAY()&gt;=J2, 1, IF(TODAY()&lt;=I2, 0, NETWORKDAYS(I2, TODAY()) / NETWORKDAYS(I2, J2))))</f>
        <v>1</v>
      </c>
      <c r="M2" s="10">
        <f t="shared" ref="M2:M13" ca="1" si="4">IF(OR(H2="", L2=""), "", H2 - L2)</f>
        <v>-1</v>
      </c>
      <c r="N2" s="9" t="s">
        <v>501</v>
      </c>
    </row>
    <row r="3" spans="1:14">
      <c r="A3" s="9" t="s">
        <v>502</v>
      </c>
      <c r="B3" s="9" t="s">
        <v>503</v>
      </c>
      <c r="C3" s="9" t="s">
        <v>504</v>
      </c>
      <c r="D3" s="11" t="s">
        <v>49</v>
      </c>
      <c r="E3" s="11" t="str">
        <f t="shared" ca="1" si="0"/>
        <v>Alta</v>
      </c>
      <c r="F3" s="11" t="s">
        <v>383</v>
      </c>
      <c r="G3" s="159">
        <v>46178</v>
      </c>
      <c r="H3" s="10">
        <f t="shared" si="1"/>
        <v>0.5</v>
      </c>
      <c r="I3" s="159">
        <v>46167</v>
      </c>
      <c r="J3" s="159">
        <v>46178</v>
      </c>
      <c r="K3" s="357">
        <f t="shared" si="2"/>
        <v>10</v>
      </c>
      <c r="L3" s="10">
        <f t="shared" ca="1" si="3"/>
        <v>1</v>
      </c>
      <c r="M3" s="10">
        <f t="shared" ca="1" si="4"/>
        <v>-0.5</v>
      </c>
      <c r="N3" s="9" t="s">
        <v>505</v>
      </c>
    </row>
    <row r="4" spans="1:14">
      <c r="A4" s="9"/>
      <c r="B4" s="9"/>
      <c r="C4" s="9" t="s">
        <v>506</v>
      </c>
      <c r="D4" s="11" t="s">
        <v>49</v>
      </c>
      <c r="E4" s="11" t="str">
        <f t="shared" ca="1" si="0"/>
        <v/>
      </c>
      <c r="F4" s="11" t="s">
        <v>383</v>
      </c>
      <c r="G4" s="11"/>
      <c r="H4" s="10">
        <f t="shared" si="1"/>
        <v>0.5</v>
      </c>
      <c r="I4" s="159"/>
      <c r="J4" s="11"/>
      <c r="K4" s="357">
        <f t="shared" si="2"/>
        <v>0</v>
      </c>
      <c r="L4" s="10">
        <f t="shared" ca="1" si="3"/>
        <v>0</v>
      </c>
      <c r="M4" s="10">
        <f t="shared" ca="1" si="4"/>
        <v>0.5</v>
      </c>
      <c r="N4" s="9"/>
    </row>
    <row r="5" spans="1:14">
      <c r="A5" s="9"/>
      <c r="B5" s="9"/>
      <c r="C5" s="9" t="s">
        <v>507</v>
      </c>
      <c r="D5" s="11" t="s">
        <v>49</v>
      </c>
      <c r="E5" s="11" t="str">
        <f t="shared" ca="1" si="0"/>
        <v/>
      </c>
      <c r="F5" s="11" t="s">
        <v>383</v>
      </c>
      <c r="G5" s="11"/>
      <c r="H5" s="10">
        <f t="shared" si="1"/>
        <v>0.5</v>
      </c>
      <c r="I5" s="159"/>
      <c r="J5" s="11"/>
      <c r="K5" s="357">
        <f t="shared" si="2"/>
        <v>0</v>
      </c>
      <c r="L5" s="10">
        <f t="shared" ca="1" si="3"/>
        <v>0</v>
      </c>
      <c r="M5" s="10">
        <f t="shared" ca="1" si="4"/>
        <v>0.5</v>
      </c>
      <c r="N5" s="9"/>
    </row>
    <row r="6" spans="1:14">
      <c r="A6" s="9"/>
      <c r="B6" s="9"/>
      <c r="C6" s="9" t="s">
        <v>508</v>
      </c>
      <c r="D6" s="11" t="s">
        <v>398</v>
      </c>
      <c r="E6" s="11" t="str">
        <f t="shared" ca="1" si="0"/>
        <v/>
      </c>
      <c r="F6" s="11" t="s">
        <v>383</v>
      </c>
      <c r="G6" s="11"/>
      <c r="H6" s="10">
        <f t="shared" si="1"/>
        <v>0.5</v>
      </c>
      <c r="I6" s="159"/>
      <c r="J6" s="11"/>
      <c r="K6" s="357">
        <f t="shared" si="2"/>
        <v>0</v>
      </c>
      <c r="L6" s="10">
        <f t="shared" ca="1" si="3"/>
        <v>0</v>
      </c>
      <c r="M6" s="10">
        <f t="shared" ca="1" si="4"/>
        <v>0.5</v>
      </c>
      <c r="N6" s="9"/>
    </row>
    <row r="7" spans="1:14">
      <c r="A7" s="9" t="s">
        <v>509</v>
      </c>
      <c r="B7" s="9" t="s">
        <v>503</v>
      </c>
      <c r="C7" s="9" t="s">
        <v>510</v>
      </c>
      <c r="D7" s="11" t="s">
        <v>398</v>
      </c>
      <c r="E7" s="11" t="str">
        <f t="shared" ca="1" si="0"/>
        <v/>
      </c>
      <c r="F7" s="11" t="s">
        <v>379</v>
      </c>
      <c r="G7" s="11" t="s">
        <v>511</v>
      </c>
      <c r="H7" s="10">
        <f t="shared" si="1"/>
        <v>0</v>
      </c>
      <c r="I7" s="159"/>
      <c r="J7" s="11"/>
      <c r="K7" s="357">
        <f t="shared" si="2"/>
        <v>0</v>
      </c>
      <c r="L7" s="10">
        <f t="shared" ca="1" si="3"/>
        <v>0</v>
      </c>
      <c r="M7" s="10">
        <f t="shared" ca="1" si="4"/>
        <v>0</v>
      </c>
      <c r="N7" s="9" t="s">
        <v>512</v>
      </c>
    </row>
    <row r="8" spans="1:14">
      <c r="A8" s="9" t="s">
        <v>513</v>
      </c>
      <c r="B8" s="9" t="s">
        <v>514</v>
      </c>
      <c r="C8" s="9" t="s">
        <v>515</v>
      </c>
      <c r="D8" s="11" t="s">
        <v>400</v>
      </c>
      <c r="E8" s="11" t="str">
        <f t="shared" ca="1" si="0"/>
        <v/>
      </c>
      <c r="F8" s="11" t="s">
        <v>392</v>
      </c>
      <c r="G8" s="11" t="s">
        <v>516</v>
      </c>
      <c r="H8" s="10">
        <f t="shared" si="1"/>
        <v>1</v>
      </c>
      <c r="I8" s="159"/>
      <c r="J8" s="11"/>
      <c r="K8" s="357">
        <f t="shared" si="2"/>
        <v>0</v>
      </c>
      <c r="L8" s="10">
        <f t="shared" ca="1" si="3"/>
        <v>0</v>
      </c>
      <c r="M8" s="10">
        <f t="shared" ca="1" si="4"/>
        <v>1</v>
      </c>
      <c r="N8" s="9" t="s">
        <v>517</v>
      </c>
    </row>
    <row r="9" spans="1:14">
      <c r="A9" s="9" t="s">
        <v>518</v>
      </c>
      <c r="B9" s="9" t="s">
        <v>519</v>
      </c>
      <c r="C9" s="9" t="s">
        <v>520</v>
      </c>
      <c r="D9" s="11" t="s">
        <v>396</v>
      </c>
      <c r="E9" s="11" t="str">
        <f t="shared" ca="1" si="0"/>
        <v/>
      </c>
      <c r="F9" s="11" t="s">
        <v>379</v>
      </c>
      <c r="G9" s="11" t="s">
        <v>521</v>
      </c>
      <c r="H9" s="10">
        <f t="shared" si="1"/>
        <v>0</v>
      </c>
      <c r="I9" s="159"/>
      <c r="J9" s="11"/>
      <c r="K9" s="357">
        <f t="shared" si="2"/>
        <v>0</v>
      </c>
      <c r="L9" s="10">
        <f t="shared" ca="1" si="3"/>
        <v>0</v>
      </c>
      <c r="M9" s="10">
        <f t="shared" ca="1" si="4"/>
        <v>0</v>
      </c>
      <c r="N9" s="9" t="s">
        <v>522</v>
      </c>
    </row>
    <row r="10" spans="1:14">
      <c r="A10" s="9" t="s">
        <v>523</v>
      </c>
      <c r="B10" s="9" t="s">
        <v>519</v>
      </c>
      <c r="C10" s="9" t="s">
        <v>524</v>
      </c>
      <c r="D10" s="11" t="s">
        <v>395</v>
      </c>
      <c r="E10" s="11" t="str">
        <f t="shared" ca="1" si="0"/>
        <v/>
      </c>
      <c r="F10" s="11" t="s">
        <v>379</v>
      </c>
      <c r="G10" s="11" t="s">
        <v>525</v>
      </c>
      <c r="H10" s="10">
        <f t="shared" si="1"/>
        <v>0</v>
      </c>
      <c r="I10" s="159"/>
      <c r="J10" s="11"/>
      <c r="K10" s="357">
        <f t="shared" si="2"/>
        <v>0</v>
      </c>
      <c r="L10" s="10">
        <f t="shared" ca="1" si="3"/>
        <v>0</v>
      </c>
      <c r="M10" s="10">
        <f t="shared" ca="1" si="4"/>
        <v>0</v>
      </c>
      <c r="N10" s="9" t="s">
        <v>526</v>
      </c>
    </row>
    <row r="11" spans="1:14">
      <c r="A11" s="9" t="s">
        <v>527</v>
      </c>
      <c r="B11" s="9" t="s">
        <v>528</v>
      </c>
      <c r="C11" s="9" t="s">
        <v>529</v>
      </c>
      <c r="D11" s="11" t="s">
        <v>396</v>
      </c>
      <c r="E11" s="11" t="str">
        <f t="shared" ca="1" si="0"/>
        <v/>
      </c>
      <c r="F11" s="11" t="s">
        <v>379</v>
      </c>
      <c r="G11" s="11" t="s">
        <v>521</v>
      </c>
      <c r="H11" s="10">
        <f t="shared" si="1"/>
        <v>0</v>
      </c>
      <c r="I11" s="159"/>
      <c r="J11" s="11"/>
      <c r="K11" s="357">
        <f t="shared" si="2"/>
        <v>0</v>
      </c>
      <c r="L11" s="10">
        <f t="shared" ca="1" si="3"/>
        <v>0</v>
      </c>
      <c r="M11" s="10">
        <f t="shared" ca="1" si="4"/>
        <v>0</v>
      </c>
      <c r="N11" s="9" t="s">
        <v>530</v>
      </c>
    </row>
    <row r="12" spans="1:14">
      <c r="A12" s="9" t="s">
        <v>531</v>
      </c>
      <c r="B12" s="9" t="s">
        <v>532</v>
      </c>
      <c r="C12" s="9" t="s">
        <v>533</v>
      </c>
      <c r="D12" s="11" t="s">
        <v>396</v>
      </c>
      <c r="E12" s="11" t="str">
        <f t="shared" ca="1" si="0"/>
        <v/>
      </c>
      <c r="F12" s="11" t="s">
        <v>379</v>
      </c>
      <c r="G12" s="11" t="s">
        <v>521</v>
      </c>
      <c r="H12" s="10">
        <f t="shared" si="1"/>
        <v>0</v>
      </c>
      <c r="I12" s="159"/>
      <c r="J12" s="11"/>
      <c r="K12" s="357">
        <f t="shared" si="2"/>
        <v>0</v>
      </c>
      <c r="L12" s="10">
        <f t="shared" ca="1" si="3"/>
        <v>0</v>
      </c>
      <c r="M12" s="10">
        <f t="shared" ca="1" si="4"/>
        <v>0</v>
      </c>
      <c r="N12" s="9" t="s">
        <v>534</v>
      </c>
    </row>
    <row r="13" spans="1:14">
      <c r="A13" s="9" t="s">
        <v>535</v>
      </c>
      <c r="B13" s="9" t="s">
        <v>536</v>
      </c>
      <c r="C13" s="9" t="s">
        <v>537</v>
      </c>
      <c r="D13" s="11" t="s">
        <v>49</v>
      </c>
      <c r="E13" s="11" t="str">
        <f t="shared" ca="1" si="0"/>
        <v/>
      </c>
      <c r="F13" s="11" t="s">
        <v>379</v>
      </c>
      <c r="G13" s="11" t="s">
        <v>511</v>
      </c>
      <c r="H13" s="10">
        <f t="shared" si="1"/>
        <v>0</v>
      </c>
      <c r="I13" s="159"/>
      <c r="J13" s="11"/>
      <c r="K13" s="357">
        <f t="shared" si="2"/>
        <v>0</v>
      </c>
      <c r="L13" s="10">
        <f t="shared" ca="1" si="3"/>
        <v>0</v>
      </c>
      <c r="M13" s="10">
        <f t="shared" ca="1" si="4"/>
        <v>0</v>
      </c>
      <c r="N13" s="9" t="s">
        <v>538</v>
      </c>
    </row>
    <row r="14" spans="1:14" s="368" customFormat="1">
      <c r="A14" s="378"/>
      <c r="B14" s="378"/>
      <c r="C14" s="378" t="s">
        <v>1307</v>
      </c>
      <c r="D14" s="379" t="s">
        <v>384</v>
      </c>
      <c r="E14" s="380"/>
      <c r="F14" s="379" t="s">
        <v>383</v>
      </c>
      <c r="G14" s="381">
        <v>46533</v>
      </c>
      <c r="H14" s="382">
        <f t="shared" si="1"/>
        <v>0.5</v>
      </c>
      <c r="I14" s="381">
        <v>46160</v>
      </c>
      <c r="J14" s="383">
        <v>46177</v>
      </c>
      <c r="K14" s="384">
        <f t="shared" si="2"/>
        <v>14</v>
      </c>
      <c r="L14" s="382">
        <f t="shared" ref="L14:L17" ca="1" si="5">IF(OR(I14="", J14=""), 0, IF(TODAY()&gt;=J14, 1, IF(TODAY()&lt;=I14, 0, NETWORKDAYS(I14, TODAY()) / NETWORKDAYS(I14, J14))))</f>
        <v>1</v>
      </c>
      <c r="M14" s="382">
        <f t="shared" ref="M14:M17" ca="1" si="6">IF(OR(H14="", L14=""), "", H14 - L14)</f>
        <v>-0.5</v>
      </c>
      <c r="N14" s="378"/>
    </row>
    <row r="15" spans="1:14" s="368" customFormat="1">
      <c r="A15" s="378"/>
      <c r="B15" s="378"/>
      <c r="C15" s="378" t="s">
        <v>1308</v>
      </c>
      <c r="D15" s="379" t="s">
        <v>384</v>
      </c>
      <c r="E15" s="380"/>
      <c r="F15" s="379" t="s">
        <v>383</v>
      </c>
      <c r="G15" s="381">
        <v>46533</v>
      </c>
      <c r="H15" s="382">
        <f t="shared" si="1"/>
        <v>0.5</v>
      </c>
      <c r="I15" s="381">
        <v>46160</v>
      </c>
      <c r="J15" s="383">
        <v>46177</v>
      </c>
      <c r="K15" s="384">
        <f t="shared" si="2"/>
        <v>14</v>
      </c>
      <c r="L15" s="382">
        <f t="shared" ca="1" si="5"/>
        <v>1</v>
      </c>
      <c r="M15" s="382">
        <f t="shared" ca="1" si="6"/>
        <v>-0.5</v>
      </c>
      <c r="N15" s="378"/>
    </row>
    <row r="16" spans="1:14" s="368" customFormat="1">
      <c r="A16" s="378"/>
      <c r="B16" s="378"/>
      <c r="C16" s="378" t="s">
        <v>1309</v>
      </c>
      <c r="D16" s="379" t="s">
        <v>384</v>
      </c>
      <c r="E16" s="380"/>
      <c r="F16" s="379" t="s">
        <v>383</v>
      </c>
      <c r="G16" s="381">
        <v>46533</v>
      </c>
      <c r="H16" s="382">
        <f t="shared" si="1"/>
        <v>0.5</v>
      </c>
      <c r="I16" s="381">
        <v>46160</v>
      </c>
      <c r="J16" s="383">
        <v>46177</v>
      </c>
      <c r="K16" s="384">
        <f t="shared" si="2"/>
        <v>14</v>
      </c>
      <c r="L16" s="382">
        <f t="shared" ca="1" si="5"/>
        <v>1</v>
      </c>
      <c r="M16" s="382">
        <f t="shared" ca="1" si="6"/>
        <v>-0.5</v>
      </c>
      <c r="N16" s="378"/>
    </row>
    <row r="17" spans="1:14" s="368" customFormat="1">
      <c r="A17" s="385"/>
      <c r="B17" s="385"/>
      <c r="C17" s="385" t="s">
        <v>1310</v>
      </c>
      <c r="D17" s="379" t="s">
        <v>384</v>
      </c>
      <c r="E17" s="379"/>
      <c r="F17" s="379" t="s">
        <v>383</v>
      </c>
      <c r="G17" s="381">
        <v>46533</v>
      </c>
      <c r="H17" s="382">
        <f t="shared" si="1"/>
        <v>0.5</v>
      </c>
      <c r="I17" s="381">
        <v>46160</v>
      </c>
      <c r="J17" s="383">
        <v>46177</v>
      </c>
      <c r="K17" s="384">
        <f t="shared" si="2"/>
        <v>14</v>
      </c>
      <c r="L17" s="382">
        <f t="shared" ca="1" si="5"/>
        <v>1</v>
      </c>
      <c r="M17" s="382">
        <f t="shared" ca="1" si="6"/>
        <v>-0.5</v>
      </c>
      <c r="N17" s="385"/>
    </row>
    <row r="18" spans="1:14">
      <c r="A18" s="9" t="s">
        <v>539</v>
      </c>
      <c r="B18" s="9" t="s">
        <v>540</v>
      </c>
      <c r="C18" s="9" t="s">
        <v>541</v>
      </c>
      <c r="D18" s="11" t="s">
        <v>57</v>
      </c>
      <c r="E18" s="11" t="str">
        <f t="shared" ref="E18:E49" ca="1" si="7">IF(J18="", "", IF(J18&lt;=TODAY()+7, "Alta", IF(J18&lt;=TODAY()+14, "Media", "Baja")))</f>
        <v/>
      </c>
      <c r="F18" s="11" t="s">
        <v>379</v>
      </c>
      <c r="G18" s="11"/>
      <c r="H18" s="10">
        <f t="shared" ref="H18:H49" si="8">IF(F18="Aprobado / Terminado", 1, IF(F18="En Revisión / MEL", 0.9, IF(F18="En Proceso", 0.5, 0)))</f>
        <v>0</v>
      </c>
      <c r="I18" s="159"/>
      <c r="J18" s="11"/>
      <c r="K18" s="357">
        <f t="shared" ref="K18:K49" si="9">IF(OR(I18="", J18=""), 0, NETWORKDAYS(I18, J18))</f>
        <v>0</v>
      </c>
      <c r="L18" s="10">
        <f t="shared" ref="L18:L49" ca="1" si="10">IF(OR(I18="", J18=""), 0, IF(TODAY()&gt;=J18, 1, IF(TODAY()&lt;=I18, 0, NETWORKDAYS(I18, TODAY()) / NETWORKDAYS(I18, J18))))</f>
        <v>0</v>
      </c>
      <c r="M18" s="10">
        <f t="shared" ref="M18:M49" ca="1" si="11">IF(OR(H18="", L18=""), "", H18 - L18)</f>
        <v>0</v>
      </c>
      <c r="N18" s="9"/>
    </row>
    <row r="19" spans="1:14">
      <c r="A19" s="9" t="s">
        <v>542</v>
      </c>
      <c r="B19" s="9" t="s">
        <v>543</v>
      </c>
      <c r="C19" s="9" t="s">
        <v>544</v>
      </c>
      <c r="D19" s="11" t="s">
        <v>398</v>
      </c>
      <c r="E19" s="11" t="str">
        <f t="shared" ca="1" si="7"/>
        <v/>
      </c>
      <c r="F19" s="11" t="s">
        <v>379</v>
      </c>
      <c r="G19" s="11"/>
      <c r="H19" s="10">
        <f t="shared" si="8"/>
        <v>0</v>
      </c>
      <c r="I19" s="159"/>
      <c r="J19" s="11"/>
      <c r="K19" s="357">
        <f t="shared" si="9"/>
        <v>0</v>
      </c>
      <c r="L19" s="10">
        <f t="shared" ca="1" si="10"/>
        <v>0</v>
      </c>
      <c r="M19" s="10">
        <f t="shared" ca="1" si="11"/>
        <v>0</v>
      </c>
      <c r="N19" s="9"/>
    </row>
    <row r="20" spans="1:14">
      <c r="A20" s="9" t="s">
        <v>545</v>
      </c>
      <c r="B20" s="9" t="s">
        <v>543</v>
      </c>
      <c r="C20" s="9" t="s">
        <v>546</v>
      </c>
      <c r="D20" s="11"/>
      <c r="E20" s="11" t="str">
        <f t="shared" ca="1" si="7"/>
        <v/>
      </c>
      <c r="F20" s="11" t="s">
        <v>379</v>
      </c>
      <c r="G20" s="11"/>
      <c r="H20" s="10">
        <f t="shared" si="8"/>
        <v>0</v>
      </c>
      <c r="I20" s="159"/>
      <c r="J20" s="11"/>
      <c r="K20" s="357">
        <f t="shared" si="9"/>
        <v>0</v>
      </c>
      <c r="L20" s="10">
        <f t="shared" ca="1" si="10"/>
        <v>0</v>
      </c>
      <c r="M20" s="10">
        <f t="shared" ca="1" si="11"/>
        <v>0</v>
      </c>
      <c r="N20" s="9"/>
    </row>
    <row r="21" spans="1:14">
      <c r="A21" s="9" t="s">
        <v>547</v>
      </c>
      <c r="B21" s="9" t="s">
        <v>548</v>
      </c>
      <c r="C21" s="9" t="s">
        <v>549</v>
      </c>
      <c r="D21" s="11"/>
      <c r="E21" s="11" t="str">
        <f t="shared" ca="1" si="7"/>
        <v/>
      </c>
      <c r="F21" s="11" t="s">
        <v>379</v>
      </c>
      <c r="G21" s="11"/>
      <c r="H21" s="10">
        <f t="shared" si="8"/>
        <v>0</v>
      </c>
      <c r="I21" s="159"/>
      <c r="J21" s="11"/>
      <c r="K21" s="357">
        <f t="shared" si="9"/>
        <v>0</v>
      </c>
      <c r="L21" s="10">
        <f t="shared" ca="1" si="10"/>
        <v>0</v>
      </c>
      <c r="M21" s="10">
        <f t="shared" ca="1" si="11"/>
        <v>0</v>
      </c>
      <c r="N21" s="9"/>
    </row>
    <row r="22" spans="1:14">
      <c r="A22" s="9" t="s">
        <v>550</v>
      </c>
      <c r="B22" s="9" t="s">
        <v>551</v>
      </c>
      <c r="C22" s="9" t="s">
        <v>552</v>
      </c>
      <c r="D22" s="11"/>
      <c r="E22" s="11" t="str">
        <f t="shared" ca="1" si="7"/>
        <v/>
      </c>
      <c r="F22" s="11" t="s">
        <v>379</v>
      </c>
      <c r="G22" s="11"/>
      <c r="H22" s="10">
        <f t="shared" si="8"/>
        <v>0</v>
      </c>
      <c r="I22" s="159"/>
      <c r="J22" s="11"/>
      <c r="K22" s="357">
        <f t="shared" si="9"/>
        <v>0</v>
      </c>
      <c r="L22" s="10">
        <f t="shared" ca="1" si="10"/>
        <v>0</v>
      </c>
      <c r="M22" s="10">
        <f t="shared" ca="1" si="11"/>
        <v>0</v>
      </c>
      <c r="N22" s="9"/>
    </row>
    <row r="23" spans="1:14">
      <c r="A23" s="9" t="s">
        <v>553</v>
      </c>
      <c r="B23" s="9" t="s">
        <v>554</v>
      </c>
      <c r="C23" s="9" t="s">
        <v>555</v>
      </c>
      <c r="D23" s="11"/>
      <c r="E23" s="11" t="str">
        <f t="shared" ca="1" si="7"/>
        <v/>
      </c>
      <c r="F23" s="11" t="s">
        <v>379</v>
      </c>
      <c r="G23" s="11"/>
      <c r="H23" s="10">
        <f t="shared" si="8"/>
        <v>0</v>
      </c>
      <c r="I23" s="159"/>
      <c r="J23" s="11"/>
      <c r="K23" s="357">
        <f t="shared" si="9"/>
        <v>0</v>
      </c>
      <c r="L23" s="10">
        <f t="shared" ca="1" si="10"/>
        <v>0</v>
      </c>
      <c r="M23" s="10">
        <f t="shared" ca="1" si="11"/>
        <v>0</v>
      </c>
      <c r="N23" s="9"/>
    </row>
    <row r="24" spans="1:14">
      <c r="A24" s="9" t="s">
        <v>556</v>
      </c>
      <c r="B24" s="9" t="s">
        <v>557</v>
      </c>
      <c r="C24" s="9" t="s">
        <v>558</v>
      </c>
      <c r="D24" s="11"/>
      <c r="E24" s="11" t="str">
        <f t="shared" ca="1" si="7"/>
        <v/>
      </c>
      <c r="F24" s="11" t="s">
        <v>379</v>
      </c>
      <c r="G24" s="11"/>
      <c r="H24" s="10">
        <f t="shared" si="8"/>
        <v>0</v>
      </c>
      <c r="I24" s="159"/>
      <c r="J24" s="11"/>
      <c r="K24" s="357">
        <f t="shared" si="9"/>
        <v>0</v>
      </c>
      <c r="L24" s="10">
        <f t="shared" ca="1" si="10"/>
        <v>0</v>
      </c>
      <c r="M24" s="10">
        <f t="shared" ca="1" si="11"/>
        <v>0</v>
      </c>
      <c r="N24" s="9"/>
    </row>
    <row r="25" spans="1:14">
      <c r="A25" s="9" t="s">
        <v>559</v>
      </c>
      <c r="B25" s="9" t="s">
        <v>560</v>
      </c>
      <c r="C25" s="9" t="s">
        <v>561</v>
      </c>
      <c r="D25" s="11"/>
      <c r="E25" s="11" t="str">
        <f t="shared" ca="1" si="7"/>
        <v/>
      </c>
      <c r="F25" s="11" t="s">
        <v>379</v>
      </c>
      <c r="G25" s="11"/>
      <c r="H25" s="10">
        <f t="shared" si="8"/>
        <v>0</v>
      </c>
      <c r="I25" s="159"/>
      <c r="J25" s="11"/>
      <c r="K25" s="357">
        <f t="shared" si="9"/>
        <v>0</v>
      </c>
      <c r="L25" s="10">
        <f t="shared" ca="1" si="10"/>
        <v>0</v>
      </c>
      <c r="M25" s="10">
        <f t="shared" ca="1" si="11"/>
        <v>0</v>
      </c>
      <c r="N25" s="9"/>
    </row>
    <row r="26" spans="1:14">
      <c r="A26" s="9" t="s">
        <v>562</v>
      </c>
      <c r="B26" s="9" t="s">
        <v>563</v>
      </c>
      <c r="C26" s="9" t="s">
        <v>564</v>
      </c>
      <c r="D26" s="11"/>
      <c r="E26" s="11" t="str">
        <f t="shared" ca="1" si="7"/>
        <v/>
      </c>
      <c r="F26" s="11" t="s">
        <v>379</v>
      </c>
      <c r="G26" s="11"/>
      <c r="H26" s="10">
        <f t="shared" si="8"/>
        <v>0</v>
      </c>
      <c r="I26" s="159"/>
      <c r="J26" s="11"/>
      <c r="K26" s="357">
        <f t="shared" si="9"/>
        <v>0</v>
      </c>
      <c r="L26" s="10">
        <f t="shared" ca="1" si="10"/>
        <v>0</v>
      </c>
      <c r="M26" s="10">
        <f t="shared" ca="1" si="11"/>
        <v>0</v>
      </c>
      <c r="N26" s="9"/>
    </row>
    <row r="27" spans="1:14">
      <c r="A27" s="9" t="s">
        <v>565</v>
      </c>
      <c r="B27" s="9" t="s">
        <v>566</v>
      </c>
      <c r="C27" s="9" t="s">
        <v>567</v>
      </c>
      <c r="D27" s="11"/>
      <c r="E27" s="11" t="str">
        <f t="shared" ca="1" si="7"/>
        <v/>
      </c>
      <c r="F27" s="11" t="s">
        <v>379</v>
      </c>
      <c r="G27" s="11"/>
      <c r="H27" s="10">
        <f t="shared" si="8"/>
        <v>0</v>
      </c>
      <c r="I27" s="159"/>
      <c r="J27" s="11"/>
      <c r="K27" s="357">
        <f t="shared" si="9"/>
        <v>0</v>
      </c>
      <c r="L27" s="10">
        <f t="shared" ca="1" si="10"/>
        <v>0</v>
      </c>
      <c r="M27" s="10">
        <f t="shared" ca="1" si="11"/>
        <v>0</v>
      </c>
      <c r="N27" s="9"/>
    </row>
    <row r="28" spans="1:14">
      <c r="A28" s="9" t="s">
        <v>568</v>
      </c>
      <c r="B28" s="9" t="s">
        <v>569</v>
      </c>
      <c r="C28" s="9" t="s">
        <v>570</v>
      </c>
      <c r="D28" s="11"/>
      <c r="E28" s="11" t="str">
        <f t="shared" ca="1" si="7"/>
        <v/>
      </c>
      <c r="F28" s="11" t="s">
        <v>379</v>
      </c>
      <c r="G28" s="11"/>
      <c r="H28" s="10">
        <f t="shared" si="8"/>
        <v>0</v>
      </c>
      <c r="I28" s="159"/>
      <c r="J28" s="11"/>
      <c r="K28" s="357">
        <f t="shared" si="9"/>
        <v>0</v>
      </c>
      <c r="L28" s="10">
        <f t="shared" ca="1" si="10"/>
        <v>0</v>
      </c>
      <c r="M28" s="10">
        <f t="shared" ca="1" si="11"/>
        <v>0</v>
      </c>
      <c r="N28" s="9"/>
    </row>
    <row r="29" spans="1:14">
      <c r="A29" s="9" t="s">
        <v>571</v>
      </c>
      <c r="B29" s="9" t="s">
        <v>572</v>
      </c>
      <c r="C29" s="9" t="s">
        <v>573</v>
      </c>
      <c r="D29" s="11"/>
      <c r="E29" s="11" t="str">
        <f t="shared" ca="1" si="7"/>
        <v/>
      </c>
      <c r="F29" s="11" t="s">
        <v>379</v>
      </c>
      <c r="G29" s="11"/>
      <c r="H29" s="10">
        <f t="shared" si="8"/>
        <v>0</v>
      </c>
      <c r="I29" s="159"/>
      <c r="J29" s="11"/>
      <c r="K29" s="357">
        <f t="shared" si="9"/>
        <v>0</v>
      </c>
      <c r="L29" s="10">
        <f t="shared" ca="1" si="10"/>
        <v>0</v>
      </c>
      <c r="M29" s="10">
        <f t="shared" ca="1" si="11"/>
        <v>0</v>
      </c>
      <c r="N29" s="9"/>
    </row>
    <row r="30" spans="1:14">
      <c r="A30" s="9" t="s">
        <v>574</v>
      </c>
      <c r="B30" s="9" t="s">
        <v>575</v>
      </c>
      <c r="C30" s="9" t="s">
        <v>576</v>
      </c>
      <c r="D30" s="11"/>
      <c r="E30" s="11" t="str">
        <f t="shared" ca="1" si="7"/>
        <v/>
      </c>
      <c r="F30" s="11" t="s">
        <v>379</v>
      </c>
      <c r="G30" s="11"/>
      <c r="H30" s="10">
        <f t="shared" si="8"/>
        <v>0</v>
      </c>
      <c r="I30" s="159"/>
      <c r="J30" s="11"/>
      <c r="K30" s="357">
        <f t="shared" si="9"/>
        <v>0</v>
      </c>
      <c r="L30" s="10">
        <f t="shared" ca="1" si="10"/>
        <v>0</v>
      </c>
      <c r="M30" s="10">
        <f t="shared" ca="1" si="11"/>
        <v>0</v>
      </c>
      <c r="N30" s="9"/>
    </row>
    <row r="31" spans="1:14">
      <c r="A31" s="9" t="s">
        <v>577</v>
      </c>
      <c r="B31" s="9" t="s">
        <v>578</v>
      </c>
      <c r="C31" s="9" t="s">
        <v>579</v>
      </c>
      <c r="D31" s="11"/>
      <c r="E31" s="11" t="str">
        <f t="shared" ca="1" si="7"/>
        <v/>
      </c>
      <c r="F31" s="11" t="s">
        <v>379</v>
      </c>
      <c r="G31" s="11"/>
      <c r="H31" s="10">
        <f t="shared" si="8"/>
        <v>0</v>
      </c>
      <c r="I31" s="159"/>
      <c r="J31" s="11"/>
      <c r="K31" s="357">
        <f t="shared" si="9"/>
        <v>0</v>
      </c>
      <c r="L31" s="10">
        <f t="shared" ca="1" si="10"/>
        <v>0</v>
      </c>
      <c r="M31" s="10">
        <f t="shared" ca="1" si="11"/>
        <v>0</v>
      </c>
      <c r="N31" s="9"/>
    </row>
    <row r="32" spans="1:14">
      <c r="A32" s="9" t="s">
        <v>580</v>
      </c>
      <c r="B32" s="9" t="s">
        <v>581</v>
      </c>
      <c r="C32" s="9" t="s">
        <v>582</v>
      </c>
      <c r="D32" s="11"/>
      <c r="E32" s="11" t="str">
        <f t="shared" ca="1" si="7"/>
        <v/>
      </c>
      <c r="F32" s="11" t="s">
        <v>379</v>
      </c>
      <c r="G32" s="11"/>
      <c r="H32" s="10">
        <f t="shared" si="8"/>
        <v>0</v>
      </c>
      <c r="I32" s="159"/>
      <c r="J32" s="11"/>
      <c r="K32" s="357">
        <f t="shared" si="9"/>
        <v>0</v>
      </c>
      <c r="L32" s="10">
        <f t="shared" ca="1" si="10"/>
        <v>0</v>
      </c>
      <c r="M32" s="10">
        <f t="shared" ca="1" si="11"/>
        <v>0</v>
      </c>
      <c r="N32" s="9"/>
    </row>
    <row r="33" spans="1:14">
      <c r="A33" s="9" t="s">
        <v>583</v>
      </c>
      <c r="B33" s="9" t="s">
        <v>584</v>
      </c>
      <c r="C33" s="9" t="s">
        <v>585</v>
      </c>
      <c r="D33" s="11"/>
      <c r="E33" s="11" t="str">
        <f t="shared" ca="1" si="7"/>
        <v/>
      </c>
      <c r="F33" s="11" t="s">
        <v>379</v>
      </c>
      <c r="G33" s="11"/>
      <c r="H33" s="10">
        <f t="shared" si="8"/>
        <v>0</v>
      </c>
      <c r="I33" s="159"/>
      <c r="J33" s="11"/>
      <c r="K33" s="357">
        <f t="shared" si="9"/>
        <v>0</v>
      </c>
      <c r="L33" s="10">
        <f t="shared" ca="1" si="10"/>
        <v>0</v>
      </c>
      <c r="M33" s="10">
        <f t="shared" ca="1" si="11"/>
        <v>0</v>
      </c>
      <c r="N33" s="9"/>
    </row>
    <row r="34" spans="1:14">
      <c r="A34" s="9" t="s">
        <v>586</v>
      </c>
      <c r="B34" s="9" t="s">
        <v>587</v>
      </c>
      <c r="C34" s="9" t="s">
        <v>588</v>
      </c>
      <c r="D34" s="11"/>
      <c r="E34" s="11" t="str">
        <f t="shared" ca="1" si="7"/>
        <v/>
      </c>
      <c r="F34" s="11" t="s">
        <v>379</v>
      </c>
      <c r="G34" s="11"/>
      <c r="H34" s="10">
        <f t="shared" si="8"/>
        <v>0</v>
      </c>
      <c r="I34" s="159"/>
      <c r="J34" s="11"/>
      <c r="K34" s="357">
        <f t="shared" si="9"/>
        <v>0</v>
      </c>
      <c r="L34" s="10">
        <f t="shared" ca="1" si="10"/>
        <v>0</v>
      </c>
      <c r="M34" s="10">
        <f t="shared" ca="1" si="11"/>
        <v>0</v>
      </c>
      <c r="N34" s="9"/>
    </row>
    <row r="35" spans="1:14">
      <c r="A35" s="9" t="s">
        <v>589</v>
      </c>
      <c r="B35" s="9" t="s">
        <v>590</v>
      </c>
      <c r="C35" s="9" t="s">
        <v>591</v>
      </c>
      <c r="D35" s="11"/>
      <c r="E35" s="11" t="str">
        <f t="shared" ca="1" si="7"/>
        <v/>
      </c>
      <c r="F35" s="11" t="s">
        <v>379</v>
      </c>
      <c r="G35" s="11"/>
      <c r="H35" s="10">
        <f t="shared" si="8"/>
        <v>0</v>
      </c>
      <c r="I35" s="159"/>
      <c r="J35" s="11"/>
      <c r="K35" s="357">
        <f t="shared" si="9"/>
        <v>0</v>
      </c>
      <c r="L35" s="10">
        <f t="shared" ca="1" si="10"/>
        <v>0</v>
      </c>
      <c r="M35" s="10">
        <f t="shared" ca="1" si="11"/>
        <v>0</v>
      </c>
      <c r="N35" s="9"/>
    </row>
    <row r="36" spans="1:14">
      <c r="A36" s="9" t="s">
        <v>592</v>
      </c>
      <c r="B36" s="9" t="s">
        <v>593</v>
      </c>
      <c r="C36" s="9" t="s">
        <v>594</v>
      </c>
      <c r="D36" s="11"/>
      <c r="E36" s="11" t="str">
        <f t="shared" ca="1" si="7"/>
        <v/>
      </c>
      <c r="F36" s="11" t="s">
        <v>379</v>
      </c>
      <c r="G36" s="11"/>
      <c r="H36" s="10">
        <f t="shared" si="8"/>
        <v>0</v>
      </c>
      <c r="I36" s="159"/>
      <c r="J36" s="11"/>
      <c r="K36" s="357">
        <f t="shared" si="9"/>
        <v>0</v>
      </c>
      <c r="L36" s="10">
        <f t="shared" ca="1" si="10"/>
        <v>0</v>
      </c>
      <c r="M36" s="10">
        <f t="shared" ca="1" si="11"/>
        <v>0</v>
      </c>
      <c r="N36" s="9"/>
    </row>
    <row r="37" spans="1:14">
      <c r="A37" s="9" t="s">
        <v>595</v>
      </c>
      <c r="B37" s="9" t="s">
        <v>596</v>
      </c>
      <c r="C37" s="9" t="s">
        <v>597</v>
      </c>
      <c r="D37" s="11"/>
      <c r="E37" s="11" t="str">
        <f t="shared" ca="1" si="7"/>
        <v/>
      </c>
      <c r="F37" s="11" t="s">
        <v>379</v>
      </c>
      <c r="G37" s="11"/>
      <c r="H37" s="10">
        <f t="shared" si="8"/>
        <v>0</v>
      </c>
      <c r="I37" s="159"/>
      <c r="J37" s="11"/>
      <c r="K37" s="357">
        <f t="shared" si="9"/>
        <v>0</v>
      </c>
      <c r="L37" s="10">
        <f t="shared" ca="1" si="10"/>
        <v>0</v>
      </c>
      <c r="M37" s="10">
        <f t="shared" ca="1" si="11"/>
        <v>0</v>
      </c>
      <c r="N37" s="9"/>
    </row>
    <row r="38" spans="1:14">
      <c r="A38" s="9" t="s">
        <v>598</v>
      </c>
      <c r="B38" s="9" t="s">
        <v>599</v>
      </c>
      <c r="C38" s="9" t="s">
        <v>600</v>
      </c>
      <c r="D38" s="11"/>
      <c r="E38" s="11" t="str">
        <f t="shared" ca="1" si="7"/>
        <v/>
      </c>
      <c r="F38" s="11" t="s">
        <v>379</v>
      </c>
      <c r="G38" s="11"/>
      <c r="H38" s="10">
        <f t="shared" si="8"/>
        <v>0</v>
      </c>
      <c r="I38" s="159"/>
      <c r="J38" s="11"/>
      <c r="K38" s="357">
        <f t="shared" si="9"/>
        <v>0</v>
      </c>
      <c r="L38" s="10">
        <f t="shared" ca="1" si="10"/>
        <v>0</v>
      </c>
      <c r="M38" s="10">
        <f t="shared" ca="1" si="11"/>
        <v>0</v>
      </c>
      <c r="N38" s="9"/>
    </row>
    <row r="39" spans="1:14">
      <c r="A39" s="9" t="s">
        <v>601</v>
      </c>
      <c r="B39" s="9" t="s">
        <v>602</v>
      </c>
      <c r="C39" s="9" t="s">
        <v>603</v>
      </c>
      <c r="D39" s="11"/>
      <c r="E39" s="11" t="str">
        <f t="shared" ca="1" si="7"/>
        <v/>
      </c>
      <c r="F39" s="11" t="s">
        <v>379</v>
      </c>
      <c r="G39" s="11"/>
      <c r="H39" s="10">
        <f t="shared" si="8"/>
        <v>0</v>
      </c>
      <c r="I39" s="159"/>
      <c r="J39" s="11"/>
      <c r="K39" s="357">
        <f t="shared" si="9"/>
        <v>0</v>
      </c>
      <c r="L39" s="10">
        <f t="shared" ca="1" si="10"/>
        <v>0</v>
      </c>
      <c r="M39" s="10">
        <f t="shared" ca="1" si="11"/>
        <v>0</v>
      </c>
      <c r="N39" s="9"/>
    </row>
    <row r="40" spans="1:14">
      <c r="A40" s="9" t="s">
        <v>604</v>
      </c>
      <c r="B40" s="9" t="s">
        <v>605</v>
      </c>
      <c r="C40" s="9" t="s">
        <v>606</v>
      </c>
      <c r="D40" s="11"/>
      <c r="E40" s="11" t="str">
        <f t="shared" ca="1" si="7"/>
        <v/>
      </c>
      <c r="F40" s="11" t="s">
        <v>379</v>
      </c>
      <c r="G40" s="11"/>
      <c r="H40" s="10">
        <f t="shared" si="8"/>
        <v>0</v>
      </c>
      <c r="I40" s="159"/>
      <c r="J40" s="11"/>
      <c r="K40" s="357">
        <f t="shared" si="9"/>
        <v>0</v>
      </c>
      <c r="L40" s="10">
        <f t="shared" ca="1" si="10"/>
        <v>0</v>
      </c>
      <c r="M40" s="10">
        <f t="shared" ca="1" si="11"/>
        <v>0</v>
      </c>
      <c r="N40" s="9"/>
    </row>
    <row r="41" spans="1:14">
      <c r="A41" s="9" t="s">
        <v>607</v>
      </c>
      <c r="B41" s="9" t="s">
        <v>608</v>
      </c>
      <c r="C41" s="9" t="s">
        <v>609</v>
      </c>
      <c r="D41" s="11"/>
      <c r="E41" s="11" t="str">
        <f t="shared" ca="1" si="7"/>
        <v/>
      </c>
      <c r="F41" s="11" t="s">
        <v>379</v>
      </c>
      <c r="G41" s="11"/>
      <c r="H41" s="10">
        <f t="shared" si="8"/>
        <v>0</v>
      </c>
      <c r="I41" s="159"/>
      <c r="J41" s="11"/>
      <c r="K41" s="357">
        <f t="shared" si="9"/>
        <v>0</v>
      </c>
      <c r="L41" s="10">
        <f t="shared" ca="1" si="10"/>
        <v>0</v>
      </c>
      <c r="M41" s="10">
        <f t="shared" ca="1" si="11"/>
        <v>0</v>
      </c>
      <c r="N41" s="9"/>
    </row>
    <row r="42" spans="1:14">
      <c r="A42" s="9" t="s">
        <v>610</v>
      </c>
      <c r="B42" s="9"/>
      <c r="C42" s="9" t="s">
        <v>611</v>
      </c>
      <c r="D42" s="11"/>
      <c r="E42" s="11" t="str">
        <f t="shared" ca="1" si="7"/>
        <v/>
      </c>
      <c r="F42" s="11" t="s">
        <v>379</v>
      </c>
      <c r="G42" s="11"/>
      <c r="H42" s="10">
        <f t="shared" si="8"/>
        <v>0</v>
      </c>
      <c r="I42" s="159"/>
      <c r="J42" s="11"/>
      <c r="K42" s="357">
        <f t="shared" si="9"/>
        <v>0</v>
      </c>
      <c r="L42" s="10">
        <f t="shared" ca="1" si="10"/>
        <v>0</v>
      </c>
      <c r="M42" s="10">
        <f t="shared" ca="1" si="11"/>
        <v>0</v>
      </c>
      <c r="N42" s="9"/>
    </row>
    <row r="43" spans="1:14">
      <c r="E43" s="11" t="str">
        <f t="shared" ca="1" si="7"/>
        <v/>
      </c>
      <c r="H43" s="10">
        <f t="shared" si="8"/>
        <v>0</v>
      </c>
      <c r="K43" s="357">
        <f t="shared" si="9"/>
        <v>0</v>
      </c>
      <c r="L43" s="10">
        <f t="shared" ca="1" si="10"/>
        <v>0</v>
      </c>
      <c r="M43" s="10">
        <f t="shared" ca="1" si="11"/>
        <v>0</v>
      </c>
    </row>
    <row r="44" spans="1:14">
      <c r="E44" s="11" t="str">
        <f t="shared" ca="1" si="7"/>
        <v/>
      </c>
      <c r="H44" s="10">
        <f t="shared" si="8"/>
        <v>0</v>
      </c>
      <c r="K44" s="357">
        <f t="shared" si="9"/>
        <v>0</v>
      </c>
      <c r="L44" s="10">
        <f t="shared" ca="1" si="10"/>
        <v>0</v>
      </c>
      <c r="M44" s="10">
        <f t="shared" ca="1" si="11"/>
        <v>0</v>
      </c>
    </row>
    <row r="45" spans="1:14">
      <c r="E45" s="11" t="str">
        <f t="shared" ca="1" si="7"/>
        <v/>
      </c>
      <c r="H45" s="10">
        <f t="shared" si="8"/>
        <v>0</v>
      </c>
      <c r="K45" s="357">
        <f t="shared" si="9"/>
        <v>0</v>
      </c>
      <c r="L45" s="10">
        <f t="shared" ca="1" si="10"/>
        <v>0</v>
      </c>
      <c r="M45" s="10">
        <f t="shared" ca="1" si="11"/>
        <v>0</v>
      </c>
    </row>
    <row r="46" spans="1:14">
      <c r="E46" s="11" t="str">
        <f t="shared" ca="1" si="7"/>
        <v/>
      </c>
      <c r="H46" s="10">
        <f t="shared" si="8"/>
        <v>0</v>
      </c>
      <c r="K46" s="357">
        <f t="shared" si="9"/>
        <v>0</v>
      </c>
      <c r="L46" s="10">
        <f t="shared" ca="1" si="10"/>
        <v>0</v>
      </c>
      <c r="M46" s="10">
        <f t="shared" ca="1" si="11"/>
        <v>0</v>
      </c>
    </row>
    <row r="47" spans="1:14">
      <c r="E47" s="11" t="str">
        <f t="shared" ca="1" si="7"/>
        <v/>
      </c>
      <c r="H47" s="10">
        <f t="shared" si="8"/>
        <v>0</v>
      </c>
      <c r="K47" s="357">
        <f t="shared" si="9"/>
        <v>0</v>
      </c>
      <c r="L47" s="10">
        <f t="shared" ca="1" si="10"/>
        <v>0</v>
      </c>
      <c r="M47" s="10">
        <f t="shared" ca="1" si="11"/>
        <v>0</v>
      </c>
    </row>
    <row r="48" spans="1:14">
      <c r="E48" s="11" t="str">
        <f t="shared" ca="1" si="7"/>
        <v/>
      </c>
      <c r="H48" s="10">
        <f t="shared" si="8"/>
        <v>0</v>
      </c>
      <c r="K48" s="357">
        <f t="shared" si="9"/>
        <v>0</v>
      </c>
      <c r="L48" s="10">
        <f t="shared" ca="1" si="10"/>
        <v>0</v>
      </c>
      <c r="M48" s="10">
        <f t="shared" ca="1" si="11"/>
        <v>0</v>
      </c>
    </row>
    <row r="49" spans="5:13">
      <c r="E49" s="11" t="str">
        <f t="shared" ca="1" si="7"/>
        <v/>
      </c>
      <c r="H49" s="10">
        <f t="shared" si="8"/>
        <v>0</v>
      </c>
      <c r="K49" s="357">
        <f t="shared" si="9"/>
        <v>0</v>
      </c>
      <c r="L49" s="10">
        <f t="shared" ca="1" si="10"/>
        <v>0</v>
      </c>
      <c r="M49" s="10">
        <f t="shared" ca="1" si="11"/>
        <v>0</v>
      </c>
    </row>
    <row r="50" spans="5:13">
      <c r="E50" s="11" t="str">
        <f t="shared" ref="E50:E81" ca="1" si="12">IF(J50="", "", IF(J50&lt;=TODAY()+7, "Alta", IF(J50&lt;=TODAY()+14, "Media", "Baja")))</f>
        <v/>
      </c>
      <c r="H50" s="10">
        <f t="shared" ref="H50:H81" si="13">IF(F50="Aprobado / Terminado", 1, IF(F50="En Revisión / MEL", 0.9, IF(F50="En Proceso", 0.5, 0)))</f>
        <v>0</v>
      </c>
      <c r="K50" s="357">
        <f t="shared" ref="K50:K81" si="14">IF(OR(I50="", J50=""), 0, NETWORKDAYS(I50, J50))</f>
        <v>0</v>
      </c>
      <c r="L50" s="10">
        <f t="shared" ref="L50:L81" ca="1" si="15">IF(OR(I50="", J50=""), 0, IF(TODAY()&gt;=J50, 1, IF(TODAY()&lt;=I50, 0, NETWORKDAYS(I50, TODAY()) / NETWORKDAYS(I50, J50))))</f>
        <v>0</v>
      </c>
      <c r="M50" s="10">
        <f t="shared" ref="M50:M81" ca="1" si="16">IF(OR(H50="", L50=""), "", H50 - L50)</f>
        <v>0</v>
      </c>
    </row>
    <row r="51" spans="5:13">
      <c r="E51" s="11" t="str">
        <f t="shared" ca="1" si="12"/>
        <v/>
      </c>
      <c r="H51" s="10">
        <f t="shared" si="13"/>
        <v>0</v>
      </c>
      <c r="K51" s="357">
        <f t="shared" si="14"/>
        <v>0</v>
      </c>
      <c r="L51" s="10">
        <f t="shared" ca="1" si="15"/>
        <v>0</v>
      </c>
      <c r="M51" s="10">
        <f t="shared" ca="1" si="16"/>
        <v>0</v>
      </c>
    </row>
    <row r="52" spans="5:13">
      <c r="E52" s="11" t="str">
        <f t="shared" ca="1" si="12"/>
        <v/>
      </c>
      <c r="H52" s="10">
        <f t="shared" si="13"/>
        <v>0</v>
      </c>
      <c r="K52" s="357">
        <f t="shared" si="14"/>
        <v>0</v>
      </c>
      <c r="L52" s="10">
        <f t="shared" ca="1" si="15"/>
        <v>0</v>
      </c>
      <c r="M52" s="10">
        <f t="shared" ca="1" si="16"/>
        <v>0</v>
      </c>
    </row>
    <row r="53" spans="5:13">
      <c r="E53" s="11" t="str">
        <f t="shared" ca="1" si="12"/>
        <v/>
      </c>
      <c r="H53" s="10">
        <f t="shared" si="13"/>
        <v>0</v>
      </c>
      <c r="K53" s="357">
        <f t="shared" si="14"/>
        <v>0</v>
      </c>
      <c r="L53" s="10">
        <f t="shared" ca="1" si="15"/>
        <v>0</v>
      </c>
      <c r="M53" s="10">
        <f t="shared" ca="1" si="16"/>
        <v>0</v>
      </c>
    </row>
    <row r="54" spans="5:13">
      <c r="E54" s="11" t="str">
        <f t="shared" ca="1" si="12"/>
        <v/>
      </c>
      <c r="H54" s="10">
        <f t="shared" si="13"/>
        <v>0</v>
      </c>
      <c r="K54" s="357">
        <f t="shared" si="14"/>
        <v>0</v>
      </c>
      <c r="L54" s="10">
        <f t="shared" ca="1" si="15"/>
        <v>0</v>
      </c>
      <c r="M54" s="10">
        <f t="shared" ca="1" si="16"/>
        <v>0</v>
      </c>
    </row>
    <row r="55" spans="5:13">
      <c r="E55" s="11" t="str">
        <f t="shared" ca="1" si="12"/>
        <v/>
      </c>
      <c r="H55" s="10">
        <f t="shared" si="13"/>
        <v>0</v>
      </c>
      <c r="K55" s="357">
        <f t="shared" si="14"/>
        <v>0</v>
      </c>
      <c r="L55" s="10">
        <f t="shared" ca="1" si="15"/>
        <v>0</v>
      </c>
      <c r="M55" s="10">
        <f t="shared" ca="1" si="16"/>
        <v>0</v>
      </c>
    </row>
    <row r="56" spans="5:13">
      <c r="E56" s="11" t="str">
        <f t="shared" ca="1" si="12"/>
        <v/>
      </c>
      <c r="H56" s="10">
        <f t="shared" si="13"/>
        <v>0</v>
      </c>
      <c r="K56" s="357">
        <f t="shared" si="14"/>
        <v>0</v>
      </c>
      <c r="L56" s="10">
        <f t="shared" ca="1" si="15"/>
        <v>0</v>
      </c>
      <c r="M56" s="10">
        <f t="shared" ca="1" si="16"/>
        <v>0</v>
      </c>
    </row>
    <row r="57" spans="5:13">
      <c r="E57" s="11" t="str">
        <f t="shared" ca="1" si="12"/>
        <v/>
      </c>
      <c r="H57" s="10">
        <f t="shared" si="13"/>
        <v>0</v>
      </c>
      <c r="K57" s="357">
        <f t="shared" si="14"/>
        <v>0</v>
      </c>
      <c r="L57" s="10">
        <f t="shared" ca="1" si="15"/>
        <v>0</v>
      </c>
      <c r="M57" s="10">
        <f t="shared" ca="1" si="16"/>
        <v>0</v>
      </c>
    </row>
    <row r="58" spans="5:13">
      <c r="E58" s="11" t="str">
        <f t="shared" ca="1" si="12"/>
        <v/>
      </c>
      <c r="H58" s="10">
        <f t="shared" si="13"/>
        <v>0</v>
      </c>
      <c r="K58" s="357">
        <f t="shared" si="14"/>
        <v>0</v>
      </c>
      <c r="L58" s="10">
        <f t="shared" ca="1" si="15"/>
        <v>0</v>
      </c>
      <c r="M58" s="10">
        <f t="shared" ca="1" si="16"/>
        <v>0</v>
      </c>
    </row>
    <row r="59" spans="5:13">
      <c r="E59" s="11" t="str">
        <f t="shared" ca="1" si="12"/>
        <v/>
      </c>
      <c r="H59" s="10">
        <f t="shared" si="13"/>
        <v>0</v>
      </c>
      <c r="K59" s="357">
        <f t="shared" si="14"/>
        <v>0</v>
      </c>
      <c r="L59" s="10">
        <f t="shared" ca="1" si="15"/>
        <v>0</v>
      </c>
      <c r="M59" s="10">
        <f t="shared" ca="1" si="16"/>
        <v>0</v>
      </c>
    </row>
    <row r="60" spans="5:13">
      <c r="E60" s="11" t="str">
        <f t="shared" ca="1" si="12"/>
        <v/>
      </c>
      <c r="H60" s="10">
        <f t="shared" si="13"/>
        <v>0</v>
      </c>
      <c r="K60" s="357">
        <f t="shared" si="14"/>
        <v>0</v>
      </c>
      <c r="L60" s="10">
        <f t="shared" ca="1" si="15"/>
        <v>0</v>
      </c>
      <c r="M60" s="10">
        <f t="shared" ca="1" si="16"/>
        <v>0</v>
      </c>
    </row>
    <row r="61" spans="5:13">
      <c r="E61" s="11" t="str">
        <f t="shared" ca="1" si="12"/>
        <v/>
      </c>
      <c r="H61" s="10">
        <f t="shared" si="13"/>
        <v>0</v>
      </c>
      <c r="K61" s="357">
        <f t="shared" si="14"/>
        <v>0</v>
      </c>
      <c r="L61" s="10">
        <f t="shared" ca="1" si="15"/>
        <v>0</v>
      </c>
      <c r="M61" s="10">
        <f t="shared" ca="1" si="16"/>
        <v>0</v>
      </c>
    </row>
    <row r="62" spans="5:13">
      <c r="E62" s="11" t="str">
        <f t="shared" ca="1" si="12"/>
        <v/>
      </c>
      <c r="H62" s="10">
        <f t="shared" si="13"/>
        <v>0</v>
      </c>
      <c r="K62" s="357">
        <f t="shared" si="14"/>
        <v>0</v>
      </c>
      <c r="L62" s="10">
        <f t="shared" ca="1" si="15"/>
        <v>0</v>
      </c>
      <c r="M62" s="10">
        <f t="shared" ca="1" si="16"/>
        <v>0</v>
      </c>
    </row>
    <row r="63" spans="5:13">
      <c r="E63" s="11" t="str">
        <f t="shared" ca="1" si="12"/>
        <v/>
      </c>
      <c r="H63" s="10">
        <f t="shared" si="13"/>
        <v>0</v>
      </c>
      <c r="K63" s="357">
        <f t="shared" si="14"/>
        <v>0</v>
      </c>
      <c r="L63" s="10">
        <f t="shared" ca="1" si="15"/>
        <v>0</v>
      </c>
      <c r="M63" s="10">
        <f t="shared" ca="1" si="16"/>
        <v>0</v>
      </c>
    </row>
    <row r="64" spans="5:13">
      <c r="E64" s="11" t="str">
        <f t="shared" ca="1" si="12"/>
        <v/>
      </c>
      <c r="H64" s="10">
        <f t="shared" si="13"/>
        <v>0</v>
      </c>
      <c r="K64" s="357">
        <f t="shared" si="14"/>
        <v>0</v>
      </c>
      <c r="L64" s="10">
        <f t="shared" ca="1" si="15"/>
        <v>0</v>
      </c>
      <c r="M64" s="10">
        <f t="shared" ca="1" si="16"/>
        <v>0</v>
      </c>
    </row>
    <row r="65" spans="5:13">
      <c r="E65" s="11" t="str">
        <f t="shared" ca="1" si="12"/>
        <v/>
      </c>
      <c r="H65" s="10">
        <f t="shared" si="13"/>
        <v>0</v>
      </c>
      <c r="K65" s="357">
        <f t="shared" si="14"/>
        <v>0</v>
      </c>
      <c r="L65" s="10">
        <f t="shared" ca="1" si="15"/>
        <v>0</v>
      </c>
      <c r="M65" s="10">
        <f t="shared" ca="1" si="16"/>
        <v>0</v>
      </c>
    </row>
    <row r="66" spans="5:13">
      <c r="E66" s="11" t="str">
        <f t="shared" ca="1" si="12"/>
        <v/>
      </c>
      <c r="H66" s="10">
        <f t="shared" si="13"/>
        <v>0</v>
      </c>
      <c r="K66" s="357">
        <f t="shared" si="14"/>
        <v>0</v>
      </c>
      <c r="L66" s="10">
        <f t="shared" ca="1" si="15"/>
        <v>0</v>
      </c>
      <c r="M66" s="10">
        <f t="shared" ca="1" si="16"/>
        <v>0</v>
      </c>
    </row>
    <row r="67" spans="5:13">
      <c r="E67" s="11" t="str">
        <f t="shared" ca="1" si="12"/>
        <v/>
      </c>
      <c r="H67" s="10">
        <f t="shared" si="13"/>
        <v>0</v>
      </c>
      <c r="K67" s="357">
        <f t="shared" si="14"/>
        <v>0</v>
      </c>
      <c r="L67" s="10">
        <f t="shared" ca="1" si="15"/>
        <v>0</v>
      </c>
      <c r="M67" s="10">
        <f t="shared" ca="1" si="16"/>
        <v>0</v>
      </c>
    </row>
    <row r="68" spans="5:13">
      <c r="E68" s="11" t="str">
        <f t="shared" ca="1" si="12"/>
        <v/>
      </c>
      <c r="H68" s="10">
        <f t="shared" si="13"/>
        <v>0</v>
      </c>
      <c r="K68" s="357">
        <f t="shared" si="14"/>
        <v>0</v>
      </c>
      <c r="L68" s="10">
        <f t="shared" ca="1" si="15"/>
        <v>0</v>
      </c>
      <c r="M68" s="10">
        <f t="shared" ca="1" si="16"/>
        <v>0</v>
      </c>
    </row>
    <row r="69" spans="5:13">
      <c r="E69" s="11" t="str">
        <f t="shared" ca="1" si="12"/>
        <v/>
      </c>
      <c r="H69" s="10">
        <f t="shared" si="13"/>
        <v>0</v>
      </c>
      <c r="K69" s="357">
        <f t="shared" si="14"/>
        <v>0</v>
      </c>
      <c r="L69" s="10">
        <f t="shared" ca="1" si="15"/>
        <v>0</v>
      </c>
      <c r="M69" s="10">
        <f t="shared" ca="1" si="16"/>
        <v>0</v>
      </c>
    </row>
    <row r="70" spans="5:13">
      <c r="E70" s="11" t="str">
        <f t="shared" ca="1" si="12"/>
        <v/>
      </c>
      <c r="H70" s="10">
        <f t="shared" si="13"/>
        <v>0</v>
      </c>
      <c r="K70" s="357">
        <f t="shared" si="14"/>
        <v>0</v>
      </c>
      <c r="L70" s="10">
        <f t="shared" ca="1" si="15"/>
        <v>0</v>
      </c>
      <c r="M70" s="10">
        <f t="shared" ca="1" si="16"/>
        <v>0</v>
      </c>
    </row>
    <row r="71" spans="5:13">
      <c r="E71" s="11" t="str">
        <f t="shared" ca="1" si="12"/>
        <v/>
      </c>
      <c r="H71" s="10">
        <f t="shared" si="13"/>
        <v>0</v>
      </c>
      <c r="K71" s="357">
        <f t="shared" si="14"/>
        <v>0</v>
      </c>
      <c r="L71" s="10">
        <f t="shared" ca="1" si="15"/>
        <v>0</v>
      </c>
      <c r="M71" s="10">
        <f t="shared" ca="1" si="16"/>
        <v>0</v>
      </c>
    </row>
    <row r="72" spans="5:13">
      <c r="E72" s="11" t="str">
        <f t="shared" ca="1" si="12"/>
        <v/>
      </c>
      <c r="H72" s="10">
        <f t="shared" si="13"/>
        <v>0</v>
      </c>
      <c r="K72" s="357">
        <f t="shared" si="14"/>
        <v>0</v>
      </c>
      <c r="L72" s="10">
        <f t="shared" ca="1" si="15"/>
        <v>0</v>
      </c>
      <c r="M72" s="10">
        <f t="shared" ca="1" si="16"/>
        <v>0</v>
      </c>
    </row>
    <row r="73" spans="5:13">
      <c r="E73" s="11" t="str">
        <f t="shared" ca="1" si="12"/>
        <v/>
      </c>
      <c r="H73" s="10">
        <f t="shared" si="13"/>
        <v>0</v>
      </c>
      <c r="K73" s="357">
        <f t="shared" si="14"/>
        <v>0</v>
      </c>
      <c r="L73" s="10">
        <f t="shared" ca="1" si="15"/>
        <v>0</v>
      </c>
      <c r="M73" s="10">
        <f t="shared" ca="1" si="16"/>
        <v>0</v>
      </c>
    </row>
    <row r="74" spans="5:13">
      <c r="E74" s="11" t="str">
        <f t="shared" ca="1" si="12"/>
        <v/>
      </c>
      <c r="H74" s="10">
        <f t="shared" si="13"/>
        <v>0</v>
      </c>
      <c r="K74" s="357">
        <f t="shared" si="14"/>
        <v>0</v>
      </c>
      <c r="L74" s="10">
        <f t="shared" ca="1" si="15"/>
        <v>0</v>
      </c>
      <c r="M74" s="10">
        <f t="shared" ca="1" si="16"/>
        <v>0</v>
      </c>
    </row>
    <row r="75" spans="5:13">
      <c r="E75" s="11" t="str">
        <f t="shared" ca="1" si="12"/>
        <v/>
      </c>
      <c r="H75" s="10">
        <f t="shared" si="13"/>
        <v>0</v>
      </c>
      <c r="K75" s="357">
        <f t="shared" si="14"/>
        <v>0</v>
      </c>
      <c r="L75" s="10">
        <f t="shared" ca="1" si="15"/>
        <v>0</v>
      </c>
      <c r="M75" s="10">
        <f t="shared" ca="1" si="16"/>
        <v>0</v>
      </c>
    </row>
    <row r="76" spans="5:13">
      <c r="E76" s="11" t="str">
        <f t="shared" ca="1" si="12"/>
        <v/>
      </c>
      <c r="H76" s="10">
        <f t="shared" si="13"/>
        <v>0</v>
      </c>
      <c r="K76" s="357">
        <f t="shared" si="14"/>
        <v>0</v>
      </c>
      <c r="L76" s="10">
        <f t="shared" ca="1" si="15"/>
        <v>0</v>
      </c>
      <c r="M76" s="10">
        <f t="shared" ca="1" si="16"/>
        <v>0</v>
      </c>
    </row>
    <row r="77" spans="5:13">
      <c r="E77" s="11" t="str">
        <f t="shared" ca="1" si="12"/>
        <v/>
      </c>
      <c r="H77" s="10">
        <f t="shared" si="13"/>
        <v>0</v>
      </c>
      <c r="K77" s="357">
        <f t="shared" si="14"/>
        <v>0</v>
      </c>
      <c r="L77" s="10">
        <f t="shared" ca="1" si="15"/>
        <v>0</v>
      </c>
      <c r="M77" s="10">
        <f t="shared" ca="1" si="16"/>
        <v>0</v>
      </c>
    </row>
    <row r="78" spans="5:13">
      <c r="E78" s="11" t="str">
        <f t="shared" ca="1" si="12"/>
        <v/>
      </c>
      <c r="H78" s="10">
        <f t="shared" si="13"/>
        <v>0</v>
      </c>
      <c r="K78" s="357">
        <f t="shared" si="14"/>
        <v>0</v>
      </c>
      <c r="L78" s="10">
        <f t="shared" ca="1" si="15"/>
        <v>0</v>
      </c>
      <c r="M78" s="10">
        <f t="shared" ca="1" si="16"/>
        <v>0</v>
      </c>
    </row>
    <row r="79" spans="5:13">
      <c r="E79" s="11" t="str">
        <f t="shared" ca="1" si="12"/>
        <v/>
      </c>
      <c r="H79" s="10">
        <f t="shared" si="13"/>
        <v>0</v>
      </c>
      <c r="K79" s="357">
        <f t="shared" si="14"/>
        <v>0</v>
      </c>
      <c r="L79" s="10">
        <f t="shared" ca="1" si="15"/>
        <v>0</v>
      </c>
      <c r="M79" s="10">
        <f t="shared" ca="1" si="16"/>
        <v>0</v>
      </c>
    </row>
    <row r="80" spans="5:13">
      <c r="E80" s="11" t="str">
        <f t="shared" ca="1" si="12"/>
        <v/>
      </c>
      <c r="H80" s="10">
        <f t="shared" si="13"/>
        <v>0</v>
      </c>
      <c r="K80" s="357">
        <f t="shared" si="14"/>
        <v>0</v>
      </c>
      <c r="L80" s="10">
        <f t="shared" ca="1" si="15"/>
        <v>0</v>
      </c>
      <c r="M80" s="10">
        <f t="shared" ca="1" si="16"/>
        <v>0</v>
      </c>
    </row>
    <row r="81" spans="5:13">
      <c r="E81" s="11" t="str">
        <f t="shared" ca="1" si="12"/>
        <v/>
      </c>
      <c r="H81" s="10">
        <f t="shared" si="13"/>
        <v>0</v>
      </c>
      <c r="K81" s="357">
        <f t="shared" si="14"/>
        <v>0</v>
      </c>
      <c r="L81" s="10">
        <f t="shared" ca="1" si="15"/>
        <v>0</v>
      </c>
      <c r="M81" s="10">
        <f t="shared" ca="1" si="16"/>
        <v>0</v>
      </c>
    </row>
    <row r="82" spans="5:13">
      <c r="E82" s="11" t="str">
        <f t="shared" ref="E82:E113" ca="1" si="17">IF(J82="", "", IF(J82&lt;=TODAY()+7, "Alta", IF(J82&lt;=TODAY()+14, "Media", "Baja")))</f>
        <v/>
      </c>
      <c r="H82" s="10">
        <f t="shared" ref="H82:H113" si="18">IF(F82="Aprobado / Terminado", 1, IF(F82="En Revisión / MEL", 0.9, IF(F82="En Proceso", 0.5, 0)))</f>
        <v>0</v>
      </c>
      <c r="K82" s="357">
        <f t="shared" ref="K82:K113" si="19">IF(OR(I82="", J82=""), 0, NETWORKDAYS(I82, J82))</f>
        <v>0</v>
      </c>
      <c r="L82" s="10">
        <f t="shared" ref="L82:L113" ca="1" si="20">IF(OR(I82="", J82=""), 0, IF(TODAY()&gt;=J82, 1, IF(TODAY()&lt;=I82, 0, NETWORKDAYS(I82, TODAY()) / NETWORKDAYS(I82, J82))))</f>
        <v>0</v>
      </c>
      <c r="M82" s="10">
        <f t="shared" ref="M82:M113" ca="1" si="21">IF(OR(H82="", L82=""), "", H82 - L82)</f>
        <v>0</v>
      </c>
    </row>
    <row r="83" spans="5:13">
      <c r="E83" s="11" t="str">
        <f t="shared" ca="1" si="17"/>
        <v/>
      </c>
      <c r="H83" s="10">
        <f t="shared" si="18"/>
        <v>0</v>
      </c>
      <c r="K83" s="357">
        <f t="shared" si="19"/>
        <v>0</v>
      </c>
      <c r="L83" s="10">
        <f t="shared" ca="1" si="20"/>
        <v>0</v>
      </c>
      <c r="M83" s="10">
        <f t="shared" ca="1" si="21"/>
        <v>0</v>
      </c>
    </row>
    <row r="84" spans="5:13">
      <c r="E84" s="11" t="str">
        <f t="shared" ca="1" si="17"/>
        <v/>
      </c>
      <c r="H84" s="10">
        <f t="shared" si="18"/>
        <v>0</v>
      </c>
      <c r="K84" s="357">
        <f t="shared" si="19"/>
        <v>0</v>
      </c>
      <c r="L84" s="10">
        <f t="shared" ca="1" si="20"/>
        <v>0</v>
      </c>
      <c r="M84" s="10">
        <f t="shared" ca="1" si="21"/>
        <v>0</v>
      </c>
    </row>
    <row r="85" spans="5:13">
      <c r="E85" s="11" t="str">
        <f t="shared" ca="1" si="17"/>
        <v/>
      </c>
      <c r="H85" s="10">
        <f t="shared" si="18"/>
        <v>0</v>
      </c>
      <c r="K85" s="357">
        <f t="shared" si="19"/>
        <v>0</v>
      </c>
      <c r="L85" s="10">
        <f t="shared" ca="1" si="20"/>
        <v>0</v>
      </c>
      <c r="M85" s="10">
        <f t="shared" ca="1" si="21"/>
        <v>0</v>
      </c>
    </row>
    <row r="86" spans="5:13">
      <c r="E86" s="11" t="str">
        <f t="shared" ca="1" si="17"/>
        <v/>
      </c>
      <c r="H86" s="10">
        <f t="shared" si="18"/>
        <v>0</v>
      </c>
      <c r="K86" s="357">
        <f t="shared" si="19"/>
        <v>0</v>
      </c>
      <c r="L86" s="10">
        <f t="shared" ca="1" si="20"/>
        <v>0</v>
      </c>
      <c r="M86" s="10">
        <f t="shared" ca="1" si="21"/>
        <v>0</v>
      </c>
    </row>
    <row r="87" spans="5:13">
      <c r="E87" s="11" t="str">
        <f t="shared" ca="1" si="17"/>
        <v/>
      </c>
      <c r="H87" s="10">
        <f t="shared" si="18"/>
        <v>0</v>
      </c>
      <c r="K87" s="357">
        <f t="shared" si="19"/>
        <v>0</v>
      </c>
      <c r="L87" s="10">
        <f t="shared" ca="1" si="20"/>
        <v>0</v>
      </c>
      <c r="M87" s="10">
        <f t="shared" ca="1" si="21"/>
        <v>0</v>
      </c>
    </row>
    <row r="88" spans="5:13">
      <c r="E88" s="11" t="str">
        <f t="shared" ca="1" si="17"/>
        <v/>
      </c>
      <c r="H88" s="10">
        <f t="shared" si="18"/>
        <v>0</v>
      </c>
      <c r="K88" s="357">
        <f t="shared" si="19"/>
        <v>0</v>
      </c>
      <c r="L88" s="10">
        <f t="shared" ca="1" si="20"/>
        <v>0</v>
      </c>
      <c r="M88" s="10">
        <f t="shared" ca="1" si="21"/>
        <v>0</v>
      </c>
    </row>
    <row r="89" spans="5:13">
      <c r="E89" s="11" t="str">
        <f t="shared" ca="1" si="17"/>
        <v/>
      </c>
      <c r="H89" s="10">
        <f t="shared" si="18"/>
        <v>0</v>
      </c>
      <c r="K89" s="357">
        <f t="shared" si="19"/>
        <v>0</v>
      </c>
      <c r="L89" s="10">
        <f t="shared" ca="1" si="20"/>
        <v>0</v>
      </c>
      <c r="M89" s="10">
        <f t="shared" ca="1" si="21"/>
        <v>0</v>
      </c>
    </row>
    <row r="90" spans="5:13">
      <c r="E90" s="11" t="str">
        <f t="shared" ca="1" si="17"/>
        <v/>
      </c>
      <c r="H90" s="10">
        <f t="shared" si="18"/>
        <v>0</v>
      </c>
      <c r="K90" s="357">
        <f t="shared" si="19"/>
        <v>0</v>
      </c>
      <c r="L90" s="10">
        <f t="shared" ca="1" si="20"/>
        <v>0</v>
      </c>
      <c r="M90" s="10">
        <f t="shared" ca="1" si="21"/>
        <v>0</v>
      </c>
    </row>
    <row r="91" spans="5:13">
      <c r="E91" s="11" t="str">
        <f t="shared" ca="1" si="17"/>
        <v/>
      </c>
      <c r="H91" s="10">
        <f t="shared" si="18"/>
        <v>0</v>
      </c>
      <c r="K91" s="357">
        <f t="shared" si="19"/>
        <v>0</v>
      </c>
      <c r="L91" s="10">
        <f t="shared" ca="1" si="20"/>
        <v>0</v>
      </c>
      <c r="M91" s="10">
        <f t="shared" ca="1" si="21"/>
        <v>0</v>
      </c>
    </row>
    <row r="92" spans="5:13">
      <c r="E92" s="11" t="str">
        <f t="shared" ca="1" si="17"/>
        <v/>
      </c>
      <c r="H92" s="10">
        <f t="shared" si="18"/>
        <v>0</v>
      </c>
      <c r="K92" s="357">
        <f t="shared" si="19"/>
        <v>0</v>
      </c>
      <c r="L92" s="10">
        <f t="shared" ca="1" si="20"/>
        <v>0</v>
      </c>
      <c r="M92" s="10">
        <f t="shared" ca="1" si="21"/>
        <v>0</v>
      </c>
    </row>
    <row r="93" spans="5:13">
      <c r="E93" s="11" t="str">
        <f t="shared" ca="1" si="17"/>
        <v/>
      </c>
      <c r="H93" s="10">
        <f t="shared" si="18"/>
        <v>0</v>
      </c>
      <c r="K93" s="357">
        <f t="shared" si="19"/>
        <v>0</v>
      </c>
      <c r="L93" s="10">
        <f t="shared" ca="1" si="20"/>
        <v>0</v>
      </c>
      <c r="M93" s="10">
        <f t="shared" ca="1" si="21"/>
        <v>0</v>
      </c>
    </row>
    <row r="94" spans="5:13">
      <c r="E94" s="11" t="str">
        <f t="shared" ca="1" si="17"/>
        <v/>
      </c>
      <c r="H94" s="10">
        <f t="shared" si="18"/>
        <v>0</v>
      </c>
      <c r="K94" s="357">
        <f t="shared" si="19"/>
        <v>0</v>
      </c>
      <c r="L94" s="10">
        <f t="shared" ca="1" si="20"/>
        <v>0</v>
      </c>
      <c r="M94" s="10">
        <f t="shared" ca="1" si="21"/>
        <v>0</v>
      </c>
    </row>
    <row r="95" spans="5:13">
      <c r="E95" s="11" t="str">
        <f t="shared" ca="1" si="17"/>
        <v/>
      </c>
      <c r="H95" s="10">
        <f t="shared" si="18"/>
        <v>0</v>
      </c>
      <c r="K95" s="357">
        <f t="shared" si="19"/>
        <v>0</v>
      </c>
      <c r="L95" s="10">
        <f t="shared" ca="1" si="20"/>
        <v>0</v>
      </c>
      <c r="M95" s="10">
        <f t="shared" ca="1" si="21"/>
        <v>0</v>
      </c>
    </row>
    <row r="96" spans="5:13">
      <c r="E96" s="11" t="str">
        <f t="shared" ca="1" si="17"/>
        <v/>
      </c>
      <c r="H96" s="10">
        <f t="shared" si="18"/>
        <v>0</v>
      </c>
      <c r="K96" s="357">
        <f t="shared" si="19"/>
        <v>0</v>
      </c>
      <c r="L96" s="10">
        <f t="shared" ca="1" si="20"/>
        <v>0</v>
      </c>
      <c r="M96" s="10">
        <f t="shared" ca="1" si="21"/>
        <v>0</v>
      </c>
    </row>
    <row r="97" spans="5:13">
      <c r="E97" s="11" t="str">
        <f t="shared" ca="1" si="17"/>
        <v/>
      </c>
      <c r="H97" s="10">
        <f t="shared" si="18"/>
        <v>0</v>
      </c>
      <c r="K97" s="357">
        <f t="shared" si="19"/>
        <v>0</v>
      </c>
      <c r="L97" s="10">
        <f t="shared" ca="1" si="20"/>
        <v>0</v>
      </c>
      <c r="M97" s="10">
        <f t="shared" ca="1" si="21"/>
        <v>0</v>
      </c>
    </row>
    <row r="98" spans="5:13">
      <c r="E98" s="11" t="str">
        <f t="shared" ca="1" si="17"/>
        <v/>
      </c>
      <c r="H98" s="10">
        <f t="shared" si="18"/>
        <v>0</v>
      </c>
      <c r="K98" s="357">
        <f t="shared" si="19"/>
        <v>0</v>
      </c>
      <c r="L98" s="10">
        <f t="shared" ca="1" si="20"/>
        <v>0</v>
      </c>
      <c r="M98" s="10">
        <f t="shared" ca="1" si="21"/>
        <v>0</v>
      </c>
    </row>
    <row r="99" spans="5:13">
      <c r="E99" s="11" t="str">
        <f t="shared" ca="1" si="17"/>
        <v/>
      </c>
      <c r="H99" s="10">
        <f t="shared" si="18"/>
        <v>0</v>
      </c>
      <c r="K99" s="357">
        <f t="shared" si="19"/>
        <v>0</v>
      </c>
      <c r="L99" s="10">
        <f t="shared" ca="1" si="20"/>
        <v>0</v>
      </c>
      <c r="M99" s="10">
        <f t="shared" ca="1" si="21"/>
        <v>0</v>
      </c>
    </row>
    <row r="100" spans="5:13">
      <c r="E100" s="11" t="str">
        <f t="shared" ca="1" si="17"/>
        <v/>
      </c>
      <c r="H100" s="10">
        <f t="shared" si="18"/>
        <v>0</v>
      </c>
      <c r="K100" s="357">
        <f t="shared" si="19"/>
        <v>0</v>
      </c>
      <c r="L100" s="10">
        <f t="shared" ca="1" si="20"/>
        <v>0</v>
      </c>
      <c r="M100" s="10">
        <f t="shared" ca="1" si="21"/>
        <v>0</v>
      </c>
    </row>
    <row r="101" spans="5:13">
      <c r="E101" s="11" t="str">
        <f t="shared" ca="1" si="17"/>
        <v/>
      </c>
      <c r="H101" s="10">
        <f t="shared" si="18"/>
        <v>0</v>
      </c>
      <c r="K101" s="357">
        <f t="shared" si="19"/>
        <v>0</v>
      </c>
      <c r="L101" s="10">
        <f t="shared" ca="1" si="20"/>
        <v>0</v>
      </c>
      <c r="M101" s="10">
        <f t="shared" ca="1" si="21"/>
        <v>0</v>
      </c>
    </row>
    <row r="102" spans="5:13">
      <c r="E102" s="11" t="str">
        <f t="shared" ca="1" si="17"/>
        <v/>
      </c>
      <c r="H102" s="10">
        <f t="shared" si="18"/>
        <v>0</v>
      </c>
      <c r="K102" s="357">
        <f t="shared" si="19"/>
        <v>0</v>
      </c>
      <c r="L102" s="10">
        <f t="shared" ca="1" si="20"/>
        <v>0</v>
      </c>
      <c r="M102" s="10">
        <f t="shared" ca="1" si="21"/>
        <v>0</v>
      </c>
    </row>
    <row r="103" spans="5:13">
      <c r="E103" s="11" t="str">
        <f t="shared" ca="1" si="17"/>
        <v/>
      </c>
      <c r="H103" s="10">
        <f t="shared" si="18"/>
        <v>0</v>
      </c>
      <c r="K103" s="357">
        <f t="shared" si="19"/>
        <v>0</v>
      </c>
      <c r="L103" s="10">
        <f t="shared" ca="1" si="20"/>
        <v>0</v>
      </c>
      <c r="M103" s="10">
        <f t="shared" ca="1" si="21"/>
        <v>0</v>
      </c>
    </row>
    <row r="104" spans="5:13">
      <c r="E104" s="11" t="str">
        <f t="shared" ca="1" si="17"/>
        <v/>
      </c>
      <c r="H104" s="10">
        <f t="shared" si="18"/>
        <v>0</v>
      </c>
      <c r="K104" s="357">
        <f t="shared" si="19"/>
        <v>0</v>
      </c>
      <c r="L104" s="10">
        <f t="shared" ca="1" si="20"/>
        <v>0</v>
      </c>
      <c r="M104" s="10">
        <f t="shared" ca="1" si="21"/>
        <v>0</v>
      </c>
    </row>
    <row r="105" spans="5:13">
      <c r="E105" s="11" t="str">
        <f t="shared" ca="1" si="17"/>
        <v/>
      </c>
      <c r="H105" s="10">
        <f t="shared" si="18"/>
        <v>0</v>
      </c>
      <c r="K105" s="357">
        <f t="shared" si="19"/>
        <v>0</v>
      </c>
      <c r="L105" s="10">
        <f t="shared" ca="1" si="20"/>
        <v>0</v>
      </c>
      <c r="M105" s="10">
        <f t="shared" ca="1" si="21"/>
        <v>0</v>
      </c>
    </row>
    <row r="106" spans="5:13">
      <c r="E106" s="11" t="str">
        <f t="shared" ca="1" si="17"/>
        <v/>
      </c>
      <c r="H106" s="10">
        <f t="shared" si="18"/>
        <v>0</v>
      </c>
      <c r="K106" s="357">
        <f t="shared" si="19"/>
        <v>0</v>
      </c>
      <c r="L106" s="10">
        <f t="shared" ca="1" si="20"/>
        <v>0</v>
      </c>
      <c r="M106" s="10">
        <f t="shared" ca="1" si="21"/>
        <v>0</v>
      </c>
    </row>
    <row r="107" spans="5:13">
      <c r="E107" s="11" t="str">
        <f t="shared" ca="1" si="17"/>
        <v/>
      </c>
      <c r="H107" s="10">
        <f t="shared" si="18"/>
        <v>0</v>
      </c>
      <c r="K107" s="357">
        <f t="shared" si="19"/>
        <v>0</v>
      </c>
      <c r="L107" s="10">
        <f t="shared" ca="1" si="20"/>
        <v>0</v>
      </c>
      <c r="M107" s="10">
        <f t="shared" ca="1" si="21"/>
        <v>0</v>
      </c>
    </row>
    <row r="108" spans="5:13">
      <c r="E108" s="11" t="str">
        <f t="shared" ca="1" si="17"/>
        <v/>
      </c>
      <c r="H108" s="10">
        <f t="shared" si="18"/>
        <v>0</v>
      </c>
      <c r="K108" s="357">
        <f t="shared" si="19"/>
        <v>0</v>
      </c>
      <c r="L108" s="10">
        <f t="shared" ca="1" si="20"/>
        <v>0</v>
      </c>
      <c r="M108" s="10">
        <f t="shared" ca="1" si="21"/>
        <v>0</v>
      </c>
    </row>
    <row r="109" spans="5:13">
      <c r="E109" s="11" t="str">
        <f t="shared" ca="1" si="17"/>
        <v/>
      </c>
      <c r="H109" s="10">
        <f t="shared" si="18"/>
        <v>0</v>
      </c>
      <c r="K109" s="357">
        <f t="shared" si="19"/>
        <v>0</v>
      </c>
      <c r="L109" s="10">
        <f t="shared" ca="1" si="20"/>
        <v>0</v>
      </c>
      <c r="M109" s="10">
        <f t="shared" ca="1" si="21"/>
        <v>0</v>
      </c>
    </row>
    <row r="110" spans="5:13">
      <c r="E110" s="11" t="str">
        <f t="shared" ca="1" si="17"/>
        <v/>
      </c>
      <c r="H110" s="10">
        <f t="shared" si="18"/>
        <v>0</v>
      </c>
      <c r="K110" s="357">
        <f t="shared" si="19"/>
        <v>0</v>
      </c>
      <c r="L110" s="10">
        <f t="shared" ca="1" si="20"/>
        <v>0</v>
      </c>
      <c r="M110" s="10">
        <f t="shared" ca="1" si="21"/>
        <v>0</v>
      </c>
    </row>
    <row r="111" spans="5:13">
      <c r="E111" s="11" t="str">
        <f t="shared" ca="1" si="17"/>
        <v/>
      </c>
      <c r="H111" s="10">
        <f t="shared" si="18"/>
        <v>0</v>
      </c>
      <c r="K111" s="357">
        <f t="shared" si="19"/>
        <v>0</v>
      </c>
      <c r="L111" s="10">
        <f t="shared" ca="1" si="20"/>
        <v>0</v>
      </c>
      <c r="M111" s="10">
        <f t="shared" ca="1" si="21"/>
        <v>0</v>
      </c>
    </row>
    <row r="112" spans="5:13">
      <c r="E112" s="11" t="str">
        <f t="shared" ca="1" si="17"/>
        <v/>
      </c>
      <c r="H112" s="10">
        <f t="shared" si="18"/>
        <v>0</v>
      </c>
      <c r="K112" s="357">
        <f t="shared" si="19"/>
        <v>0</v>
      </c>
      <c r="L112" s="10">
        <f t="shared" ca="1" si="20"/>
        <v>0</v>
      </c>
      <c r="M112" s="10">
        <f t="shared" ca="1" si="21"/>
        <v>0</v>
      </c>
    </row>
    <row r="113" spans="5:13">
      <c r="E113" s="11" t="str">
        <f t="shared" ca="1" si="17"/>
        <v/>
      </c>
      <c r="H113" s="10">
        <f t="shared" si="18"/>
        <v>0</v>
      </c>
      <c r="K113" s="357">
        <f t="shared" si="19"/>
        <v>0</v>
      </c>
      <c r="L113" s="10">
        <f t="shared" ca="1" si="20"/>
        <v>0</v>
      </c>
      <c r="M113" s="10">
        <f t="shared" ca="1" si="21"/>
        <v>0</v>
      </c>
    </row>
    <row r="114" spans="5:13">
      <c r="E114" s="11" t="str">
        <f t="shared" ref="E114:E124" ca="1" si="22">IF(J114="", "", IF(J114&lt;=TODAY()+7, "Alta", IF(J114&lt;=TODAY()+14, "Media", "Baja")))</f>
        <v/>
      </c>
      <c r="H114" s="10">
        <f t="shared" ref="H114:H124" si="23">IF(F114="Aprobado / Terminado", 1, IF(F114="En Revisión / MEL", 0.9, IF(F114="En Proceso", 0.5, 0)))</f>
        <v>0</v>
      </c>
      <c r="K114" s="357">
        <f t="shared" ref="K114:K124" si="24">IF(OR(I114="", J114=""), 0, NETWORKDAYS(I114, J114))</f>
        <v>0</v>
      </c>
      <c r="L114" s="10">
        <f t="shared" ref="L114:L124" ca="1" si="25">IF(OR(I114="", J114=""), 0, IF(TODAY()&gt;=J114, 1, IF(TODAY()&lt;=I114, 0, NETWORKDAYS(I114, TODAY()) / NETWORKDAYS(I114, J114))))</f>
        <v>0</v>
      </c>
      <c r="M114" s="10">
        <f t="shared" ref="M114:M124" ca="1" si="26">IF(OR(H114="", L114=""), "", H114 - L114)</f>
        <v>0</v>
      </c>
    </row>
    <row r="115" spans="5:13">
      <c r="E115" s="11" t="str">
        <f t="shared" ca="1" si="22"/>
        <v/>
      </c>
      <c r="H115" s="10">
        <f t="shared" si="23"/>
        <v>0</v>
      </c>
      <c r="K115" s="357">
        <f t="shared" si="24"/>
        <v>0</v>
      </c>
      <c r="L115" s="10">
        <f t="shared" ca="1" si="25"/>
        <v>0</v>
      </c>
      <c r="M115" s="10">
        <f t="shared" ca="1" si="26"/>
        <v>0</v>
      </c>
    </row>
    <row r="116" spans="5:13">
      <c r="E116" s="11" t="str">
        <f t="shared" ca="1" si="22"/>
        <v/>
      </c>
      <c r="H116" s="10">
        <f t="shared" si="23"/>
        <v>0</v>
      </c>
      <c r="K116" s="357">
        <f t="shared" si="24"/>
        <v>0</v>
      </c>
      <c r="L116" s="10">
        <f t="shared" ca="1" si="25"/>
        <v>0</v>
      </c>
      <c r="M116" s="10">
        <f t="shared" ca="1" si="26"/>
        <v>0</v>
      </c>
    </row>
    <row r="117" spans="5:13">
      <c r="E117" s="11" t="str">
        <f t="shared" ca="1" si="22"/>
        <v/>
      </c>
      <c r="H117" s="10">
        <f t="shared" si="23"/>
        <v>0</v>
      </c>
      <c r="K117" s="357">
        <f t="shared" si="24"/>
        <v>0</v>
      </c>
      <c r="L117" s="10">
        <f t="shared" ca="1" si="25"/>
        <v>0</v>
      </c>
      <c r="M117" s="10">
        <f t="shared" ca="1" si="26"/>
        <v>0</v>
      </c>
    </row>
    <row r="118" spans="5:13">
      <c r="E118" s="11" t="str">
        <f t="shared" ca="1" si="22"/>
        <v/>
      </c>
      <c r="H118" s="10">
        <f t="shared" si="23"/>
        <v>0</v>
      </c>
      <c r="K118" s="357">
        <f t="shared" si="24"/>
        <v>0</v>
      </c>
      <c r="L118" s="10">
        <f t="shared" ca="1" si="25"/>
        <v>0</v>
      </c>
      <c r="M118" s="10">
        <f t="shared" ca="1" si="26"/>
        <v>0</v>
      </c>
    </row>
    <row r="119" spans="5:13">
      <c r="E119" s="11" t="str">
        <f t="shared" ca="1" si="22"/>
        <v/>
      </c>
      <c r="H119" s="10">
        <f t="shared" si="23"/>
        <v>0</v>
      </c>
      <c r="K119" s="357">
        <f t="shared" si="24"/>
        <v>0</v>
      </c>
      <c r="L119" s="10">
        <f t="shared" ca="1" si="25"/>
        <v>0</v>
      </c>
      <c r="M119" s="10">
        <f t="shared" ca="1" si="26"/>
        <v>0</v>
      </c>
    </row>
    <row r="120" spans="5:13">
      <c r="E120" s="11" t="str">
        <f t="shared" ca="1" si="22"/>
        <v/>
      </c>
      <c r="H120" s="10">
        <f t="shared" si="23"/>
        <v>0</v>
      </c>
      <c r="K120" s="357">
        <f t="shared" si="24"/>
        <v>0</v>
      </c>
      <c r="L120" s="10">
        <f t="shared" ca="1" si="25"/>
        <v>0</v>
      </c>
      <c r="M120" s="10">
        <f t="shared" ca="1" si="26"/>
        <v>0</v>
      </c>
    </row>
    <row r="121" spans="5:13">
      <c r="E121" s="11" t="str">
        <f t="shared" ca="1" si="22"/>
        <v/>
      </c>
      <c r="H121" s="10">
        <f t="shared" si="23"/>
        <v>0</v>
      </c>
      <c r="K121" s="357">
        <f t="shared" si="24"/>
        <v>0</v>
      </c>
      <c r="L121" s="10">
        <f t="shared" ca="1" si="25"/>
        <v>0</v>
      </c>
      <c r="M121" s="10">
        <f t="shared" ca="1" si="26"/>
        <v>0</v>
      </c>
    </row>
    <row r="122" spans="5:13">
      <c r="E122" s="11" t="str">
        <f t="shared" ca="1" si="22"/>
        <v/>
      </c>
      <c r="H122" s="10">
        <f t="shared" si="23"/>
        <v>0</v>
      </c>
      <c r="K122" s="357">
        <f t="shared" si="24"/>
        <v>0</v>
      </c>
      <c r="L122" s="10">
        <f t="shared" ca="1" si="25"/>
        <v>0</v>
      </c>
      <c r="M122" s="10">
        <f t="shared" ca="1" si="26"/>
        <v>0</v>
      </c>
    </row>
    <row r="123" spans="5:13">
      <c r="E123" s="11" t="str">
        <f t="shared" ca="1" si="22"/>
        <v/>
      </c>
      <c r="H123" s="10">
        <f t="shared" si="23"/>
        <v>0</v>
      </c>
      <c r="K123" s="357">
        <f t="shared" si="24"/>
        <v>0</v>
      </c>
      <c r="L123" s="10">
        <f t="shared" ca="1" si="25"/>
        <v>0</v>
      </c>
      <c r="M123" s="10">
        <f t="shared" ca="1" si="26"/>
        <v>0</v>
      </c>
    </row>
    <row r="124" spans="5:13">
      <c r="E124" s="11" t="str">
        <f t="shared" ca="1" si="22"/>
        <v/>
      </c>
      <c r="H124" s="10">
        <f t="shared" si="23"/>
        <v>0</v>
      </c>
      <c r="K124" s="357">
        <f t="shared" si="24"/>
        <v>0</v>
      </c>
      <c r="L124" s="10">
        <f t="shared" ca="1" si="25"/>
        <v>0</v>
      </c>
      <c r="M124" s="10">
        <f t="shared" ca="1" si="26"/>
        <v>0</v>
      </c>
    </row>
  </sheetData>
  <phoneticPr fontId="1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96ABED-3FA6-48C4-8DA9-969D74098B8F}">
          <x14:formula1>
            <xm:f>Listas!$F$2:$F$19</xm:f>
          </x14:formula1>
          <xm:sqref>D9:D19 D2:D7</xm:sqref>
        </x14:dataValidation>
        <x14:dataValidation type="list" allowBlank="1" showInputMessage="1" showErrorMessage="1" xr:uid="{F5E539D9-BD93-4E8A-8781-057C85A98E09}">
          <x14:formula1>
            <xm:f>Listas!$D$2:$D$6</xm:f>
          </x14:formula1>
          <xm:sqref>F2:F42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K37"/>
  <sheetViews>
    <sheetView showGridLines="0" zoomScaleNormal="100" zoomScaleSheetLayoutView="85" workbookViewId="0">
      <pane ySplit="6" topLeftCell="A7" activePane="bottomLeft" state="frozen"/>
      <selection pane="bottomLeft" activeCell="D13" sqref="D12:D13"/>
    </sheetView>
  </sheetViews>
  <sheetFormatPr baseColWidth="10" defaultColWidth="11.453125" defaultRowHeight="14.5"/>
  <cols>
    <col min="1" max="1" width="9.26953125" style="7" bestFit="1" customWidth="1"/>
    <col min="2" max="2" width="9.26953125" style="7" customWidth="1"/>
    <col min="3" max="3" width="60.26953125" style="7" customWidth="1"/>
    <col min="4" max="4" width="10.453125" style="7" customWidth="1"/>
    <col min="5" max="5" width="9.90625" style="7" customWidth="1"/>
    <col min="6" max="6" width="11.453125" style="7" customWidth="1"/>
    <col min="7" max="7" width="12.90625" style="7" customWidth="1"/>
    <col min="8" max="8" width="9.453125" style="7" customWidth="1"/>
    <col min="9" max="9" width="12.453125" style="7" bestFit="1" customWidth="1"/>
    <col min="10" max="10" width="14.54296875" style="7" customWidth="1"/>
    <col min="11" max="11" width="5.26953125" style="7" bestFit="1" customWidth="1"/>
    <col min="12" max="12" width="3.54296875" customWidth="1"/>
  </cols>
  <sheetData>
    <row r="2" spans="1:11" ht="28.5" customHeight="1">
      <c r="A2" s="493" t="s">
        <v>612</v>
      </c>
      <c r="B2" s="492"/>
      <c r="C2" s="492"/>
      <c r="D2" s="492"/>
      <c r="E2" s="492"/>
      <c r="F2" s="492"/>
      <c r="G2" s="492"/>
      <c r="H2" s="492"/>
      <c r="I2" s="492"/>
    </row>
    <row r="3" spans="1:11" ht="23.5" customHeight="1">
      <c r="A3" s="491" t="s">
        <v>613</v>
      </c>
      <c r="B3" s="492"/>
      <c r="C3" s="492"/>
      <c r="D3" s="492"/>
      <c r="E3" s="492"/>
      <c r="F3" s="492"/>
      <c r="G3" s="492"/>
      <c r="H3" s="492"/>
      <c r="I3" s="492"/>
    </row>
    <row r="4" spans="1:11" ht="23.5" customHeight="1">
      <c r="A4" s="491" t="s">
        <v>614</v>
      </c>
      <c r="B4" s="492"/>
      <c r="C4" s="492"/>
      <c r="D4" s="492"/>
      <c r="E4" s="492"/>
      <c r="F4" s="492"/>
      <c r="G4" s="492"/>
      <c r="H4" s="492"/>
      <c r="I4" s="492"/>
    </row>
    <row r="5" spans="1:11" s="14" customFormat="1" ht="18.5" customHeight="1">
      <c r="A5" s="13"/>
      <c r="B5" s="13"/>
      <c r="C5" s="13"/>
      <c r="D5" s="13"/>
      <c r="E5" s="13"/>
      <c r="F5" s="13"/>
      <c r="G5" s="13"/>
      <c r="I5" s="15"/>
      <c r="J5" s="15"/>
      <c r="K5" s="15"/>
    </row>
    <row r="6" spans="1:11" s="22" customFormat="1" ht="30" customHeight="1">
      <c r="A6" s="73" t="s">
        <v>485</v>
      </c>
      <c r="B6" s="73" t="s">
        <v>486</v>
      </c>
      <c r="C6" s="73" t="s">
        <v>615</v>
      </c>
      <c r="D6" s="73" t="s">
        <v>616</v>
      </c>
      <c r="E6" s="73" t="s">
        <v>617</v>
      </c>
      <c r="F6" s="73" t="s">
        <v>618</v>
      </c>
      <c r="G6" s="73" t="s">
        <v>619</v>
      </c>
      <c r="H6" s="73" t="s">
        <v>620</v>
      </c>
      <c r="I6" s="73" t="s">
        <v>621</v>
      </c>
      <c r="J6" s="73" t="s">
        <v>622</v>
      </c>
      <c r="K6" s="73" t="s">
        <v>623</v>
      </c>
    </row>
    <row r="7" spans="1:11">
      <c r="A7" s="25" t="s">
        <v>624</v>
      </c>
      <c r="B7" s="25" t="s">
        <v>625</v>
      </c>
      <c r="C7" s="24" t="s">
        <v>626</v>
      </c>
      <c r="D7" s="25">
        <v>0</v>
      </c>
      <c r="E7" s="25">
        <v>0</v>
      </c>
      <c r="F7" s="26">
        <v>45950</v>
      </c>
      <c r="G7" s="26">
        <v>45950</v>
      </c>
      <c r="H7" s="25">
        <v>0</v>
      </c>
      <c r="I7" s="27">
        <v>1</v>
      </c>
      <c r="J7" s="25" t="s">
        <v>627</v>
      </c>
      <c r="K7" s="28"/>
    </row>
    <row r="8" spans="1:11">
      <c r="A8" s="25" t="s">
        <v>628</v>
      </c>
      <c r="B8" s="25" t="s">
        <v>629</v>
      </c>
      <c r="C8" s="24" t="s">
        <v>630</v>
      </c>
      <c r="D8" s="25">
        <v>0</v>
      </c>
      <c r="E8" s="25">
        <v>0</v>
      </c>
      <c r="F8" s="26">
        <v>46030</v>
      </c>
      <c r="G8" s="26">
        <v>46030</v>
      </c>
      <c r="H8" s="25">
        <v>0</v>
      </c>
      <c r="I8" s="27">
        <v>1</v>
      </c>
      <c r="J8" s="25" t="s">
        <v>624</v>
      </c>
      <c r="K8" s="28"/>
    </row>
    <row r="9" spans="1:11">
      <c r="A9" s="30" t="s">
        <v>631</v>
      </c>
      <c r="B9" s="30" t="s">
        <v>632</v>
      </c>
      <c r="C9" s="29" t="s">
        <v>633</v>
      </c>
      <c r="D9" s="30">
        <v>72</v>
      </c>
      <c r="E9" s="30">
        <v>0</v>
      </c>
      <c r="F9" s="31">
        <v>45951</v>
      </c>
      <c r="G9" s="31">
        <v>46053</v>
      </c>
      <c r="H9" s="30">
        <v>120</v>
      </c>
      <c r="I9" s="32">
        <v>1</v>
      </c>
      <c r="J9" s="30" t="s">
        <v>628</v>
      </c>
      <c r="K9" s="33">
        <v>0.02</v>
      </c>
    </row>
    <row r="10" spans="1:11">
      <c r="A10" s="30" t="s">
        <v>634</v>
      </c>
      <c r="B10" s="30" t="s">
        <v>635</v>
      </c>
      <c r="C10" s="29" t="s">
        <v>636</v>
      </c>
      <c r="D10" s="30">
        <v>15</v>
      </c>
      <c r="E10" s="30">
        <v>0</v>
      </c>
      <c r="F10" s="31">
        <v>46054</v>
      </c>
      <c r="G10" s="31">
        <v>46068</v>
      </c>
      <c r="H10" s="30">
        <v>120</v>
      </c>
      <c r="I10" s="32">
        <v>1</v>
      </c>
      <c r="J10" s="30" t="s">
        <v>631</v>
      </c>
      <c r="K10" s="33">
        <v>0.02</v>
      </c>
    </row>
    <row r="11" spans="1:11">
      <c r="A11" s="30" t="s">
        <v>637</v>
      </c>
      <c r="B11" s="30" t="s">
        <v>638</v>
      </c>
      <c r="C11" s="29" t="s">
        <v>639</v>
      </c>
      <c r="D11" s="30">
        <v>250</v>
      </c>
      <c r="E11" s="30">
        <v>37</v>
      </c>
      <c r="F11" s="31">
        <v>45950</v>
      </c>
      <c r="G11" s="31">
        <v>46170</v>
      </c>
      <c r="H11" s="30">
        <v>0</v>
      </c>
      <c r="I11" s="32">
        <v>1</v>
      </c>
      <c r="J11" s="30" t="s">
        <v>624</v>
      </c>
      <c r="K11" s="33">
        <v>0.05</v>
      </c>
    </row>
    <row r="12" spans="1:11">
      <c r="A12" s="25" t="s">
        <v>539</v>
      </c>
      <c r="B12" s="25" t="s">
        <v>540</v>
      </c>
      <c r="C12" s="24" t="s">
        <v>541</v>
      </c>
      <c r="D12" s="25">
        <v>0</v>
      </c>
      <c r="E12" s="25">
        <v>0</v>
      </c>
      <c r="F12" s="26">
        <v>46202</v>
      </c>
      <c r="G12" s="26">
        <v>46202</v>
      </c>
      <c r="H12" s="25">
        <v>0</v>
      </c>
      <c r="I12" s="27">
        <v>0</v>
      </c>
      <c r="J12" s="25" t="s">
        <v>637</v>
      </c>
      <c r="K12" s="28"/>
    </row>
    <row r="13" spans="1:11">
      <c r="A13" s="18" t="s">
        <v>542</v>
      </c>
      <c r="B13" s="18" t="s">
        <v>543</v>
      </c>
      <c r="C13" s="17" t="s">
        <v>544</v>
      </c>
      <c r="D13" s="18">
        <v>45</v>
      </c>
      <c r="E13" s="18">
        <v>8</v>
      </c>
      <c r="F13" s="19">
        <v>46167</v>
      </c>
      <c r="G13" s="19">
        <v>46178</v>
      </c>
      <c r="H13" s="18">
        <v>10</v>
      </c>
      <c r="I13" s="20">
        <v>0.15</v>
      </c>
      <c r="J13" s="18" t="s">
        <v>634</v>
      </c>
      <c r="K13" s="34">
        <v>0.04</v>
      </c>
    </row>
    <row r="14" spans="1:11">
      <c r="A14" s="18" t="s">
        <v>545</v>
      </c>
      <c r="B14" s="18" t="s">
        <v>543</v>
      </c>
      <c r="C14" s="17" t="s">
        <v>1311</v>
      </c>
      <c r="D14" s="18">
        <v>45</v>
      </c>
      <c r="E14" s="18">
        <v>8</v>
      </c>
      <c r="F14" s="19">
        <v>46181</v>
      </c>
      <c r="G14" s="19">
        <v>46197</v>
      </c>
      <c r="H14" s="18">
        <v>10</v>
      </c>
      <c r="I14" s="20">
        <v>0.1</v>
      </c>
      <c r="J14" s="18" t="s">
        <v>634</v>
      </c>
      <c r="K14" s="34">
        <v>0.03</v>
      </c>
    </row>
    <row r="15" spans="1:11">
      <c r="A15" s="18" t="s">
        <v>547</v>
      </c>
      <c r="B15" s="18" t="s">
        <v>548</v>
      </c>
      <c r="C15" s="17" t="s">
        <v>549</v>
      </c>
      <c r="D15" s="18">
        <v>30</v>
      </c>
      <c r="E15" s="18">
        <v>9</v>
      </c>
      <c r="F15" s="19">
        <v>46174</v>
      </c>
      <c r="G15" s="19">
        <v>46188</v>
      </c>
      <c r="H15" s="18">
        <v>10</v>
      </c>
      <c r="I15" s="20">
        <v>0.65</v>
      </c>
      <c r="J15" s="18" t="s">
        <v>542</v>
      </c>
      <c r="K15" s="34">
        <v>0.02</v>
      </c>
    </row>
    <row r="16" spans="1:11">
      <c r="A16" s="18" t="s">
        <v>550</v>
      </c>
      <c r="B16" s="18" t="s">
        <v>551</v>
      </c>
      <c r="C16" s="17" t="s">
        <v>552</v>
      </c>
      <c r="D16" s="18">
        <v>20</v>
      </c>
      <c r="E16" s="18">
        <v>20</v>
      </c>
      <c r="F16" s="19">
        <v>46174</v>
      </c>
      <c r="G16" s="19">
        <v>46196</v>
      </c>
      <c r="H16" s="18">
        <v>10</v>
      </c>
      <c r="I16" s="20">
        <v>0.1</v>
      </c>
      <c r="J16" s="18"/>
      <c r="K16" s="34"/>
    </row>
    <row r="17" spans="1:11">
      <c r="A17" s="18" t="s">
        <v>553</v>
      </c>
      <c r="B17" s="18" t="s">
        <v>554</v>
      </c>
      <c r="C17" s="17" t="s">
        <v>555</v>
      </c>
      <c r="D17" s="18">
        <v>15</v>
      </c>
      <c r="E17" s="18">
        <v>15</v>
      </c>
      <c r="F17" s="19">
        <v>46174</v>
      </c>
      <c r="G17" s="19">
        <v>46188</v>
      </c>
      <c r="H17" s="18">
        <v>10</v>
      </c>
      <c r="I17" s="20">
        <v>0</v>
      </c>
      <c r="J17" s="18" t="s">
        <v>547</v>
      </c>
      <c r="K17" s="34">
        <v>0.03</v>
      </c>
    </row>
    <row r="18" spans="1:11">
      <c r="A18" s="18" t="s">
        <v>556</v>
      </c>
      <c r="B18" s="18" t="s">
        <v>557</v>
      </c>
      <c r="C18" s="17" t="s">
        <v>558</v>
      </c>
      <c r="D18" s="18">
        <v>4</v>
      </c>
      <c r="E18" s="18">
        <v>4</v>
      </c>
      <c r="F18" s="19">
        <v>46203</v>
      </c>
      <c r="G18" s="19">
        <v>46206</v>
      </c>
      <c r="H18" s="18">
        <v>0</v>
      </c>
      <c r="I18" s="20">
        <v>0</v>
      </c>
      <c r="J18" s="18" t="s">
        <v>539</v>
      </c>
      <c r="K18" s="34">
        <v>0.06</v>
      </c>
    </row>
    <row r="19" spans="1:11">
      <c r="A19" s="18" t="s">
        <v>559</v>
      </c>
      <c r="B19" s="18" t="s">
        <v>560</v>
      </c>
      <c r="C19" s="17" t="s">
        <v>561</v>
      </c>
      <c r="D19" s="18">
        <v>5</v>
      </c>
      <c r="E19" s="18">
        <v>5</v>
      </c>
      <c r="F19" s="19">
        <v>46181</v>
      </c>
      <c r="G19" s="19">
        <v>46197</v>
      </c>
      <c r="H19" s="18">
        <v>0</v>
      </c>
      <c r="I19" s="20">
        <v>0</v>
      </c>
      <c r="J19" s="18" t="s">
        <v>640</v>
      </c>
      <c r="K19" s="23">
        <v>0.06</v>
      </c>
    </row>
    <row r="20" spans="1:11">
      <c r="A20" s="25" t="s">
        <v>562</v>
      </c>
      <c r="B20" s="25" t="s">
        <v>563</v>
      </c>
      <c r="C20" s="24" t="s">
        <v>564</v>
      </c>
      <c r="D20" s="25">
        <v>0</v>
      </c>
      <c r="E20" s="25">
        <v>0</v>
      </c>
      <c r="F20" s="26">
        <v>46209</v>
      </c>
      <c r="G20" s="26">
        <v>46209</v>
      </c>
      <c r="H20" s="25">
        <v>0</v>
      </c>
      <c r="I20" s="27">
        <v>0</v>
      </c>
      <c r="J20" s="25" t="s">
        <v>556</v>
      </c>
      <c r="K20" s="28"/>
    </row>
    <row r="21" spans="1:11">
      <c r="A21" s="18" t="s">
        <v>565</v>
      </c>
      <c r="B21" s="18" t="s">
        <v>566</v>
      </c>
      <c r="C21" s="17" t="s">
        <v>567</v>
      </c>
      <c r="D21" s="18">
        <v>1</v>
      </c>
      <c r="E21" s="18">
        <v>1</v>
      </c>
      <c r="F21" s="19">
        <v>46209</v>
      </c>
      <c r="G21" s="19">
        <v>46209</v>
      </c>
      <c r="H21" s="18">
        <v>0</v>
      </c>
      <c r="I21" s="20">
        <v>0</v>
      </c>
      <c r="J21" s="18" t="s">
        <v>641</v>
      </c>
      <c r="K21" s="23">
        <v>0.03</v>
      </c>
    </row>
    <row r="22" spans="1:11">
      <c r="A22" s="18" t="s">
        <v>568</v>
      </c>
      <c r="B22" s="18" t="s">
        <v>569</v>
      </c>
      <c r="C22" s="17" t="s">
        <v>570</v>
      </c>
      <c r="D22" s="18">
        <v>3</v>
      </c>
      <c r="E22" s="18">
        <v>3</v>
      </c>
      <c r="F22" s="19">
        <v>46210</v>
      </c>
      <c r="G22" s="19">
        <v>46212</v>
      </c>
      <c r="H22" s="18">
        <v>0</v>
      </c>
      <c r="I22" s="20">
        <v>0</v>
      </c>
      <c r="J22" s="18" t="s">
        <v>565</v>
      </c>
      <c r="K22" s="23">
        <v>0.08</v>
      </c>
    </row>
    <row r="23" spans="1:11">
      <c r="A23" s="18" t="s">
        <v>571</v>
      </c>
      <c r="B23" s="18" t="s">
        <v>572</v>
      </c>
      <c r="C23" s="17" t="s">
        <v>573</v>
      </c>
      <c r="D23" s="18">
        <v>1</v>
      </c>
      <c r="E23" s="18">
        <v>1</v>
      </c>
      <c r="F23" s="19">
        <v>46213</v>
      </c>
      <c r="G23" s="19">
        <v>46213</v>
      </c>
      <c r="H23" s="18">
        <v>0</v>
      </c>
      <c r="I23" s="20">
        <v>0</v>
      </c>
      <c r="J23" s="18" t="s">
        <v>568</v>
      </c>
      <c r="K23" s="23">
        <v>0.06</v>
      </c>
    </row>
    <row r="24" spans="1:11">
      <c r="A24" s="18" t="s">
        <v>574</v>
      </c>
      <c r="B24" s="18" t="s">
        <v>575</v>
      </c>
      <c r="C24" s="17" t="s">
        <v>576</v>
      </c>
      <c r="D24" s="18">
        <v>1</v>
      </c>
      <c r="E24" s="18">
        <v>1</v>
      </c>
      <c r="F24" s="19">
        <v>46214</v>
      </c>
      <c r="G24" s="19">
        <v>46214</v>
      </c>
      <c r="H24" s="18">
        <v>0</v>
      </c>
      <c r="I24" s="20">
        <v>0</v>
      </c>
      <c r="J24" s="18" t="s">
        <v>571</v>
      </c>
      <c r="K24" s="23">
        <v>0.02</v>
      </c>
    </row>
    <row r="25" spans="1:11">
      <c r="A25" s="18" t="s">
        <v>577</v>
      </c>
      <c r="B25" s="18" t="s">
        <v>578</v>
      </c>
      <c r="C25" s="17" t="s">
        <v>579</v>
      </c>
      <c r="D25" s="18">
        <v>4</v>
      </c>
      <c r="E25" s="18">
        <v>4</v>
      </c>
      <c r="F25" s="19">
        <v>46215</v>
      </c>
      <c r="G25" s="19">
        <v>46218</v>
      </c>
      <c r="H25" s="18">
        <v>0</v>
      </c>
      <c r="I25" s="20">
        <v>0</v>
      </c>
      <c r="J25" s="18" t="s">
        <v>574</v>
      </c>
      <c r="K25" s="23">
        <v>0.09</v>
      </c>
    </row>
    <row r="26" spans="1:11">
      <c r="A26" s="25" t="s">
        <v>580</v>
      </c>
      <c r="B26" s="25" t="s">
        <v>581</v>
      </c>
      <c r="C26" s="24" t="s">
        <v>582</v>
      </c>
      <c r="D26" s="25">
        <v>5</v>
      </c>
      <c r="E26" s="25">
        <v>5</v>
      </c>
      <c r="F26" s="26">
        <v>46216</v>
      </c>
      <c r="G26" s="26">
        <v>46220</v>
      </c>
      <c r="H26" s="25">
        <v>0</v>
      </c>
      <c r="I26" s="27">
        <v>0</v>
      </c>
      <c r="J26" s="25" t="s">
        <v>642</v>
      </c>
      <c r="K26" s="28"/>
    </row>
    <row r="27" spans="1:11">
      <c r="A27" s="18" t="s">
        <v>583</v>
      </c>
      <c r="B27" s="18" t="s">
        <v>584</v>
      </c>
      <c r="C27" s="17" t="s">
        <v>585</v>
      </c>
      <c r="D27" s="18">
        <v>2</v>
      </c>
      <c r="E27" s="18">
        <v>2</v>
      </c>
      <c r="F27" s="19">
        <v>46219</v>
      </c>
      <c r="G27" s="19">
        <v>46220</v>
      </c>
      <c r="H27" s="18">
        <v>0</v>
      </c>
      <c r="I27" s="20">
        <v>0</v>
      </c>
      <c r="J27" s="18" t="s">
        <v>577</v>
      </c>
      <c r="K27" s="23">
        <v>0.08</v>
      </c>
    </row>
    <row r="28" spans="1:11">
      <c r="A28" s="18" t="s">
        <v>586</v>
      </c>
      <c r="B28" s="18" t="s">
        <v>587</v>
      </c>
      <c r="C28" s="17" t="s">
        <v>588</v>
      </c>
      <c r="D28" s="18">
        <v>2</v>
      </c>
      <c r="E28" s="18">
        <v>2</v>
      </c>
      <c r="F28" s="19">
        <v>46221</v>
      </c>
      <c r="G28" s="19">
        <v>46222</v>
      </c>
      <c r="H28" s="18">
        <v>0</v>
      </c>
      <c r="I28" s="20">
        <v>0</v>
      </c>
      <c r="J28" s="18" t="s">
        <v>583</v>
      </c>
      <c r="K28" s="23">
        <v>0.06</v>
      </c>
    </row>
    <row r="29" spans="1:11">
      <c r="A29" s="18" t="s">
        <v>589</v>
      </c>
      <c r="B29" s="18" t="s">
        <v>590</v>
      </c>
      <c r="C29" s="17" t="s">
        <v>591</v>
      </c>
      <c r="D29" s="18">
        <v>2</v>
      </c>
      <c r="E29" s="18">
        <v>2</v>
      </c>
      <c r="F29" s="19">
        <v>46223</v>
      </c>
      <c r="G29" s="19">
        <v>46224</v>
      </c>
      <c r="H29" s="18">
        <v>0</v>
      </c>
      <c r="I29" s="20">
        <v>0</v>
      </c>
      <c r="J29" s="18" t="s">
        <v>586</v>
      </c>
      <c r="K29" s="23">
        <v>0.06</v>
      </c>
    </row>
    <row r="30" spans="1:11">
      <c r="A30" s="18" t="s">
        <v>592</v>
      </c>
      <c r="B30" s="18" t="s">
        <v>593</v>
      </c>
      <c r="C30" s="17" t="s">
        <v>594</v>
      </c>
      <c r="D30" s="18">
        <v>2</v>
      </c>
      <c r="E30" s="18">
        <v>2</v>
      </c>
      <c r="F30" s="19">
        <v>46225</v>
      </c>
      <c r="G30" s="19">
        <v>46226</v>
      </c>
      <c r="H30" s="18">
        <v>0</v>
      </c>
      <c r="I30" s="20">
        <v>0</v>
      </c>
      <c r="J30" s="18" t="s">
        <v>589</v>
      </c>
      <c r="K30" s="23">
        <v>0.05</v>
      </c>
    </row>
    <row r="31" spans="1:11">
      <c r="A31" s="18" t="s">
        <v>595</v>
      </c>
      <c r="B31" s="18" t="s">
        <v>596</v>
      </c>
      <c r="C31" s="17" t="s">
        <v>597</v>
      </c>
      <c r="D31" s="18">
        <v>3</v>
      </c>
      <c r="E31" s="18">
        <v>3</v>
      </c>
      <c r="F31" s="19">
        <v>46227</v>
      </c>
      <c r="G31" s="19">
        <v>46229</v>
      </c>
      <c r="H31" s="18">
        <v>0</v>
      </c>
      <c r="I31" s="20">
        <v>0</v>
      </c>
      <c r="J31" s="18" t="s">
        <v>592</v>
      </c>
      <c r="K31" s="23">
        <v>0.05</v>
      </c>
    </row>
    <row r="32" spans="1:11">
      <c r="A32" s="25" t="s">
        <v>598</v>
      </c>
      <c r="B32" s="25" t="s">
        <v>599</v>
      </c>
      <c r="C32" s="24" t="s">
        <v>600</v>
      </c>
      <c r="D32" s="25">
        <v>0</v>
      </c>
      <c r="E32" s="25">
        <v>0</v>
      </c>
      <c r="F32" s="26">
        <v>46229</v>
      </c>
      <c r="G32" s="26">
        <v>46229</v>
      </c>
      <c r="H32" s="25">
        <v>0</v>
      </c>
      <c r="I32" s="27">
        <v>0</v>
      </c>
      <c r="J32" s="25" t="s">
        <v>595</v>
      </c>
      <c r="K32" s="28"/>
    </row>
    <row r="33" spans="1:11">
      <c r="A33" s="18" t="s">
        <v>601</v>
      </c>
      <c r="B33" s="18" t="s">
        <v>602</v>
      </c>
      <c r="C33" s="17" t="s">
        <v>603</v>
      </c>
      <c r="D33" s="18">
        <v>2</v>
      </c>
      <c r="E33" s="18">
        <v>2</v>
      </c>
      <c r="F33" s="19">
        <v>46230</v>
      </c>
      <c r="G33" s="19">
        <v>46231</v>
      </c>
      <c r="H33" s="18">
        <v>5</v>
      </c>
      <c r="I33" s="20">
        <v>0</v>
      </c>
      <c r="J33" s="18" t="s">
        <v>598</v>
      </c>
      <c r="K33" s="34">
        <v>0.05</v>
      </c>
    </row>
    <row r="34" spans="1:11">
      <c r="A34" s="18" t="s">
        <v>604</v>
      </c>
      <c r="B34" s="18" t="s">
        <v>605</v>
      </c>
      <c r="C34" s="17" t="s">
        <v>606</v>
      </c>
      <c r="D34" s="18">
        <v>5</v>
      </c>
      <c r="E34" s="18">
        <v>5</v>
      </c>
      <c r="F34" s="19">
        <v>46230</v>
      </c>
      <c r="G34" s="19">
        <v>46234</v>
      </c>
      <c r="H34" s="18">
        <v>0</v>
      </c>
      <c r="I34" s="20">
        <v>0</v>
      </c>
      <c r="J34" s="18" t="s">
        <v>598</v>
      </c>
      <c r="K34" s="23">
        <v>0.02</v>
      </c>
    </row>
    <row r="35" spans="1:11">
      <c r="A35" s="18" t="s">
        <v>607</v>
      </c>
      <c r="B35" s="18" t="s">
        <v>608</v>
      </c>
      <c r="C35" s="17" t="s">
        <v>609</v>
      </c>
      <c r="D35" s="18">
        <v>1</v>
      </c>
      <c r="E35" s="18">
        <v>1</v>
      </c>
      <c r="F35" s="19">
        <v>46234</v>
      </c>
      <c r="G35" s="19">
        <v>46234</v>
      </c>
      <c r="H35" s="18">
        <v>0</v>
      </c>
      <c r="I35" s="20">
        <v>0</v>
      </c>
      <c r="J35" s="18" t="s">
        <v>604</v>
      </c>
      <c r="K35" s="23">
        <v>0.02</v>
      </c>
    </row>
    <row r="36" spans="1:11">
      <c r="A36" s="18" t="s">
        <v>610</v>
      </c>
      <c r="B36" s="18"/>
      <c r="C36" s="21" t="s">
        <v>611</v>
      </c>
      <c r="D36" s="18">
        <v>1</v>
      </c>
      <c r="E36" s="18">
        <v>1</v>
      </c>
      <c r="F36" s="19">
        <v>46234</v>
      </c>
      <c r="G36" s="19">
        <v>46234</v>
      </c>
      <c r="H36" s="18">
        <v>0</v>
      </c>
      <c r="I36" s="20">
        <v>0</v>
      </c>
      <c r="J36" s="18" t="s">
        <v>643</v>
      </c>
      <c r="K36" s="23"/>
    </row>
    <row r="37" spans="1:11">
      <c r="K37" s="23">
        <f>SUM(K7:K36)</f>
        <v>1.0000000000000002</v>
      </c>
    </row>
  </sheetData>
  <mergeCells count="3">
    <mergeCell ref="A4:I4"/>
    <mergeCell ref="A2:I2"/>
    <mergeCell ref="A3:I3"/>
  </mergeCells>
  <pageMargins left="0.7" right="0.7" top="0.75" bottom="0.75" header="0.3" footer="0.3"/>
  <pageSetup scale="34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E434-63F7-48CB-BEA2-9A17BB347E56}">
  <sheetPr>
    <pageSetUpPr fitToPage="1"/>
  </sheetPr>
  <dimension ref="A2:M36"/>
  <sheetViews>
    <sheetView showGridLines="0" zoomScaleNormal="100" zoomScaleSheetLayoutView="85" workbookViewId="0">
      <pane ySplit="6" topLeftCell="A7" activePane="bottomLeft" state="frozen"/>
      <selection pane="bottomLeft" activeCell="C35" sqref="C35"/>
    </sheetView>
  </sheetViews>
  <sheetFormatPr baseColWidth="10" defaultColWidth="11.453125" defaultRowHeight="14.5"/>
  <cols>
    <col min="1" max="1" width="9.26953125" style="7" bestFit="1" customWidth="1"/>
    <col min="2" max="2" width="9.26953125" style="7" customWidth="1"/>
    <col min="3" max="3" width="60.26953125" style="7" customWidth="1"/>
    <col min="4" max="4" width="10.453125" style="7" customWidth="1"/>
    <col min="5" max="5" width="10.36328125" style="7" customWidth="1"/>
    <col min="6" max="6" width="11.453125" style="7" customWidth="1"/>
    <col min="7" max="7" width="12.90625" style="7" customWidth="1"/>
    <col min="8" max="8" width="9.453125" style="7" customWidth="1"/>
    <col min="9" max="9" width="12.453125" style="7" bestFit="1" customWidth="1"/>
    <col min="10" max="10" width="14.54296875" style="7" customWidth="1"/>
    <col min="11" max="11" width="5.26953125" style="7" bestFit="1" customWidth="1"/>
    <col min="12" max="12" width="3.54296875" customWidth="1"/>
    <col min="13" max="13" width="10.7265625" style="7" customWidth="1"/>
  </cols>
  <sheetData>
    <row r="2" spans="1:13" ht="28.5" customHeight="1">
      <c r="A2" s="493" t="s">
        <v>612</v>
      </c>
      <c r="B2" s="492"/>
      <c r="C2" s="492"/>
      <c r="D2" s="492"/>
      <c r="E2" s="492"/>
      <c r="F2" s="492"/>
      <c r="G2" s="492"/>
      <c r="H2" s="492"/>
      <c r="I2" s="492"/>
    </row>
    <row r="3" spans="1:13" ht="23.5" customHeight="1">
      <c r="A3" s="491" t="s">
        <v>1315</v>
      </c>
      <c r="B3" s="492"/>
      <c r="C3" s="492"/>
      <c r="D3" s="492"/>
      <c r="E3" s="492"/>
      <c r="F3" s="492"/>
      <c r="G3" s="492"/>
      <c r="H3" s="492"/>
      <c r="I3" s="492"/>
    </row>
    <row r="4" spans="1:13" ht="23.5" customHeight="1">
      <c r="A4" s="491" t="s">
        <v>1313</v>
      </c>
      <c r="B4" s="492"/>
      <c r="C4" s="492"/>
      <c r="D4" s="492"/>
      <c r="E4" s="492"/>
      <c r="F4" s="492"/>
      <c r="G4" s="492"/>
      <c r="H4" s="492"/>
      <c r="I4" s="492"/>
    </row>
    <row r="5" spans="1:13" s="14" customFormat="1" ht="18.5" customHeight="1">
      <c r="A5" s="13"/>
      <c r="B5" s="13"/>
      <c r="C5" s="13"/>
      <c r="D5" s="13"/>
      <c r="E5" s="13"/>
      <c r="F5" s="13"/>
      <c r="G5" s="13"/>
      <c r="I5" s="15"/>
      <c r="J5" s="15"/>
      <c r="K5" s="15"/>
      <c r="M5" s="15"/>
    </row>
    <row r="6" spans="1:13" s="22" customFormat="1" ht="30" customHeight="1">
      <c r="A6" s="73" t="s">
        <v>485</v>
      </c>
      <c r="B6" s="73" t="s">
        <v>486</v>
      </c>
      <c r="C6" s="73" t="s">
        <v>615</v>
      </c>
      <c r="D6" s="73" t="s">
        <v>616</v>
      </c>
      <c r="E6" s="73" t="s">
        <v>617</v>
      </c>
      <c r="F6" s="73" t="s">
        <v>618</v>
      </c>
      <c r="G6" s="73" t="s">
        <v>619</v>
      </c>
      <c r="H6" s="73" t="s">
        <v>620</v>
      </c>
      <c r="I6" s="73" t="s">
        <v>621</v>
      </c>
      <c r="J6" s="73" t="s">
        <v>622</v>
      </c>
      <c r="K6" s="73" t="s">
        <v>623</v>
      </c>
      <c r="M6" s="73" t="s">
        <v>1314</v>
      </c>
    </row>
    <row r="7" spans="1:13">
      <c r="A7" s="25" t="s">
        <v>624</v>
      </c>
      <c r="B7" s="25" t="s">
        <v>625</v>
      </c>
      <c r="C7" s="24" t="s">
        <v>626</v>
      </c>
      <c r="D7" s="25">
        <v>0</v>
      </c>
      <c r="E7" s="25">
        <v>0</v>
      </c>
      <c r="F7" s="26">
        <v>45950</v>
      </c>
      <c r="G7" s="26">
        <v>45950</v>
      </c>
      <c r="H7" s="25">
        <v>0</v>
      </c>
      <c r="I7" s="27">
        <v>1</v>
      </c>
      <c r="J7" s="25" t="s">
        <v>627</v>
      </c>
      <c r="K7" s="28"/>
      <c r="M7" s="28"/>
    </row>
    <row r="8" spans="1:13">
      <c r="A8" s="25" t="s">
        <v>628</v>
      </c>
      <c r="B8" s="25" t="s">
        <v>629</v>
      </c>
      <c r="C8" s="24" t="s">
        <v>630</v>
      </c>
      <c r="D8" s="25">
        <v>0</v>
      </c>
      <c r="E8" s="25">
        <v>0</v>
      </c>
      <c r="F8" s="26">
        <v>46030</v>
      </c>
      <c r="G8" s="26">
        <v>46030</v>
      </c>
      <c r="H8" s="25">
        <v>0</v>
      </c>
      <c r="I8" s="27">
        <v>1</v>
      </c>
      <c r="J8" s="25" t="s">
        <v>624</v>
      </c>
      <c r="K8" s="28"/>
      <c r="M8" s="28"/>
    </row>
    <row r="9" spans="1:13">
      <c r="A9" s="30" t="s">
        <v>631</v>
      </c>
      <c r="B9" s="30" t="s">
        <v>632</v>
      </c>
      <c r="C9" s="29" t="s">
        <v>633</v>
      </c>
      <c r="D9" s="30">
        <v>72</v>
      </c>
      <c r="E9" s="30">
        <v>0</v>
      </c>
      <c r="F9" s="31">
        <v>45951</v>
      </c>
      <c r="G9" s="31">
        <v>46053</v>
      </c>
      <c r="H9" s="30">
        <v>120</v>
      </c>
      <c r="I9" s="32">
        <v>1</v>
      </c>
      <c r="J9" s="30" t="s">
        <v>628</v>
      </c>
      <c r="K9" s="33">
        <v>0.02</v>
      </c>
      <c r="M9" s="33">
        <f>+I9*K9</f>
        <v>0.02</v>
      </c>
    </row>
    <row r="10" spans="1:13">
      <c r="A10" s="30" t="s">
        <v>634</v>
      </c>
      <c r="B10" s="30" t="s">
        <v>635</v>
      </c>
      <c r="C10" s="29" t="s">
        <v>636</v>
      </c>
      <c r="D10" s="30">
        <v>15</v>
      </c>
      <c r="E10" s="30">
        <v>0</v>
      </c>
      <c r="F10" s="31">
        <v>46054</v>
      </c>
      <c r="G10" s="31">
        <v>46068</v>
      </c>
      <c r="H10" s="30">
        <v>120</v>
      </c>
      <c r="I10" s="32">
        <v>1</v>
      </c>
      <c r="J10" s="30" t="s">
        <v>631</v>
      </c>
      <c r="K10" s="33">
        <v>0.02</v>
      </c>
      <c r="M10" s="33">
        <f t="shared" ref="M10:M35" si="0">+I10*K10</f>
        <v>0.02</v>
      </c>
    </row>
    <row r="11" spans="1:13">
      <c r="A11" s="30" t="s">
        <v>637</v>
      </c>
      <c r="B11" s="30" t="s">
        <v>638</v>
      </c>
      <c r="C11" s="29" t="s">
        <v>639</v>
      </c>
      <c r="D11" s="30">
        <v>250</v>
      </c>
      <c r="E11" s="30">
        <v>37</v>
      </c>
      <c r="F11" s="31">
        <v>45950</v>
      </c>
      <c r="G11" s="31">
        <v>46170</v>
      </c>
      <c r="H11" s="30">
        <v>0</v>
      </c>
      <c r="I11" s="32">
        <v>1</v>
      </c>
      <c r="J11" s="30" t="s">
        <v>624</v>
      </c>
      <c r="K11" s="33">
        <v>0.05</v>
      </c>
      <c r="M11" s="33">
        <f t="shared" si="0"/>
        <v>0.05</v>
      </c>
    </row>
    <row r="12" spans="1:13">
      <c r="A12" s="25" t="s">
        <v>539</v>
      </c>
      <c r="B12" s="25" t="s">
        <v>540</v>
      </c>
      <c r="C12" s="24" t="s">
        <v>541</v>
      </c>
      <c r="D12" s="25">
        <v>0</v>
      </c>
      <c r="E12" s="25">
        <v>0</v>
      </c>
      <c r="F12" s="26">
        <v>46188</v>
      </c>
      <c r="G12" s="26">
        <v>46192</v>
      </c>
      <c r="H12" s="25">
        <v>0</v>
      </c>
      <c r="I12" s="27">
        <v>0</v>
      </c>
      <c r="J12" s="25" t="s">
        <v>637</v>
      </c>
      <c r="K12" s="28"/>
      <c r="M12" s="28"/>
    </row>
    <row r="13" spans="1:13">
      <c r="A13" s="18" t="s">
        <v>542</v>
      </c>
      <c r="B13" s="18" t="s">
        <v>543</v>
      </c>
      <c r="C13" s="17" t="s">
        <v>544</v>
      </c>
      <c r="D13" s="18">
        <v>45</v>
      </c>
      <c r="E13" s="18">
        <v>8</v>
      </c>
      <c r="F13" s="19">
        <v>46167</v>
      </c>
      <c r="G13" s="19">
        <v>46181</v>
      </c>
      <c r="H13" s="18">
        <v>10</v>
      </c>
      <c r="I13" s="20">
        <v>0.15</v>
      </c>
      <c r="J13" s="18" t="s">
        <v>634</v>
      </c>
      <c r="K13" s="34">
        <v>0.04</v>
      </c>
      <c r="M13" s="34">
        <f t="shared" si="0"/>
        <v>6.0000000000000001E-3</v>
      </c>
    </row>
    <row r="14" spans="1:13">
      <c r="A14" s="18" t="s">
        <v>545</v>
      </c>
      <c r="B14" s="18" t="s">
        <v>543</v>
      </c>
      <c r="C14" s="17" t="s">
        <v>1311</v>
      </c>
      <c r="D14" s="18">
        <v>45</v>
      </c>
      <c r="E14" s="18">
        <v>8</v>
      </c>
      <c r="F14" s="19">
        <v>46181</v>
      </c>
      <c r="G14" s="19">
        <v>46188</v>
      </c>
      <c r="H14" s="18">
        <v>10</v>
      </c>
      <c r="I14" s="20">
        <v>0.1</v>
      </c>
      <c r="J14" s="18" t="s">
        <v>634</v>
      </c>
      <c r="K14" s="34">
        <v>0.03</v>
      </c>
      <c r="M14" s="34">
        <f t="shared" si="0"/>
        <v>3.0000000000000001E-3</v>
      </c>
    </row>
    <row r="15" spans="1:13">
      <c r="A15" s="18" t="s">
        <v>547</v>
      </c>
      <c r="B15" s="18" t="s">
        <v>548</v>
      </c>
      <c r="C15" s="17" t="s">
        <v>549</v>
      </c>
      <c r="D15" s="18">
        <v>30</v>
      </c>
      <c r="E15" s="18">
        <v>9</v>
      </c>
      <c r="F15" s="19">
        <v>46174</v>
      </c>
      <c r="G15" s="19">
        <v>46188</v>
      </c>
      <c r="H15" s="18">
        <v>10</v>
      </c>
      <c r="I15" s="20">
        <v>0.65</v>
      </c>
      <c r="J15" s="18" t="s">
        <v>542</v>
      </c>
      <c r="K15" s="34">
        <v>0.02</v>
      </c>
      <c r="M15" s="34">
        <f t="shared" si="0"/>
        <v>1.3000000000000001E-2</v>
      </c>
    </row>
    <row r="16" spans="1:13">
      <c r="A16" s="18" t="s">
        <v>550</v>
      </c>
      <c r="B16" s="18" t="s">
        <v>551</v>
      </c>
      <c r="C16" s="17" t="s">
        <v>552</v>
      </c>
      <c r="D16" s="18">
        <v>20</v>
      </c>
      <c r="E16" s="18">
        <v>20</v>
      </c>
      <c r="F16" s="19">
        <v>46174</v>
      </c>
      <c r="G16" s="19">
        <v>46196</v>
      </c>
      <c r="H16" s="18">
        <v>10</v>
      </c>
      <c r="I16" s="20">
        <v>0.1</v>
      </c>
      <c r="J16" s="18"/>
      <c r="K16" s="34"/>
      <c r="M16" s="34">
        <f t="shared" si="0"/>
        <v>0</v>
      </c>
    </row>
    <row r="17" spans="1:13">
      <c r="A17" s="18" t="s">
        <v>553</v>
      </c>
      <c r="B17" s="18" t="s">
        <v>554</v>
      </c>
      <c r="C17" s="17" t="s">
        <v>555</v>
      </c>
      <c r="D17" s="18">
        <v>15</v>
      </c>
      <c r="E17" s="18">
        <v>15</v>
      </c>
      <c r="F17" s="19">
        <v>46174</v>
      </c>
      <c r="G17" s="19">
        <v>46188</v>
      </c>
      <c r="H17" s="18">
        <v>10</v>
      </c>
      <c r="I17" s="20">
        <v>0</v>
      </c>
      <c r="J17" s="18" t="s">
        <v>547</v>
      </c>
      <c r="K17" s="34">
        <v>0.03</v>
      </c>
      <c r="M17" s="34">
        <f t="shared" si="0"/>
        <v>0</v>
      </c>
    </row>
    <row r="18" spans="1:13">
      <c r="A18" s="18" t="s">
        <v>556</v>
      </c>
      <c r="B18" s="18" t="s">
        <v>557</v>
      </c>
      <c r="C18" s="17" t="s">
        <v>558</v>
      </c>
      <c r="D18" s="18">
        <v>4</v>
      </c>
      <c r="E18" s="18">
        <v>4</v>
      </c>
      <c r="F18" s="19">
        <v>46197</v>
      </c>
      <c r="G18" s="19">
        <v>46199</v>
      </c>
      <c r="H18" s="18">
        <v>0</v>
      </c>
      <c r="I18" s="20">
        <v>0</v>
      </c>
      <c r="J18" s="18" t="s">
        <v>539</v>
      </c>
      <c r="K18" s="34">
        <v>0.06</v>
      </c>
      <c r="M18" s="34">
        <f t="shared" si="0"/>
        <v>0</v>
      </c>
    </row>
    <row r="19" spans="1:13">
      <c r="A19" s="18" t="s">
        <v>559</v>
      </c>
      <c r="B19" s="18" t="s">
        <v>560</v>
      </c>
      <c r="C19" s="17" t="s">
        <v>561</v>
      </c>
      <c r="D19" s="18">
        <v>5</v>
      </c>
      <c r="E19" s="18">
        <v>5</v>
      </c>
      <c r="F19" s="19">
        <v>46181</v>
      </c>
      <c r="G19" s="19">
        <v>46192</v>
      </c>
      <c r="H19" s="18">
        <v>0</v>
      </c>
      <c r="I19" s="20">
        <v>0</v>
      </c>
      <c r="J19" s="18" t="s">
        <v>640</v>
      </c>
      <c r="K19" s="23">
        <v>0.06</v>
      </c>
      <c r="M19" s="23">
        <f t="shared" si="0"/>
        <v>0</v>
      </c>
    </row>
    <row r="20" spans="1:13">
      <c r="A20" s="25" t="s">
        <v>562</v>
      </c>
      <c r="B20" s="25" t="s">
        <v>563</v>
      </c>
      <c r="C20" s="24" t="s">
        <v>564</v>
      </c>
      <c r="D20" s="25">
        <v>0</v>
      </c>
      <c r="E20" s="25">
        <v>0</v>
      </c>
      <c r="F20" s="26">
        <v>46202</v>
      </c>
      <c r="G20" s="26">
        <v>46209</v>
      </c>
      <c r="H20" s="25">
        <v>0</v>
      </c>
      <c r="I20" s="27">
        <v>0</v>
      </c>
      <c r="J20" s="25" t="s">
        <v>556</v>
      </c>
      <c r="K20" s="28"/>
      <c r="M20" s="28"/>
    </row>
    <row r="21" spans="1:13">
      <c r="A21" s="18" t="s">
        <v>565</v>
      </c>
      <c r="B21" s="18" t="s">
        <v>566</v>
      </c>
      <c r="C21" s="17" t="s">
        <v>567</v>
      </c>
      <c r="D21" s="18">
        <v>1</v>
      </c>
      <c r="E21" s="18">
        <v>1</v>
      </c>
      <c r="F21" s="19">
        <v>46202</v>
      </c>
      <c r="G21" s="19">
        <v>46202</v>
      </c>
      <c r="H21" s="18">
        <v>0</v>
      </c>
      <c r="I21" s="20">
        <v>0</v>
      </c>
      <c r="J21" s="18" t="s">
        <v>641</v>
      </c>
      <c r="K21" s="23">
        <v>0.03</v>
      </c>
      <c r="M21" s="23">
        <f t="shared" si="0"/>
        <v>0</v>
      </c>
    </row>
    <row r="22" spans="1:13">
      <c r="A22" s="18" t="s">
        <v>568</v>
      </c>
      <c r="B22" s="18" t="s">
        <v>569</v>
      </c>
      <c r="C22" s="17" t="s">
        <v>570</v>
      </c>
      <c r="D22" s="18">
        <v>3</v>
      </c>
      <c r="E22" s="18">
        <v>2</v>
      </c>
      <c r="F22" s="19">
        <v>46203</v>
      </c>
      <c r="G22" s="19">
        <v>46203</v>
      </c>
      <c r="H22" s="18">
        <v>0</v>
      </c>
      <c r="I22" s="20">
        <v>0</v>
      </c>
      <c r="J22" s="18" t="s">
        <v>565</v>
      </c>
      <c r="K22" s="23">
        <v>0.08</v>
      </c>
      <c r="M22" s="23">
        <f t="shared" si="0"/>
        <v>0</v>
      </c>
    </row>
    <row r="23" spans="1:13">
      <c r="A23" s="18" t="s">
        <v>571</v>
      </c>
      <c r="B23" s="18" t="s">
        <v>572</v>
      </c>
      <c r="C23" s="17" t="s">
        <v>573</v>
      </c>
      <c r="D23" s="18">
        <v>1</v>
      </c>
      <c r="E23" s="18">
        <v>1</v>
      </c>
      <c r="F23" s="19">
        <v>46203</v>
      </c>
      <c r="G23" s="19">
        <v>46203</v>
      </c>
      <c r="H23" s="18">
        <v>0</v>
      </c>
      <c r="I23" s="20">
        <v>0</v>
      </c>
      <c r="J23" s="18" t="s">
        <v>568</v>
      </c>
      <c r="K23" s="23">
        <v>0.06</v>
      </c>
      <c r="M23" s="23">
        <f t="shared" si="0"/>
        <v>0</v>
      </c>
    </row>
    <row r="24" spans="1:13">
      <c r="A24" s="18" t="s">
        <v>574</v>
      </c>
      <c r="B24" s="18" t="s">
        <v>575</v>
      </c>
      <c r="C24" s="17" t="s">
        <v>576</v>
      </c>
      <c r="D24" s="18">
        <v>1</v>
      </c>
      <c r="E24" s="18">
        <v>1</v>
      </c>
      <c r="F24" s="19">
        <v>46203</v>
      </c>
      <c r="G24" s="19">
        <v>46203</v>
      </c>
      <c r="H24" s="18">
        <v>0</v>
      </c>
      <c r="I24" s="20">
        <v>0</v>
      </c>
      <c r="J24" s="18" t="s">
        <v>571</v>
      </c>
      <c r="K24" s="23">
        <v>0.02</v>
      </c>
      <c r="M24" s="23">
        <f t="shared" si="0"/>
        <v>0</v>
      </c>
    </row>
    <row r="25" spans="1:13">
      <c r="A25" s="18" t="s">
        <v>577</v>
      </c>
      <c r="B25" s="18" t="s">
        <v>578</v>
      </c>
      <c r="C25" s="17" t="s">
        <v>579</v>
      </c>
      <c r="D25" s="18">
        <v>4</v>
      </c>
      <c r="E25" s="18">
        <v>4</v>
      </c>
      <c r="F25" s="19">
        <v>46204</v>
      </c>
      <c r="G25" s="19">
        <v>46204</v>
      </c>
      <c r="H25" s="18">
        <v>0</v>
      </c>
      <c r="I25" s="20">
        <v>0</v>
      </c>
      <c r="J25" s="18" t="s">
        <v>574</v>
      </c>
      <c r="K25" s="23">
        <v>0.09</v>
      </c>
      <c r="M25" s="23">
        <f t="shared" si="0"/>
        <v>0</v>
      </c>
    </row>
    <row r="26" spans="1:13">
      <c r="A26" s="18" t="s">
        <v>580</v>
      </c>
      <c r="B26" s="18" t="s">
        <v>584</v>
      </c>
      <c r="C26" s="17" t="s">
        <v>585</v>
      </c>
      <c r="D26" s="18">
        <v>2</v>
      </c>
      <c r="E26" s="18">
        <v>2</v>
      </c>
      <c r="F26" s="19">
        <v>46205</v>
      </c>
      <c r="G26" s="19">
        <v>46205</v>
      </c>
      <c r="H26" s="18">
        <v>0</v>
      </c>
      <c r="I26" s="20">
        <v>0</v>
      </c>
      <c r="J26" s="18" t="s">
        <v>577</v>
      </c>
      <c r="K26" s="23">
        <v>0.08</v>
      </c>
      <c r="M26" s="23">
        <f t="shared" si="0"/>
        <v>0</v>
      </c>
    </row>
    <row r="27" spans="1:13">
      <c r="A27" s="18" t="s">
        <v>583</v>
      </c>
      <c r="B27" s="18" t="s">
        <v>587</v>
      </c>
      <c r="C27" s="17" t="s">
        <v>588</v>
      </c>
      <c r="D27" s="18">
        <v>2</v>
      </c>
      <c r="E27" s="18">
        <v>2</v>
      </c>
      <c r="F27" s="19">
        <v>46205</v>
      </c>
      <c r="G27" s="19">
        <v>46205</v>
      </c>
      <c r="H27" s="18">
        <v>0</v>
      </c>
      <c r="I27" s="20">
        <v>0</v>
      </c>
      <c r="J27" s="18" t="s">
        <v>583</v>
      </c>
      <c r="K27" s="23">
        <v>0.06</v>
      </c>
      <c r="M27" s="23">
        <f t="shared" si="0"/>
        <v>0</v>
      </c>
    </row>
    <row r="28" spans="1:13">
      <c r="A28" s="18" t="s">
        <v>586</v>
      </c>
      <c r="B28" s="18" t="s">
        <v>590</v>
      </c>
      <c r="C28" s="17" t="s">
        <v>591</v>
      </c>
      <c r="D28" s="18">
        <v>2</v>
      </c>
      <c r="E28" s="18">
        <v>2</v>
      </c>
      <c r="F28" s="19">
        <v>46205</v>
      </c>
      <c r="G28" s="19">
        <v>46205</v>
      </c>
      <c r="H28" s="18">
        <v>0</v>
      </c>
      <c r="I28" s="20">
        <v>0</v>
      </c>
      <c r="J28" s="18" t="s">
        <v>586</v>
      </c>
      <c r="K28" s="23">
        <v>0.06</v>
      </c>
      <c r="M28" s="23">
        <f t="shared" si="0"/>
        <v>0</v>
      </c>
    </row>
    <row r="29" spans="1:13">
      <c r="A29" s="18" t="s">
        <v>589</v>
      </c>
      <c r="B29" s="18" t="s">
        <v>593</v>
      </c>
      <c r="C29" s="17" t="s">
        <v>594</v>
      </c>
      <c r="D29" s="18">
        <v>2</v>
      </c>
      <c r="E29" s="18">
        <v>2</v>
      </c>
      <c r="F29" s="19">
        <v>46206</v>
      </c>
      <c r="G29" s="19">
        <v>46206</v>
      </c>
      <c r="H29" s="18">
        <v>0</v>
      </c>
      <c r="I29" s="20">
        <v>0</v>
      </c>
      <c r="J29" s="18" t="s">
        <v>589</v>
      </c>
      <c r="K29" s="23">
        <v>0.05</v>
      </c>
      <c r="M29" s="23">
        <f t="shared" si="0"/>
        <v>0</v>
      </c>
    </row>
    <row r="30" spans="1:13">
      <c r="A30" s="18" t="s">
        <v>592</v>
      </c>
      <c r="B30" s="18" t="s">
        <v>596</v>
      </c>
      <c r="C30" s="17" t="s">
        <v>597</v>
      </c>
      <c r="D30" s="18">
        <v>3</v>
      </c>
      <c r="E30" s="18">
        <v>3</v>
      </c>
      <c r="F30" s="19">
        <v>46209</v>
      </c>
      <c r="G30" s="19">
        <v>46209</v>
      </c>
      <c r="H30" s="18">
        <v>0</v>
      </c>
      <c r="I30" s="20">
        <v>0</v>
      </c>
      <c r="J30" s="18" t="s">
        <v>592</v>
      </c>
      <c r="K30" s="23">
        <v>0.05</v>
      </c>
      <c r="M30" s="23">
        <f t="shared" si="0"/>
        <v>0</v>
      </c>
    </row>
    <row r="31" spans="1:13">
      <c r="A31" s="25" t="s">
        <v>595</v>
      </c>
      <c r="B31" s="25" t="s">
        <v>599</v>
      </c>
      <c r="C31" s="24" t="s">
        <v>600</v>
      </c>
      <c r="D31" s="25">
        <v>0</v>
      </c>
      <c r="E31" s="25">
        <v>0</v>
      </c>
      <c r="F31" s="26">
        <v>46209</v>
      </c>
      <c r="G31" s="26">
        <v>46209</v>
      </c>
      <c r="H31" s="25">
        <v>0</v>
      </c>
      <c r="I31" s="27">
        <v>0</v>
      </c>
      <c r="J31" s="25" t="s">
        <v>595</v>
      </c>
      <c r="K31" s="28"/>
      <c r="M31" s="28"/>
    </row>
    <row r="32" spans="1:13">
      <c r="A32" s="18" t="s">
        <v>601</v>
      </c>
      <c r="B32" s="18" t="s">
        <v>602</v>
      </c>
      <c r="C32" s="17" t="s">
        <v>603</v>
      </c>
      <c r="D32" s="18">
        <v>2</v>
      </c>
      <c r="E32" s="18">
        <v>2</v>
      </c>
      <c r="F32" s="19">
        <v>46210</v>
      </c>
      <c r="G32" s="19">
        <v>46211</v>
      </c>
      <c r="H32" s="18">
        <v>5</v>
      </c>
      <c r="I32" s="20">
        <v>0</v>
      </c>
      <c r="J32" s="18" t="s">
        <v>598</v>
      </c>
      <c r="K32" s="34">
        <v>0.05</v>
      </c>
      <c r="M32" s="34">
        <f t="shared" si="0"/>
        <v>0</v>
      </c>
    </row>
    <row r="33" spans="1:13">
      <c r="A33" s="18" t="s">
        <v>604</v>
      </c>
      <c r="B33" s="18" t="s">
        <v>605</v>
      </c>
      <c r="C33" s="17" t="s">
        <v>606</v>
      </c>
      <c r="D33" s="18">
        <v>5</v>
      </c>
      <c r="E33" s="18">
        <v>5</v>
      </c>
      <c r="F33" s="19">
        <v>46211</v>
      </c>
      <c r="G33" s="19">
        <v>46216</v>
      </c>
      <c r="H33" s="18">
        <v>5</v>
      </c>
      <c r="I33" s="20">
        <v>0</v>
      </c>
      <c r="J33" s="18" t="s">
        <v>598</v>
      </c>
      <c r="K33" s="23">
        <v>0.02</v>
      </c>
      <c r="M33" s="23">
        <f t="shared" si="0"/>
        <v>0</v>
      </c>
    </row>
    <row r="34" spans="1:13">
      <c r="A34" s="18" t="s">
        <v>607</v>
      </c>
      <c r="B34" s="18" t="s">
        <v>608</v>
      </c>
      <c r="C34" s="17" t="s">
        <v>1312</v>
      </c>
      <c r="D34" s="18">
        <v>1</v>
      </c>
      <c r="E34" s="18">
        <v>1</v>
      </c>
      <c r="F34" s="19">
        <v>46216</v>
      </c>
      <c r="G34" s="19">
        <v>46230</v>
      </c>
      <c r="H34" s="18">
        <v>3</v>
      </c>
      <c r="I34" s="20">
        <v>0</v>
      </c>
      <c r="J34" s="18" t="s">
        <v>604</v>
      </c>
      <c r="K34" s="23">
        <v>0.02</v>
      </c>
      <c r="M34" s="23">
        <f t="shared" si="0"/>
        <v>0</v>
      </c>
    </row>
    <row r="35" spans="1:13">
      <c r="A35" s="18" t="s">
        <v>610</v>
      </c>
      <c r="B35" s="18"/>
      <c r="C35" s="21" t="s">
        <v>611</v>
      </c>
      <c r="D35" s="18">
        <v>1</v>
      </c>
      <c r="E35" s="18">
        <v>1</v>
      </c>
      <c r="F35" s="19">
        <v>46234</v>
      </c>
      <c r="G35" s="19">
        <v>46234</v>
      </c>
      <c r="H35" s="18">
        <v>0</v>
      </c>
      <c r="I35" s="20">
        <v>0</v>
      </c>
      <c r="J35" s="18" t="s">
        <v>643</v>
      </c>
      <c r="K35" s="23"/>
      <c r="M35" s="23">
        <f t="shared" si="0"/>
        <v>0</v>
      </c>
    </row>
    <row r="36" spans="1:13">
      <c r="K36" s="23">
        <f>SUM(K7:K35)</f>
        <v>1.0000000000000002</v>
      </c>
      <c r="M36" s="23">
        <f>SUM(M9:M35)</f>
        <v>0.112</v>
      </c>
    </row>
  </sheetData>
  <mergeCells count="3">
    <mergeCell ref="A2:I2"/>
    <mergeCell ref="A3:I3"/>
    <mergeCell ref="A4:I4"/>
  </mergeCells>
  <pageMargins left="0.7" right="0.7" top="0.75" bottom="0.75" header="0.3" footer="0.3"/>
  <pageSetup scale="6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25"/>
  <sheetViews>
    <sheetView showGridLines="0" workbookViewId="0">
      <pane ySplit="3" topLeftCell="A8" activePane="bottomLeft" state="frozen"/>
      <selection pane="bottomLeft" activeCell="C11" sqref="C11"/>
    </sheetView>
  </sheetViews>
  <sheetFormatPr baseColWidth="10" defaultColWidth="8.7265625" defaultRowHeight="14.5"/>
  <cols>
    <col min="1" max="1" width="2.453125" customWidth="1"/>
    <col min="2" max="2" width="31.81640625" customWidth="1"/>
    <col min="3" max="3" width="38" customWidth="1"/>
    <col min="4" max="4" width="28.54296875" customWidth="1"/>
    <col min="5" max="5" width="31.81640625" customWidth="1"/>
    <col min="6" max="6" width="28" customWidth="1"/>
    <col min="8" max="8" width="25" customWidth="1"/>
    <col min="9" max="9" width="16.81640625" bestFit="1" customWidth="1"/>
  </cols>
  <sheetData>
    <row r="2" spans="2:9" ht="21" customHeight="1">
      <c r="B2" s="420" t="s">
        <v>644</v>
      </c>
      <c r="C2" s="410"/>
      <c r="D2" s="410"/>
      <c r="E2" s="410"/>
      <c r="F2" s="410"/>
      <c r="H2" s="494" t="s">
        <v>645</v>
      </c>
      <c r="I2" s="410"/>
    </row>
    <row r="3" spans="2:9" ht="21" customHeight="1">
      <c r="B3" s="1" t="s">
        <v>379</v>
      </c>
      <c r="C3" s="2" t="s">
        <v>383</v>
      </c>
      <c r="D3" s="3" t="s">
        <v>388</v>
      </c>
      <c r="E3" s="4" t="s">
        <v>392</v>
      </c>
      <c r="F3" s="5" t="s">
        <v>394</v>
      </c>
      <c r="H3" s="495"/>
      <c r="I3" s="495"/>
    </row>
    <row r="4" spans="2:9">
      <c r="B4" s="6" t="s">
        <v>646</v>
      </c>
      <c r="C4" s="6" t="s">
        <v>507</v>
      </c>
      <c r="D4" s="6" t="s">
        <v>647</v>
      </c>
      <c r="E4" s="6" t="s">
        <v>648</v>
      </c>
      <c r="F4" s="6" t="s">
        <v>649</v>
      </c>
      <c r="H4" s="45" t="s">
        <v>650</v>
      </c>
      <c r="I4" s="46">
        <f>COUNTA('Detalle Compromisos'!C2:C106)</f>
        <v>41</v>
      </c>
    </row>
    <row r="5" spans="2:9" ht="29" customHeight="1">
      <c r="B5" s="364" t="s">
        <v>651</v>
      </c>
      <c r="C5" s="6" t="s">
        <v>652</v>
      </c>
      <c r="D5" s="6"/>
      <c r="E5" s="6" t="s">
        <v>653</v>
      </c>
      <c r="F5" s="6"/>
      <c r="H5" s="45" t="s">
        <v>654</v>
      </c>
      <c r="I5" s="47">
        <f>AVERAGE('Detalle Compromisos'!H2:H106)</f>
        <v>4.7619047619047616E-2</v>
      </c>
    </row>
    <row r="6" spans="2:9" ht="26.15" customHeight="1">
      <c r="B6" s="6" t="s">
        <v>655</v>
      </c>
      <c r="C6" s="6"/>
      <c r="D6" s="6"/>
      <c r="E6" s="6"/>
      <c r="F6" s="6"/>
    </row>
    <row r="7" spans="2:9" ht="31" customHeight="1">
      <c r="B7" s="6" t="s">
        <v>529</v>
      </c>
      <c r="C7" s="6"/>
      <c r="D7" s="6"/>
      <c r="E7" s="6"/>
      <c r="F7" s="6"/>
      <c r="H7" s="64" t="s">
        <v>656</v>
      </c>
      <c r="I7" s="64" t="s">
        <v>657</v>
      </c>
    </row>
    <row r="8" spans="2:9" ht="29" customHeight="1">
      <c r="B8" s="6" t="s">
        <v>658</v>
      </c>
      <c r="C8" s="6" t="s">
        <v>659</v>
      </c>
      <c r="D8" s="6" t="s">
        <v>660</v>
      </c>
      <c r="E8" s="6" t="s">
        <v>661</v>
      </c>
      <c r="F8" s="6"/>
      <c r="H8" s="45" t="s">
        <v>400</v>
      </c>
      <c r="I8" s="46">
        <f>COUNTIF('Detalle Compromisos'!$D$1:$D$119, "Jose Contuliano")</f>
        <v>2</v>
      </c>
    </row>
    <row r="9" spans="2:9" ht="29" customHeight="1">
      <c r="B9" s="6" t="s">
        <v>662</v>
      </c>
      <c r="C9" s="6" t="s">
        <v>515</v>
      </c>
      <c r="D9" s="6"/>
      <c r="E9" s="6"/>
      <c r="F9" s="6"/>
      <c r="H9" s="45" t="s">
        <v>49</v>
      </c>
      <c r="I9" s="46">
        <f>COUNTIF('Detalle Compromisos'!$D$1:$D$120, "Juan Carlos Santander")</f>
        <v>4</v>
      </c>
    </row>
    <row r="10" spans="2:9" ht="29" customHeight="1">
      <c r="B10" s="6" t="s">
        <v>663</v>
      </c>
      <c r="C10" s="6" t="s">
        <v>664</v>
      </c>
      <c r="D10" s="6"/>
      <c r="E10" s="6" t="s">
        <v>665</v>
      </c>
      <c r="F10" s="6"/>
      <c r="H10" s="45" t="s">
        <v>398</v>
      </c>
      <c r="I10" s="46">
        <f>COUNTIF('Detalle Compromisos'!$D$1:$D$121, "Jesenia Ramirez")</f>
        <v>3</v>
      </c>
    </row>
    <row r="11" spans="2:9" ht="29" customHeight="1">
      <c r="B11" s="6" t="s">
        <v>666</v>
      </c>
      <c r="C11" s="6"/>
      <c r="D11" s="6"/>
      <c r="E11" s="6"/>
      <c r="F11" s="6"/>
      <c r="H11" s="45" t="s">
        <v>359</v>
      </c>
      <c r="I11" s="46">
        <f>COUNTIF('Detalle Compromisos'!$D$7:$D$122, "Andres Tebes")</f>
        <v>0</v>
      </c>
    </row>
    <row r="12" spans="2:9" ht="29" customHeight="1">
      <c r="B12" s="6" t="s">
        <v>533</v>
      </c>
      <c r="C12" s="6"/>
      <c r="D12" s="6"/>
      <c r="E12" s="6"/>
      <c r="F12" s="6"/>
      <c r="H12" s="45" t="s">
        <v>395</v>
      </c>
      <c r="I12" s="46">
        <f>COUNTIF('Detalle Compromisos'!$D$8:$D$123, "Claudio Cajas")</f>
        <v>1</v>
      </c>
    </row>
    <row r="13" spans="2:9" ht="29" customHeight="1">
      <c r="B13" s="6" t="s">
        <v>537</v>
      </c>
      <c r="C13" s="6"/>
      <c r="D13" s="6"/>
      <c r="E13" s="6"/>
      <c r="F13" s="6"/>
      <c r="H13" s="45" t="s">
        <v>396</v>
      </c>
      <c r="I13" s="46">
        <f>COUNTIF('Detalle Compromisos'!$D$9:$D$124, "Franklin Godoy")</f>
        <v>3</v>
      </c>
    </row>
    <row r="14" spans="2:9" ht="29" customHeight="1">
      <c r="B14" s="6" t="s">
        <v>524</v>
      </c>
      <c r="C14" s="6"/>
      <c r="D14" s="6"/>
      <c r="E14" s="6"/>
      <c r="F14" s="6"/>
      <c r="H14" s="45"/>
      <c r="I14" s="48">
        <f>SUM(I8:I13)</f>
        <v>13</v>
      </c>
    </row>
    <row r="15" spans="2:9">
      <c r="B15" s="6"/>
      <c r="C15" s="6"/>
      <c r="D15" s="6"/>
      <c r="E15" s="6"/>
      <c r="F15" s="6"/>
    </row>
    <row r="16" spans="2:9">
      <c r="B16" s="6"/>
      <c r="C16" s="6"/>
      <c r="D16" s="6"/>
      <c r="E16" s="6"/>
      <c r="F16" s="6"/>
    </row>
    <row r="17" spans="2:6">
      <c r="B17" s="6"/>
      <c r="C17" s="6"/>
      <c r="D17" s="6"/>
      <c r="E17" s="6"/>
      <c r="F17" s="6"/>
    </row>
    <row r="18" spans="2:6">
      <c r="B18" s="6"/>
      <c r="C18" s="6"/>
      <c r="D18" s="6"/>
      <c r="E18" s="6"/>
      <c r="F18" s="6"/>
    </row>
    <row r="19" spans="2:6">
      <c r="B19" s="6"/>
      <c r="C19" s="6"/>
      <c r="D19" s="6"/>
      <c r="E19" s="6"/>
      <c r="F19" s="6"/>
    </row>
    <row r="20" spans="2:6">
      <c r="B20" s="6"/>
      <c r="C20" s="6"/>
      <c r="D20" s="6"/>
      <c r="E20" s="6"/>
      <c r="F20" s="6"/>
    </row>
    <row r="21" spans="2:6">
      <c r="B21" s="6"/>
      <c r="C21" s="6"/>
      <c r="D21" s="6"/>
      <c r="E21" s="6"/>
      <c r="F21" s="6"/>
    </row>
    <row r="22" spans="2:6">
      <c r="B22" s="6"/>
      <c r="C22" s="6"/>
      <c r="D22" s="6"/>
      <c r="E22" s="6"/>
      <c r="F22" s="6"/>
    </row>
    <row r="23" spans="2:6">
      <c r="B23" s="6"/>
      <c r="C23" s="6"/>
      <c r="D23" s="6"/>
      <c r="E23" s="6"/>
      <c r="F23" s="6"/>
    </row>
    <row r="24" spans="2:6">
      <c r="B24" s="6"/>
      <c r="C24" s="6"/>
      <c r="D24" s="6"/>
      <c r="E24" s="6"/>
      <c r="F24" s="6"/>
    </row>
    <row r="25" spans="2:6">
      <c r="B25" s="6"/>
      <c r="C25" s="6"/>
      <c r="D25" s="6"/>
      <c r="E25" s="6"/>
      <c r="F25" s="6"/>
    </row>
  </sheetData>
  <mergeCells count="2">
    <mergeCell ref="B2:F2"/>
    <mergeCell ref="H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25"/>
  <sheetViews>
    <sheetView showGridLines="0" workbookViewId="0">
      <selection activeCell="L6" sqref="L6"/>
    </sheetView>
  </sheetViews>
  <sheetFormatPr baseColWidth="10" defaultColWidth="8.7265625" defaultRowHeight="14.5"/>
  <cols>
    <col min="2" max="2" width="39.1796875" customWidth="1"/>
    <col min="3" max="4" width="12.1796875" customWidth="1"/>
    <col min="5" max="5" width="12.26953125" customWidth="1"/>
    <col min="6" max="6" width="14.1796875" customWidth="1"/>
    <col min="7" max="7" width="15.1796875" bestFit="1" customWidth="1"/>
    <col min="9" max="9" width="13" customWidth="1"/>
    <col min="10" max="10" width="16.81640625" customWidth="1"/>
    <col min="11" max="11" width="16.54296875" customWidth="1"/>
    <col min="12" max="12" width="18" customWidth="1"/>
    <col min="13" max="13" width="12.7265625" customWidth="1"/>
  </cols>
  <sheetData>
    <row r="2" spans="2:14" ht="14.5" customHeight="1">
      <c r="B2" s="496" t="s">
        <v>667</v>
      </c>
      <c r="C2" s="410"/>
      <c r="D2" s="410"/>
      <c r="E2" s="410"/>
      <c r="F2" s="410"/>
      <c r="G2" s="410"/>
      <c r="I2" s="496" t="s">
        <v>668</v>
      </c>
      <c r="J2" s="410"/>
      <c r="K2" s="410"/>
      <c r="L2" s="410"/>
      <c r="M2" s="410"/>
      <c r="N2" s="410"/>
    </row>
    <row r="3" spans="2:14">
      <c r="B3" s="410"/>
      <c r="C3" s="410"/>
      <c r="D3" s="410"/>
      <c r="E3" s="410"/>
      <c r="F3" s="410"/>
      <c r="G3" s="410"/>
      <c r="I3" s="410"/>
      <c r="J3" s="410"/>
      <c r="K3" s="410"/>
      <c r="L3" s="410"/>
      <c r="M3" s="410"/>
      <c r="N3" s="410"/>
    </row>
    <row r="5" spans="2:14">
      <c r="B5" s="50" t="s">
        <v>179</v>
      </c>
      <c r="C5" s="50" t="s">
        <v>669</v>
      </c>
      <c r="D5" s="50" t="s">
        <v>670</v>
      </c>
      <c r="E5" s="50" t="s">
        <v>671</v>
      </c>
      <c r="F5" s="50" t="s">
        <v>672</v>
      </c>
      <c r="G5" s="50" t="s">
        <v>673</v>
      </c>
      <c r="I5" s="50" t="s">
        <v>674</v>
      </c>
      <c r="J5" s="50" t="s">
        <v>675</v>
      </c>
      <c r="K5" s="50" t="s">
        <v>676</v>
      </c>
      <c r="L5" s="50" t="s">
        <v>677</v>
      </c>
    </row>
    <row r="6" spans="2:14">
      <c r="B6" s="68" t="s">
        <v>678</v>
      </c>
      <c r="C6" s="69">
        <v>0.12</v>
      </c>
      <c r="D6" s="69">
        <v>0.18</v>
      </c>
      <c r="E6" s="69">
        <v>0.6</v>
      </c>
      <c r="F6" s="69">
        <v>0.1</v>
      </c>
      <c r="G6" s="69">
        <v>0</v>
      </c>
      <c r="I6" s="68" t="s">
        <v>128</v>
      </c>
      <c r="J6" s="74">
        <v>30000000</v>
      </c>
      <c r="K6" s="74">
        <v>25000000</v>
      </c>
      <c r="L6" s="74">
        <v>26800000</v>
      </c>
    </row>
    <row r="7" spans="2:14">
      <c r="B7" s="68" t="s">
        <v>679</v>
      </c>
      <c r="C7" s="69">
        <f>IFERROR(SUM(C6:C6), "Pendiente")</f>
        <v>0.12</v>
      </c>
      <c r="D7" s="69">
        <f>IFERROR(SUM(C6:D6), "Pendiente")</f>
        <v>0.3</v>
      </c>
      <c r="E7" s="69">
        <f>IFERROR(SUM(C6:E6), "Pendiente")</f>
        <v>0.89999999999999991</v>
      </c>
      <c r="F7" s="69">
        <f>IFERROR(SUM(C6:F6), "Pendiente")</f>
        <v>0.99999999999999989</v>
      </c>
      <c r="G7" s="69">
        <f>IFERROR(SUM(C6:G6), "Pendiente")</f>
        <v>0.99999999999999989</v>
      </c>
      <c r="I7" s="68" t="s">
        <v>130</v>
      </c>
      <c r="J7" s="74">
        <v>75000000</v>
      </c>
      <c r="K7" s="74">
        <v>0</v>
      </c>
      <c r="L7" s="74">
        <v>0</v>
      </c>
    </row>
    <row r="8" spans="2:14">
      <c r="B8" s="68" t="s">
        <v>680</v>
      </c>
      <c r="C8" s="70">
        <v>0.05</v>
      </c>
      <c r="D8" s="70">
        <v>0</v>
      </c>
      <c r="E8" s="70">
        <v>0</v>
      </c>
      <c r="F8" s="70">
        <v>0</v>
      </c>
      <c r="G8" s="70">
        <v>0</v>
      </c>
      <c r="I8" s="68" t="s">
        <v>681</v>
      </c>
      <c r="J8" s="75">
        <v>220000000</v>
      </c>
      <c r="K8" s="75">
        <v>0</v>
      </c>
      <c r="L8" s="75">
        <v>0</v>
      </c>
    </row>
    <row r="9" spans="2:14">
      <c r="B9" s="68" t="s">
        <v>682</v>
      </c>
      <c r="C9" s="69">
        <f>IFERROR(SUM(C8:C8), "Pendiente")</f>
        <v>0.05</v>
      </c>
      <c r="D9" s="69">
        <f>IFERROR(SUM(C8:D8), "Pendiente")</f>
        <v>0.05</v>
      </c>
      <c r="E9" s="69">
        <f>IFERROR(SUM(C8:E8), "Pendiente")</f>
        <v>0.05</v>
      </c>
      <c r="F9" s="69">
        <f>IFERROR(SUM(C8:F8), "Pendiente")</f>
        <v>0.05</v>
      </c>
      <c r="G9" s="69">
        <f>IFERROR(SUM(C8:G8), "Pendiente")</f>
        <v>0.05</v>
      </c>
      <c r="I9" s="68" t="s">
        <v>683</v>
      </c>
      <c r="J9" s="74">
        <v>253028082</v>
      </c>
      <c r="K9" s="74">
        <v>0</v>
      </c>
      <c r="L9" s="74">
        <v>0</v>
      </c>
    </row>
    <row r="10" spans="2:14">
      <c r="B10" s="68" t="s">
        <v>684</v>
      </c>
      <c r="C10" s="69">
        <f>IFERROR(C9 - C7, "Pendiente")</f>
        <v>-6.9999999999999993E-2</v>
      </c>
      <c r="D10" s="69">
        <f>IFERROR(D9 - D7, "Pendiente")</f>
        <v>-0.25</v>
      </c>
      <c r="E10" s="69">
        <f>IFERROR(E9 - E7, "Pendiente")</f>
        <v>-0.84999999999999987</v>
      </c>
      <c r="F10" s="69">
        <f>IFERROR(F9 - F7, "Pendiente")</f>
        <v>-0.94999999999999984</v>
      </c>
      <c r="G10" s="69">
        <f>IFERROR(G9 - G7, "Pendiente")</f>
        <v>-0.94999999999999984</v>
      </c>
    </row>
    <row r="11" spans="2:14">
      <c r="B11" s="68" t="s">
        <v>685</v>
      </c>
      <c r="C11" s="71">
        <f>IFERROR(C9 / C7, "Pendiente")</f>
        <v>0.41666666666666669</v>
      </c>
      <c r="D11" s="71">
        <f>IFERROR(D9 / D7, "Pendiente")</f>
        <v>0.16666666666666669</v>
      </c>
      <c r="E11" s="71">
        <f>IFERROR(E9 / E7, "Pendiente")</f>
        <v>5.5555555555555566E-2</v>
      </c>
      <c r="F11" s="71">
        <f>IFERROR(F9 / F7, "Pendiente")</f>
        <v>5.000000000000001E-2</v>
      </c>
      <c r="G11" s="71">
        <f>IFERROR(G9 / G7, "Pendiente")</f>
        <v>5.000000000000001E-2</v>
      </c>
    </row>
    <row r="12" spans="2:14">
      <c r="B12" s="72" t="s">
        <v>686</v>
      </c>
    </row>
    <row r="14" spans="2:14">
      <c r="B14" s="50" t="s">
        <v>687</v>
      </c>
    </row>
    <row r="15" spans="2:14">
      <c r="B15" s="50" t="s">
        <v>674</v>
      </c>
      <c r="C15" s="50" t="s">
        <v>688</v>
      </c>
      <c r="D15" s="50" t="s">
        <v>689</v>
      </c>
      <c r="E15" s="50" t="s">
        <v>690</v>
      </c>
      <c r="F15" s="50" t="s">
        <v>691</v>
      </c>
      <c r="G15" s="50" t="s">
        <v>692</v>
      </c>
    </row>
    <row r="16" spans="2:14">
      <c r="B16" s="68" t="s">
        <v>693</v>
      </c>
      <c r="C16" s="354">
        <f>253028082.12 * C7</f>
        <v>30363369.854399998</v>
      </c>
      <c r="D16" s="354">
        <f>253028082.12 * D7</f>
        <v>75908424.635999992</v>
      </c>
      <c r="E16" s="354">
        <f>253028082.12 * E7</f>
        <v>227725273.90799999</v>
      </c>
      <c r="F16" s="354">
        <f>253028082.12 * F7</f>
        <v>253028082.11999997</v>
      </c>
      <c r="G16" s="354">
        <f>253028082.12 * G7</f>
        <v>253028082.11999997</v>
      </c>
    </row>
    <row r="17" spans="2:8">
      <c r="B17" s="68" t="s">
        <v>694</v>
      </c>
      <c r="C17" s="354">
        <f>253028082.12 * C9</f>
        <v>12651404.106000001</v>
      </c>
      <c r="D17" s="354">
        <f>253028082.12 * D9</f>
        <v>12651404.106000001</v>
      </c>
      <c r="E17" s="354">
        <f>253028082.12 * E9</f>
        <v>12651404.106000001</v>
      </c>
      <c r="F17" s="354">
        <f>253028082.12 * F9</f>
        <v>12651404.106000001</v>
      </c>
      <c r="G17" s="354">
        <f>253028082.12 * G9</f>
        <v>12651404.106000001</v>
      </c>
    </row>
    <row r="18" spans="2:8">
      <c r="B18" s="68" t="s">
        <v>695</v>
      </c>
      <c r="C18" s="354">
        <f>SUM(Control_Presupuesto!D39)</f>
        <v>200000</v>
      </c>
      <c r="D18" s="354">
        <f>SUM(Control_Presupuesto!E39)</f>
        <v>0</v>
      </c>
      <c r="E18" s="354">
        <f>SUM(Control_Presupuesto!F39)</f>
        <v>0</v>
      </c>
      <c r="F18" s="354">
        <f>SUM(Control_Presupuesto!G39)</f>
        <v>0</v>
      </c>
      <c r="G18" s="354">
        <f>SUM(Control_Presupuesto!H39)</f>
        <v>0</v>
      </c>
    </row>
    <row r="19" spans="2:8">
      <c r="C19" s="353"/>
      <c r="D19" s="353"/>
      <c r="E19" s="353"/>
      <c r="F19" s="353"/>
      <c r="G19" s="353"/>
    </row>
    <row r="20" spans="2:8">
      <c r="B20" s="50" t="s">
        <v>696</v>
      </c>
      <c r="C20" s="353"/>
      <c r="D20" s="353"/>
      <c r="E20" s="353"/>
      <c r="F20" s="353"/>
      <c r="G20" s="353"/>
    </row>
    <row r="21" spans="2:8">
      <c r="B21" s="50" t="s">
        <v>674</v>
      </c>
      <c r="C21" s="50" t="s">
        <v>688</v>
      </c>
      <c r="D21" s="50" t="s">
        <v>689</v>
      </c>
      <c r="E21" s="50" t="s">
        <v>690</v>
      </c>
      <c r="F21" s="50" t="s">
        <v>691</v>
      </c>
      <c r="G21" s="50" t="s">
        <v>692</v>
      </c>
      <c r="H21" s="50" t="s">
        <v>697</v>
      </c>
    </row>
    <row r="22" spans="2:8">
      <c r="B22" s="68" t="s">
        <v>698</v>
      </c>
      <c r="C22" s="354">
        <v>1250</v>
      </c>
      <c r="D22" s="354">
        <v>0</v>
      </c>
      <c r="E22" s="354">
        <v>0</v>
      </c>
      <c r="F22" s="354">
        <v>0</v>
      </c>
      <c r="G22" s="354">
        <v>0</v>
      </c>
      <c r="H22" s="354">
        <f>SUM(C22:G22)</f>
        <v>1250</v>
      </c>
    </row>
    <row r="23" spans="2:8">
      <c r="B23" s="68" t="s">
        <v>699</v>
      </c>
      <c r="C23" s="354">
        <v>4</v>
      </c>
      <c r="D23" s="354">
        <v>0</v>
      </c>
      <c r="E23" s="354">
        <v>0</v>
      </c>
      <c r="F23" s="354">
        <v>0</v>
      </c>
      <c r="G23" s="354">
        <v>0</v>
      </c>
      <c r="H23" s="354"/>
    </row>
    <row r="24" spans="2:8">
      <c r="B24" s="68" t="s">
        <v>700</v>
      </c>
      <c r="C24" s="354">
        <f>+C25*(42*4)</f>
        <v>672</v>
      </c>
      <c r="D24" s="354">
        <f>+D25*(42*4)</f>
        <v>2856</v>
      </c>
      <c r="E24" s="354">
        <f>+E25*(42*4)</f>
        <v>2856</v>
      </c>
      <c r="F24" s="354">
        <f>+F25*(42*4)</f>
        <v>672</v>
      </c>
      <c r="G24" s="354">
        <f>+G25*(42*4)</f>
        <v>168</v>
      </c>
      <c r="H24" s="354">
        <f>SUM(C24:G24)</f>
        <v>7224</v>
      </c>
    </row>
    <row r="25" spans="2:8">
      <c r="B25" s="68" t="s">
        <v>701</v>
      </c>
      <c r="C25" s="354">
        <v>4</v>
      </c>
      <c r="D25" s="354">
        <v>17</v>
      </c>
      <c r="E25" s="354">
        <v>17</v>
      </c>
      <c r="F25" s="354">
        <v>4</v>
      </c>
      <c r="G25" s="354">
        <v>1</v>
      </c>
      <c r="H25" s="354"/>
    </row>
  </sheetData>
  <mergeCells count="2">
    <mergeCell ref="B2:G3"/>
    <mergeCell ref="I2:N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L34" sqref="L34"/>
    </sheetView>
  </sheetViews>
  <sheetFormatPr baseColWidth="10" defaultColWidth="11.453125" defaultRowHeight="14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9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17" sqref="O17"/>
    </sheetView>
  </sheetViews>
  <sheetFormatPr baseColWidth="10" defaultColWidth="8.7265625" defaultRowHeight="14.5"/>
  <cols>
    <col min="1" max="1" width="5.81640625" bestFit="1" customWidth="1"/>
    <col min="2" max="2" width="18" customWidth="1"/>
    <col min="3" max="3" width="13.1796875" style="7" bestFit="1" customWidth="1"/>
    <col min="4" max="4" width="14.7265625" style="7" bestFit="1" customWidth="1"/>
    <col min="5" max="5" width="13.81640625" bestFit="1" customWidth="1"/>
    <col min="6" max="6" width="18" customWidth="1"/>
    <col min="7" max="8" width="17.54296875" customWidth="1"/>
    <col min="9" max="9" width="16.90625" customWidth="1"/>
    <col min="10" max="10" width="17.1796875" customWidth="1"/>
    <col min="11" max="11" width="15.81640625" customWidth="1"/>
    <col min="12" max="12" width="16.453125" customWidth="1"/>
    <col min="13" max="13" width="13.453125" customWidth="1"/>
    <col min="14" max="14" width="13.90625" customWidth="1"/>
    <col min="15" max="16" width="18" style="7" customWidth="1"/>
    <col min="17" max="17" width="31.7265625" bestFit="1" customWidth="1"/>
  </cols>
  <sheetData>
    <row r="1" spans="1:17" ht="29" customHeight="1">
      <c r="A1" s="50" t="s">
        <v>0</v>
      </c>
      <c r="B1" s="50" t="s">
        <v>702</v>
      </c>
      <c r="C1" s="50" t="s">
        <v>703</v>
      </c>
      <c r="D1" s="50" t="s">
        <v>704</v>
      </c>
      <c r="E1" s="50" t="s">
        <v>488</v>
      </c>
      <c r="F1" s="50" t="s">
        <v>705</v>
      </c>
      <c r="G1" s="50" t="s">
        <v>706</v>
      </c>
      <c r="H1" s="50" t="s">
        <v>707</v>
      </c>
      <c r="I1" s="50" t="s">
        <v>708</v>
      </c>
      <c r="J1" s="50" t="s">
        <v>709</v>
      </c>
      <c r="K1" s="50" t="s">
        <v>710</v>
      </c>
      <c r="L1" s="50" t="s">
        <v>711</v>
      </c>
      <c r="M1" s="50" t="s">
        <v>712</v>
      </c>
      <c r="N1" s="50" t="s">
        <v>713</v>
      </c>
      <c r="O1" s="50" t="s">
        <v>489</v>
      </c>
      <c r="P1" s="50" t="s">
        <v>714</v>
      </c>
      <c r="Q1" s="50" t="s">
        <v>36</v>
      </c>
    </row>
    <row r="2" spans="1:17">
      <c r="A2" s="35" t="s">
        <v>715</v>
      </c>
      <c r="B2" s="35" t="s">
        <v>716</v>
      </c>
      <c r="C2" s="36" t="s">
        <v>717</v>
      </c>
      <c r="D2" s="36" t="s">
        <v>718</v>
      </c>
      <c r="E2" s="35" t="s">
        <v>396</v>
      </c>
      <c r="F2" s="49" t="s">
        <v>41</v>
      </c>
      <c r="G2" s="49" t="s">
        <v>41</v>
      </c>
      <c r="H2" s="49" t="s">
        <v>41</v>
      </c>
      <c r="I2" s="49" t="s">
        <v>41</v>
      </c>
      <c r="J2" s="49" t="s">
        <v>42</v>
      </c>
      <c r="K2" s="49" t="s">
        <v>41</v>
      </c>
      <c r="L2" s="49" t="s">
        <v>42</v>
      </c>
      <c r="M2" s="386">
        <v>46188</v>
      </c>
      <c r="N2" s="66"/>
      <c r="O2" s="36" t="str">
        <f t="shared" ref="O2:O9" si="0">IFERROR(IF(N2=1, "Acreditado", IF(N2&gt;0, "En Proceso", "No Iniciado")), "Pendiente")</f>
        <v>No Iniciado</v>
      </c>
      <c r="P2" s="36">
        <f t="shared" ref="P2:P9" si="1">IFERROR(IF(O2="Acreditado", 3, IF(O2="En Proceso", 2, 1)), "Pendiente")</f>
        <v>1</v>
      </c>
      <c r="Q2" s="35"/>
    </row>
    <row r="3" spans="1:17">
      <c r="A3" s="35" t="s">
        <v>719</v>
      </c>
      <c r="B3" s="35" t="s">
        <v>716</v>
      </c>
      <c r="C3" s="36" t="s">
        <v>720</v>
      </c>
      <c r="D3" s="36" t="s">
        <v>718</v>
      </c>
      <c r="E3" s="35" t="s">
        <v>396</v>
      </c>
      <c r="F3" s="49" t="s">
        <v>41</v>
      </c>
      <c r="G3" s="49" t="s">
        <v>41</v>
      </c>
      <c r="H3" s="49" t="s">
        <v>41</v>
      </c>
      <c r="I3" s="49" t="s">
        <v>41</v>
      </c>
      <c r="J3" s="49" t="s">
        <v>42</v>
      </c>
      <c r="K3" s="49" t="s">
        <v>41</v>
      </c>
      <c r="L3" s="49" t="s">
        <v>42</v>
      </c>
      <c r="M3" s="386">
        <v>46188</v>
      </c>
      <c r="N3" s="66"/>
      <c r="O3" s="36" t="str">
        <f t="shared" si="0"/>
        <v>No Iniciado</v>
      </c>
      <c r="P3" s="36">
        <f t="shared" si="1"/>
        <v>1</v>
      </c>
      <c r="Q3" s="35"/>
    </row>
    <row r="4" spans="1:17">
      <c r="A4" s="35" t="s">
        <v>721</v>
      </c>
      <c r="B4" s="35" t="s">
        <v>716</v>
      </c>
      <c r="C4" s="36" t="s">
        <v>722</v>
      </c>
      <c r="D4" s="36" t="s">
        <v>718</v>
      </c>
      <c r="E4" s="35" t="s">
        <v>396</v>
      </c>
      <c r="F4" s="49" t="s">
        <v>41</v>
      </c>
      <c r="G4" s="49" t="s">
        <v>41</v>
      </c>
      <c r="H4" s="49" t="s">
        <v>41</v>
      </c>
      <c r="I4" s="49" t="s">
        <v>41</v>
      </c>
      <c r="J4" s="49" t="s">
        <v>42</v>
      </c>
      <c r="K4" s="49" t="s">
        <v>41</v>
      </c>
      <c r="L4" s="49" t="s">
        <v>42</v>
      </c>
      <c r="M4" s="386">
        <v>46188</v>
      </c>
      <c r="N4" s="66"/>
      <c r="O4" s="36" t="str">
        <f t="shared" si="0"/>
        <v>No Iniciado</v>
      </c>
      <c r="P4" s="36">
        <f t="shared" si="1"/>
        <v>1</v>
      </c>
      <c r="Q4" s="35"/>
    </row>
    <row r="5" spans="1:17">
      <c r="A5" s="35" t="s">
        <v>723</v>
      </c>
      <c r="B5" s="35" t="s">
        <v>716</v>
      </c>
      <c r="C5" s="36" t="s">
        <v>724</v>
      </c>
      <c r="D5" s="36" t="s">
        <v>718</v>
      </c>
      <c r="E5" s="35" t="s">
        <v>396</v>
      </c>
      <c r="F5" s="49" t="s">
        <v>41</v>
      </c>
      <c r="G5" s="49" t="s">
        <v>41</v>
      </c>
      <c r="H5" s="49" t="s">
        <v>41</v>
      </c>
      <c r="I5" s="49" t="s">
        <v>41</v>
      </c>
      <c r="J5" s="49" t="s">
        <v>42</v>
      </c>
      <c r="K5" s="49" t="s">
        <v>41</v>
      </c>
      <c r="L5" s="49" t="s">
        <v>42</v>
      </c>
      <c r="M5" s="386">
        <v>46188</v>
      </c>
      <c r="N5" s="66"/>
      <c r="O5" s="36" t="str">
        <f t="shared" si="0"/>
        <v>No Iniciado</v>
      </c>
      <c r="P5" s="36">
        <f t="shared" si="1"/>
        <v>1</v>
      </c>
      <c r="Q5" s="35"/>
    </row>
    <row r="6" spans="1:17">
      <c r="A6" s="35" t="s">
        <v>725</v>
      </c>
      <c r="B6" s="35" t="s">
        <v>726</v>
      </c>
      <c r="C6" s="36" t="s">
        <v>727</v>
      </c>
      <c r="D6" s="36" t="s">
        <v>728</v>
      </c>
      <c r="E6" s="35" t="s">
        <v>396</v>
      </c>
      <c r="F6" s="49" t="s">
        <v>156</v>
      </c>
      <c r="G6" s="49" t="s">
        <v>729</v>
      </c>
      <c r="H6" s="49" t="s">
        <v>41</v>
      </c>
      <c r="I6" s="49" t="s">
        <v>41</v>
      </c>
      <c r="J6" s="49" t="s">
        <v>41</v>
      </c>
      <c r="K6" s="49" t="s">
        <v>41</v>
      </c>
      <c r="L6" s="49" t="s">
        <v>42</v>
      </c>
      <c r="M6" s="386">
        <v>46188</v>
      </c>
      <c r="N6" s="66"/>
      <c r="O6" s="36" t="str">
        <f t="shared" si="0"/>
        <v>No Iniciado</v>
      </c>
      <c r="P6" s="36">
        <f t="shared" si="1"/>
        <v>1</v>
      </c>
      <c r="Q6" s="35"/>
    </row>
    <row r="7" spans="1:17">
      <c r="A7" s="35" t="s">
        <v>730</v>
      </c>
      <c r="B7" s="35" t="s">
        <v>731</v>
      </c>
      <c r="C7" s="36" t="s">
        <v>732</v>
      </c>
      <c r="D7" s="36"/>
      <c r="E7" s="35" t="s">
        <v>53</v>
      </c>
      <c r="F7" s="49" t="s">
        <v>41</v>
      </c>
      <c r="G7" s="49" t="s">
        <v>42</v>
      </c>
      <c r="H7" s="49" t="s">
        <v>42</v>
      </c>
      <c r="I7" s="49" t="s">
        <v>42</v>
      </c>
      <c r="J7" s="49" t="s">
        <v>58</v>
      </c>
      <c r="K7" s="49" t="s">
        <v>58</v>
      </c>
      <c r="L7" s="49" t="s">
        <v>58</v>
      </c>
      <c r="M7" s="65"/>
      <c r="N7" s="66"/>
      <c r="O7" s="36" t="str">
        <f t="shared" si="0"/>
        <v>No Iniciado</v>
      </c>
      <c r="P7" s="36">
        <f t="shared" si="1"/>
        <v>1</v>
      </c>
      <c r="Q7" s="35"/>
    </row>
    <row r="8" spans="1:17">
      <c r="A8" s="35" t="s">
        <v>733</v>
      </c>
      <c r="B8" s="35" t="s">
        <v>731</v>
      </c>
      <c r="C8" s="36" t="s">
        <v>734</v>
      </c>
      <c r="D8" s="36"/>
      <c r="E8" s="35" t="s">
        <v>53</v>
      </c>
      <c r="F8" s="49" t="s">
        <v>41</v>
      </c>
      <c r="G8" s="49" t="s">
        <v>42</v>
      </c>
      <c r="H8" s="49" t="s">
        <v>42</v>
      </c>
      <c r="I8" s="49" t="s">
        <v>42</v>
      </c>
      <c r="J8" s="49" t="s">
        <v>735</v>
      </c>
      <c r="K8" s="49" t="s">
        <v>735</v>
      </c>
      <c r="L8" s="49" t="s">
        <v>735</v>
      </c>
      <c r="M8" s="65"/>
      <c r="N8" s="66"/>
      <c r="O8" s="36" t="str">
        <f t="shared" si="0"/>
        <v>No Iniciado</v>
      </c>
      <c r="P8" s="36">
        <f t="shared" si="1"/>
        <v>1</v>
      </c>
      <c r="Q8" s="35"/>
    </row>
    <row r="9" spans="1:17">
      <c r="A9" s="35" t="s">
        <v>736</v>
      </c>
      <c r="B9" s="35" t="s">
        <v>737</v>
      </c>
      <c r="C9" s="36" t="s">
        <v>738</v>
      </c>
      <c r="D9" s="36"/>
      <c r="E9" s="35" t="s">
        <v>53</v>
      </c>
      <c r="F9" s="49" t="s">
        <v>41</v>
      </c>
      <c r="G9" s="49" t="s">
        <v>42</v>
      </c>
      <c r="H9" s="49" t="s">
        <v>735</v>
      </c>
      <c r="I9" s="49" t="s">
        <v>42</v>
      </c>
      <c r="J9" s="49" t="s">
        <v>735</v>
      </c>
      <c r="K9" s="49" t="s">
        <v>42</v>
      </c>
      <c r="L9" s="49" t="s">
        <v>42</v>
      </c>
      <c r="M9" s="65"/>
      <c r="N9" s="66"/>
      <c r="O9" s="36" t="str">
        <f t="shared" si="0"/>
        <v>No Iniciado</v>
      </c>
      <c r="P9" s="36">
        <f t="shared" si="1"/>
        <v>1</v>
      </c>
      <c r="Q9" s="35" t="s">
        <v>739</v>
      </c>
    </row>
  </sheetData>
  <conditionalFormatting sqref="P2:P9">
    <cfRule type="iconSet" priority="1">
      <iconSet showValue="0">
        <cfvo type="num" val="1"/>
        <cfvo type="num" val="2"/>
        <cfvo type="num" val="3"/>
      </iconSet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"/>
  <sheetViews>
    <sheetView showGridLines="0" workbookViewId="0">
      <selection activeCell="K31" sqref="K31"/>
    </sheetView>
  </sheetViews>
  <sheetFormatPr baseColWidth="10" defaultColWidth="8.7265625" defaultRowHeight="14.5"/>
  <cols>
    <col min="1" max="1" width="28" customWidth="1"/>
    <col min="2" max="7" width="20" customWidth="1"/>
  </cols>
  <sheetData>
    <row r="1" spans="1:7">
      <c r="A1" s="50" t="s">
        <v>740</v>
      </c>
      <c r="B1" s="50" t="s">
        <v>741</v>
      </c>
      <c r="C1" s="50" t="s">
        <v>358</v>
      </c>
      <c r="D1" s="50" t="s">
        <v>742</v>
      </c>
      <c r="E1" s="50" t="s">
        <v>363</v>
      </c>
      <c r="F1" s="50" t="s">
        <v>743</v>
      </c>
      <c r="G1" s="50" t="s">
        <v>744</v>
      </c>
    </row>
    <row r="2" spans="1:7" ht="29" customHeight="1">
      <c r="A2" s="51" t="s">
        <v>745</v>
      </c>
      <c r="B2" s="52" t="s">
        <v>746</v>
      </c>
      <c r="C2" s="52" t="s">
        <v>747</v>
      </c>
      <c r="D2" s="52" t="s">
        <v>748</v>
      </c>
      <c r="E2" s="52" t="s">
        <v>747</v>
      </c>
      <c r="F2" s="52" t="s">
        <v>749</v>
      </c>
      <c r="G2" s="52" t="s">
        <v>748</v>
      </c>
    </row>
    <row r="3" spans="1:7" ht="24.65" customHeight="1">
      <c r="A3" s="51" t="s">
        <v>750</v>
      </c>
      <c r="B3" s="52" t="s">
        <v>746</v>
      </c>
      <c r="C3" s="52" t="s">
        <v>748</v>
      </c>
      <c r="D3" s="52" t="s">
        <v>748</v>
      </c>
      <c r="E3" s="52" t="s">
        <v>748</v>
      </c>
      <c r="F3" s="52" t="s">
        <v>747</v>
      </c>
      <c r="G3" s="52" t="s">
        <v>749</v>
      </c>
    </row>
    <row r="4" spans="1:7" ht="29" customHeight="1">
      <c r="A4" s="51" t="s">
        <v>751</v>
      </c>
      <c r="B4" s="52" t="s">
        <v>752</v>
      </c>
      <c r="C4" s="52" t="s">
        <v>747</v>
      </c>
      <c r="D4" s="52" t="s">
        <v>749</v>
      </c>
      <c r="E4" s="52" t="s">
        <v>748</v>
      </c>
      <c r="F4" s="52" t="s">
        <v>748</v>
      </c>
      <c r="G4" s="52" t="s">
        <v>749</v>
      </c>
    </row>
    <row r="5" spans="1:7" ht="29" customHeight="1">
      <c r="A5" s="51" t="s">
        <v>753</v>
      </c>
      <c r="B5" s="52" t="s">
        <v>746</v>
      </c>
      <c r="C5" s="52" t="s">
        <v>746</v>
      </c>
      <c r="D5" s="52" t="s">
        <v>747</v>
      </c>
      <c r="E5" s="52" t="s">
        <v>749</v>
      </c>
      <c r="F5" s="52" t="s">
        <v>748</v>
      </c>
      <c r="G5" s="52" t="s">
        <v>749</v>
      </c>
    </row>
    <row r="6" spans="1:7" ht="29" customHeight="1">
      <c r="A6" s="51" t="s">
        <v>754</v>
      </c>
      <c r="B6" s="52" t="s">
        <v>746</v>
      </c>
      <c r="C6" s="52" t="s">
        <v>746</v>
      </c>
      <c r="D6" s="52" t="s">
        <v>747</v>
      </c>
      <c r="E6" s="52" t="s">
        <v>748</v>
      </c>
      <c r="F6" s="52" t="s">
        <v>749</v>
      </c>
      <c r="G6" s="52" t="s">
        <v>749</v>
      </c>
    </row>
    <row r="7" spans="1:7" ht="29" customHeight="1">
      <c r="A7" s="51" t="s">
        <v>755</v>
      </c>
      <c r="B7" s="52" t="s">
        <v>746</v>
      </c>
      <c r="C7" s="52" t="s">
        <v>747</v>
      </c>
      <c r="D7" s="52" t="s">
        <v>749</v>
      </c>
      <c r="E7" s="52" t="s">
        <v>749</v>
      </c>
      <c r="F7" s="52" t="s">
        <v>747</v>
      </c>
      <c r="G7" s="52" t="s">
        <v>748</v>
      </c>
    </row>
    <row r="10" spans="1:7">
      <c r="A10" s="497" t="s">
        <v>756</v>
      </c>
      <c r="B10" s="405"/>
      <c r="C10" s="405"/>
      <c r="D10" s="405"/>
      <c r="E10" s="405"/>
      <c r="F10" s="405"/>
      <c r="G10" s="406"/>
    </row>
    <row r="11" spans="1:7">
      <c r="A11" s="500" t="s">
        <v>757</v>
      </c>
      <c r="B11" s="501"/>
      <c r="C11" s="501"/>
      <c r="D11" s="501"/>
      <c r="E11" s="501"/>
      <c r="F11" s="501"/>
      <c r="G11" s="502"/>
    </row>
    <row r="12" spans="1:7">
      <c r="A12" s="503"/>
      <c r="B12" s="410"/>
      <c r="C12" s="410"/>
      <c r="D12" s="410"/>
      <c r="E12" s="410"/>
      <c r="F12" s="410"/>
      <c r="G12" s="504"/>
    </row>
    <row r="13" spans="1:7">
      <c r="A13" s="505"/>
      <c r="B13" s="495"/>
      <c r="C13" s="495"/>
      <c r="D13" s="495"/>
      <c r="E13" s="495"/>
      <c r="F13" s="495"/>
      <c r="G13" s="506"/>
    </row>
    <row r="15" spans="1:7">
      <c r="A15" s="507" t="s">
        <v>758</v>
      </c>
      <c r="B15" s="410"/>
      <c r="C15" s="410"/>
      <c r="D15" s="410"/>
      <c r="E15" s="410"/>
      <c r="F15" s="410"/>
      <c r="G15" s="410"/>
    </row>
    <row r="16" spans="1:7">
      <c r="A16" s="499" t="s">
        <v>759</v>
      </c>
      <c r="B16" s="406"/>
      <c r="C16" s="498" t="s">
        <v>760</v>
      </c>
      <c r="D16" s="405"/>
      <c r="E16" s="405"/>
      <c r="F16" s="405"/>
      <c r="G16" s="406"/>
    </row>
    <row r="17" spans="1:7">
      <c r="A17" s="499" t="s">
        <v>761</v>
      </c>
      <c r="B17" s="406"/>
      <c r="C17" s="498" t="s">
        <v>762</v>
      </c>
      <c r="D17" s="405"/>
      <c r="E17" s="405"/>
      <c r="F17" s="405"/>
      <c r="G17" s="406"/>
    </row>
    <row r="18" spans="1:7">
      <c r="A18" s="499" t="s">
        <v>763</v>
      </c>
      <c r="B18" s="406"/>
      <c r="C18" s="498" t="s">
        <v>764</v>
      </c>
      <c r="D18" s="405"/>
      <c r="E18" s="405"/>
      <c r="F18" s="405"/>
      <c r="G18" s="406"/>
    </row>
    <row r="19" spans="1:7">
      <c r="A19" s="499" t="s">
        <v>765</v>
      </c>
      <c r="B19" s="406"/>
      <c r="C19" s="498" t="s">
        <v>766</v>
      </c>
      <c r="D19" s="405"/>
      <c r="E19" s="405"/>
      <c r="F19" s="405"/>
      <c r="G19" s="406"/>
    </row>
  </sheetData>
  <mergeCells count="11">
    <mergeCell ref="A10:G10"/>
    <mergeCell ref="C17:G17"/>
    <mergeCell ref="A16:B16"/>
    <mergeCell ref="C16:G16"/>
    <mergeCell ref="A19:B19"/>
    <mergeCell ref="C19:G19"/>
    <mergeCell ref="A11:G13"/>
    <mergeCell ref="A15:G15"/>
    <mergeCell ref="A17:B17"/>
    <mergeCell ref="A18:B18"/>
    <mergeCell ref="C18:G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"/>
  <sheetViews>
    <sheetView showGridLines="0" workbookViewId="0">
      <selection activeCell="A2" sqref="A2"/>
    </sheetView>
  </sheetViews>
  <sheetFormatPr baseColWidth="10" defaultColWidth="8.7265625" defaultRowHeight="14.5"/>
  <cols>
    <col min="1" max="2" width="16.54296875" customWidth="1"/>
    <col min="3" max="3" width="20.54296875" customWidth="1"/>
    <col min="4" max="11" width="16.54296875" customWidth="1"/>
  </cols>
  <sheetData>
    <row r="1" spans="1:11">
      <c r="A1" s="51" t="s">
        <v>767</v>
      </c>
      <c r="B1" s="51"/>
      <c r="C1" s="51"/>
      <c r="D1" s="334"/>
      <c r="E1" s="334"/>
      <c r="F1" s="334"/>
      <c r="G1" s="334"/>
      <c r="H1" s="334"/>
      <c r="I1" s="334"/>
      <c r="J1" s="334"/>
      <c r="K1" s="334"/>
    </row>
    <row r="2" spans="1:11" ht="43.5" customHeight="1">
      <c r="A2" s="51" t="s">
        <v>768</v>
      </c>
      <c r="B2" s="51" t="s">
        <v>170</v>
      </c>
      <c r="C2" s="51" t="s">
        <v>769</v>
      </c>
      <c r="D2" s="334" t="s">
        <v>380</v>
      </c>
      <c r="E2" s="334" t="s">
        <v>380</v>
      </c>
      <c r="F2" s="334" t="s">
        <v>770</v>
      </c>
      <c r="G2" s="334" t="s">
        <v>771</v>
      </c>
      <c r="H2" s="334" t="s">
        <v>772</v>
      </c>
      <c r="I2" s="334" t="s">
        <v>773</v>
      </c>
      <c r="J2" s="334" t="s">
        <v>774</v>
      </c>
      <c r="K2" s="334" t="s">
        <v>775</v>
      </c>
    </row>
    <row r="3" spans="1:11" ht="43.5" customHeight="1">
      <c r="A3" s="51" t="s">
        <v>776</v>
      </c>
      <c r="B3" s="51" t="s">
        <v>777</v>
      </c>
      <c r="C3" s="51" t="s">
        <v>778</v>
      </c>
      <c r="D3" s="334" t="s">
        <v>380</v>
      </c>
      <c r="E3" s="334" t="s">
        <v>380</v>
      </c>
      <c r="F3" s="334" t="s">
        <v>770</v>
      </c>
      <c r="G3" s="334" t="s">
        <v>779</v>
      </c>
      <c r="H3" s="334" t="s">
        <v>39</v>
      </c>
      <c r="I3" s="334" t="s">
        <v>773</v>
      </c>
      <c r="J3" s="334" t="s">
        <v>774</v>
      </c>
      <c r="K3" s="334" t="s">
        <v>775</v>
      </c>
    </row>
    <row r="4" spans="1:11" ht="58.5" customHeight="1">
      <c r="A4" s="51" t="s">
        <v>780</v>
      </c>
      <c r="B4" s="51" t="s">
        <v>363</v>
      </c>
      <c r="C4" s="51" t="s">
        <v>781</v>
      </c>
      <c r="D4" s="334" t="s">
        <v>385</v>
      </c>
      <c r="E4" s="334" t="s">
        <v>380</v>
      </c>
      <c r="F4" s="334" t="s">
        <v>782</v>
      </c>
      <c r="G4" s="334" t="s">
        <v>783</v>
      </c>
      <c r="H4" s="334" t="s">
        <v>48</v>
      </c>
      <c r="I4" s="334" t="s">
        <v>784</v>
      </c>
      <c r="J4" s="334" t="s">
        <v>774</v>
      </c>
      <c r="K4" s="334" t="s">
        <v>775</v>
      </c>
    </row>
    <row r="5" spans="1:11" ht="36" customHeight="1">
      <c r="A5" s="51" t="s">
        <v>785</v>
      </c>
      <c r="B5" s="51" t="s">
        <v>170</v>
      </c>
      <c r="C5" s="51" t="s">
        <v>786</v>
      </c>
      <c r="D5" s="334" t="s">
        <v>385</v>
      </c>
      <c r="E5" s="334" t="s">
        <v>380</v>
      </c>
      <c r="F5" s="334" t="s">
        <v>782</v>
      </c>
      <c r="G5" s="334" t="s">
        <v>787</v>
      </c>
      <c r="H5" s="334" t="s">
        <v>772</v>
      </c>
      <c r="I5" s="334" t="s">
        <v>784</v>
      </c>
      <c r="J5" s="334" t="s">
        <v>774</v>
      </c>
      <c r="K5" s="334" t="s">
        <v>775</v>
      </c>
    </row>
    <row r="6" spans="1:11" ht="40.5" customHeight="1">
      <c r="A6" s="51" t="s">
        <v>788</v>
      </c>
      <c r="B6" s="51" t="s">
        <v>777</v>
      </c>
      <c r="C6" s="51" t="s">
        <v>789</v>
      </c>
      <c r="D6" s="334" t="s">
        <v>390</v>
      </c>
      <c r="E6" s="334" t="s">
        <v>380</v>
      </c>
      <c r="F6" s="334" t="s">
        <v>790</v>
      </c>
      <c r="G6" s="334" t="s">
        <v>791</v>
      </c>
      <c r="H6" s="334" t="s">
        <v>39</v>
      </c>
      <c r="I6" s="334" t="s">
        <v>792</v>
      </c>
      <c r="J6" s="334" t="s">
        <v>774</v>
      </c>
      <c r="K6" s="334" t="s">
        <v>793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21"/>
  <sheetViews>
    <sheetView showGridLines="0" zoomScaleNormal="100" workbookViewId="0">
      <selection activeCell="C16" sqref="C16"/>
    </sheetView>
  </sheetViews>
  <sheetFormatPr baseColWidth="10" defaultColWidth="11.453125" defaultRowHeight="14.5"/>
  <cols>
    <col min="1" max="1" width="4.1796875" style="153" customWidth="1"/>
    <col min="2" max="2" width="4.81640625" style="153" customWidth="1"/>
    <col min="3" max="3" width="30.453125" style="153" customWidth="1"/>
    <col min="4" max="4" width="12.54296875" customWidth="1"/>
    <col min="5" max="5" width="12.26953125" customWidth="1"/>
    <col min="6" max="6" width="10.7265625" customWidth="1"/>
    <col min="7" max="7" width="12.7265625" style="153" customWidth="1"/>
    <col min="8" max="8" width="14.1796875" style="153" customWidth="1"/>
    <col min="9" max="9" width="14.54296875" style="153" customWidth="1"/>
    <col min="10" max="10" width="15.453125" style="153" customWidth="1"/>
    <col min="11" max="11" width="8.453125" style="153" customWidth="1"/>
    <col min="12" max="12" width="10.26953125" style="153" customWidth="1"/>
    <col min="13" max="13" width="14.81640625" style="153" customWidth="1"/>
    <col min="14" max="14" width="11.26953125" style="153" customWidth="1"/>
    <col min="15" max="15" width="44.1796875" style="153" hidden="1" customWidth="1"/>
    <col min="16" max="16" width="44.1796875" hidden="1" customWidth="1"/>
    <col min="17" max="17" width="47.7265625" style="153" hidden="1" customWidth="1"/>
    <col min="18" max="18" width="47.7265625" style="153" customWidth="1"/>
    <col min="19" max="19" width="56.26953125" style="153" customWidth="1"/>
    <col min="20" max="20" width="99.1796875" style="153" bestFit="1" customWidth="1"/>
    <col min="21" max="21" width="58.54296875" style="153" customWidth="1"/>
    <col min="22" max="22" width="37.81640625" style="153" customWidth="1"/>
    <col min="23" max="23" width="41.81640625" style="153" customWidth="1"/>
    <col min="24" max="26" width="37.81640625" style="153" customWidth="1"/>
    <col min="27" max="27" width="11.453125" style="153" customWidth="1"/>
    <col min="35" max="36" width="12.54296875" style="153" customWidth="1"/>
  </cols>
  <sheetData>
    <row r="1" spans="2:46">
      <c r="B1" s="154"/>
      <c r="C1" s="154"/>
    </row>
    <row r="2" spans="2:46">
      <c r="AK2" s="154" t="e">
        <f t="shared" ref="AK2:AT2" si="0">SUM(AK4:AK172)</f>
        <v>#REF!</v>
      </c>
      <c r="AL2" s="154" t="e">
        <f t="shared" si="0"/>
        <v>#REF!</v>
      </c>
      <c r="AM2" s="154" t="e">
        <f t="shared" si="0"/>
        <v>#REF!</v>
      </c>
      <c r="AN2" s="154" t="e">
        <f t="shared" si="0"/>
        <v>#REF!</v>
      </c>
      <c r="AO2" s="154" t="e">
        <f t="shared" si="0"/>
        <v>#REF!</v>
      </c>
      <c r="AP2" s="154" t="e">
        <f t="shared" si="0"/>
        <v>#REF!</v>
      </c>
      <c r="AQ2" s="154" t="e">
        <f t="shared" si="0"/>
        <v>#REF!</v>
      </c>
      <c r="AR2" s="154" t="e">
        <f t="shared" si="0"/>
        <v>#REF!</v>
      </c>
      <c r="AS2" s="154" t="e">
        <f t="shared" si="0"/>
        <v>#REF!</v>
      </c>
      <c r="AT2" s="154" t="e">
        <f t="shared" si="0"/>
        <v>#REF!</v>
      </c>
    </row>
    <row r="3" spans="2:46">
      <c r="B3" s="155" t="s">
        <v>794</v>
      </c>
      <c r="C3" s="156" t="s">
        <v>795</v>
      </c>
      <c r="D3" s="156" t="s">
        <v>796</v>
      </c>
      <c r="E3" s="156" t="s">
        <v>797</v>
      </c>
      <c r="F3" s="156" t="s">
        <v>798</v>
      </c>
      <c r="G3" s="156" t="s">
        <v>488</v>
      </c>
      <c r="H3" s="156" t="s">
        <v>799</v>
      </c>
      <c r="I3" s="156" t="s">
        <v>800</v>
      </c>
      <c r="J3" s="156" t="s">
        <v>801</v>
      </c>
      <c r="K3" s="156" t="s">
        <v>802</v>
      </c>
      <c r="L3" s="156" t="s">
        <v>803</v>
      </c>
      <c r="M3" s="156" t="s">
        <v>489</v>
      </c>
      <c r="N3" s="156" t="s">
        <v>34</v>
      </c>
      <c r="O3" s="156" t="s">
        <v>804</v>
      </c>
      <c r="P3" s="156" t="s">
        <v>805</v>
      </c>
      <c r="Q3" s="156" t="s">
        <v>806</v>
      </c>
      <c r="R3" s="156" t="s">
        <v>807</v>
      </c>
      <c r="S3" s="156" t="s">
        <v>808</v>
      </c>
      <c r="T3" s="156" t="s">
        <v>809</v>
      </c>
      <c r="U3" s="156" t="s">
        <v>810</v>
      </c>
      <c r="V3" s="17" t="s">
        <v>811</v>
      </c>
      <c r="W3" s="17" t="s">
        <v>812</v>
      </c>
      <c r="X3" t="s">
        <v>813</v>
      </c>
      <c r="Y3" t="s">
        <v>814</v>
      </c>
      <c r="Z3" t="s">
        <v>815</v>
      </c>
      <c r="AA3">
        <v>43895</v>
      </c>
      <c r="AB3">
        <v>43901</v>
      </c>
      <c r="AC3">
        <v>43909</v>
      </c>
      <c r="AD3">
        <v>43916</v>
      </c>
      <c r="AE3">
        <v>43923</v>
      </c>
      <c r="AF3">
        <v>43930</v>
      </c>
      <c r="AG3">
        <v>43937</v>
      </c>
      <c r="AH3">
        <v>43944</v>
      </c>
      <c r="AI3">
        <v>43951</v>
      </c>
      <c r="AJ3">
        <v>43958</v>
      </c>
      <c r="AK3" t="s">
        <v>816</v>
      </c>
      <c r="AL3" t="s">
        <v>817</v>
      </c>
      <c r="AM3" t="s">
        <v>818</v>
      </c>
      <c r="AN3" t="s">
        <v>819</v>
      </c>
      <c r="AO3" t="s">
        <v>820</v>
      </c>
      <c r="AP3" t="s">
        <v>821</v>
      </c>
      <c r="AQ3" t="s">
        <v>822</v>
      </c>
      <c r="AR3" t="s">
        <v>823</v>
      </c>
      <c r="AS3" t="s">
        <v>824</v>
      </c>
      <c r="AT3" t="s">
        <v>825</v>
      </c>
    </row>
    <row r="4" spans="2:46" ht="29" customHeight="1">
      <c r="B4" s="157">
        <v>1</v>
      </c>
      <c r="C4" s="158" t="s">
        <v>826</v>
      </c>
      <c r="D4" s="11" t="s">
        <v>827</v>
      </c>
      <c r="E4" s="11"/>
      <c r="F4" s="11"/>
      <c r="G4" s="16" t="s">
        <v>828</v>
      </c>
      <c r="H4" s="159">
        <v>45712</v>
      </c>
      <c r="I4" s="159">
        <v>45971</v>
      </c>
      <c r="J4" s="11" t="s">
        <v>829</v>
      </c>
      <c r="K4" s="160">
        <v>1</v>
      </c>
      <c r="L4" s="160">
        <f t="shared" ref="L4:L17" ca="1" si="1">IF($H4&gt;TODAY(),0,IF(OR($I4="Eliminada",$I4="En Revision"),$I4,IF($I4&lt;&gt;"Eliminada",IF($I4&gt;TODAY(),(TODAY()-$H4)/($I4-$H4),1),0)))</f>
        <v>1</v>
      </c>
      <c r="M4" s="11" t="str">
        <f t="shared" ref="M4:M11" si="2">IF(K4=1,"Terminada",IF(K4&lt;L4,"Atrasado", "A Tiempo"))</f>
        <v>Terminada</v>
      </c>
      <c r="N4" s="11">
        <f t="shared" ref="N4:N11" si="3">IF($M4="Eliminada",-2,IF($M4="Terminada",2,IF($M4="A Tiempo",1,IF($M4="En Revision",0,-1))))</f>
        <v>2</v>
      </c>
      <c r="O4" s="17" t="s">
        <v>830</v>
      </c>
      <c r="P4" s="17"/>
      <c r="Q4" s="17" t="s">
        <v>831</v>
      </c>
      <c r="R4" s="161" t="s">
        <v>832</v>
      </c>
      <c r="S4" s="161" t="s">
        <v>832</v>
      </c>
      <c r="T4" s="17" t="s">
        <v>833</v>
      </c>
      <c r="U4" s="17"/>
      <c r="V4" s="17"/>
      <c r="W4" s="17"/>
      <c r="AA4" t="e">
        <f>+IF(#REF!&lt;$AA$3,1,0)</f>
        <v>#REF!</v>
      </c>
      <c r="AB4" t="e">
        <f>+IF(AA4=0,IF($I4&lt;$AB$3,1,0),0)</f>
        <v>#REF!</v>
      </c>
      <c r="AC4" t="e">
        <f>+IF(SUM(AA4:AB4)=0,IF($I4&lt;$AC$3,1,0),0)</f>
        <v>#REF!</v>
      </c>
      <c r="AD4" t="e">
        <f>+IF(SUM(AA4:AC4)=0,IF($I4&lt;$AD$3,1,0),0)</f>
        <v>#REF!</v>
      </c>
      <c r="AE4" t="e">
        <f>+IF(SUM(AA4:AD4)=0,IF($I4&lt;$AE$3,1,0),0)</f>
        <v>#REF!</v>
      </c>
      <c r="AF4" t="e">
        <f>+IF(SUM(AA4:AE4)=0,IF($I4&lt;$AF$3,1,0),0)</f>
        <v>#REF!</v>
      </c>
      <c r="AG4" t="e">
        <f>+IF(SUM(AA4:AF4)=0,IF($I4&lt;$AG$3,1,0),0)</f>
        <v>#REF!</v>
      </c>
      <c r="AH4" t="e">
        <f>+IF(SUM(AA4:AG4)=0,IF($I4&lt;$AH$3,1,0),0)</f>
        <v>#REF!</v>
      </c>
      <c r="AI4" t="e">
        <f>+IF(SUM(AA4:AH4)=0,IF($I4&lt;$AI$3,1,0),0)</f>
        <v>#REF!</v>
      </c>
      <c r="AJ4" t="e">
        <f>+IF(SUM(AA4:AI4)=0,IF($I4&lt;$AJ$3,1,0),0)</f>
        <v>#REF!</v>
      </c>
      <c r="AK4" t="e">
        <f>AA4</f>
        <v>#REF!</v>
      </c>
      <c r="AL4" t="e">
        <f t="shared" ref="AL4:AT6" si="4">AK4+AB4</f>
        <v>#REF!</v>
      </c>
      <c r="AM4" t="e">
        <f t="shared" si="4"/>
        <v>#REF!</v>
      </c>
      <c r="AN4" t="e">
        <f t="shared" si="4"/>
        <v>#REF!</v>
      </c>
      <c r="AO4" t="e">
        <f t="shared" si="4"/>
        <v>#REF!</v>
      </c>
      <c r="AP4" t="e">
        <f t="shared" si="4"/>
        <v>#REF!</v>
      </c>
      <c r="AQ4" t="e">
        <f t="shared" si="4"/>
        <v>#REF!</v>
      </c>
      <c r="AR4" t="e">
        <f t="shared" si="4"/>
        <v>#REF!</v>
      </c>
      <c r="AS4" t="e">
        <f t="shared" si="4"/>
        <v>#REF!</v>
      </c>
      <c r="AT4" t="e">
        <f t="shared" si="4"/>
        <v>#REF!</v>
      </c>
    </row>
    <row r="5" spans="2:46" ht="25.4" customHeight="1">
      <c r="B5" s="157">
        <f t="shared" ref="B5:B11" si="5">+B4+1</f>
        <v>2</v>
      </c>
      <c r="C5" s="158" t="s">
        <v>834</v>
      </c>
      <c r="D5" s="11" t="s">
        <v>835</v>
      </c>
      <c r="E5" s="11"/>
      <c r="F5" s="11"/>
      <c r="G5" s="16" t="s">
        <v>835</v>
      </c>
      <c r="H5" s="159">
        <v>45712</v>
      </c>
      <c r="I5" s="159">
        <v>45971</v>
      </c>
      <c r="J5" s="11" t="s">
        <v>156</v>
      </c>
      <c r="K5" s="160">
        <v>1</v>
      </c>
      <c r="L5" s="160">
        <f t="shared" ca="1" si="1"/>
        <v>1</v>
      </c>
      <c r="M5" s="11" t="str">
        <f t="shared" si="2"/>
        <v>Terminada</v>
      </c>
      <c r="N5" s="11">
        <f t="shared" si="3"/>
        <v>2</v>
      </c>
      <c r="O5" s="17" t="s">
        <v>836</v>
      </c>
      <c r="P5" s="17"/>
      <c r="Q5" s="17" t="s">
        <v>837</v>
      </c>
      <c r="R5" s="161" t="s">
        <v>838</v>
      </c>
      <c r="S5" s="161" t="s">
        <v>838</v>
      </c>
      <c r="T5" s="17" t="s">
        <v>837</v>
      </c>
      <c r="U5" s="17"/>
      <c r="V5" s="17"/>
      <c r="W5" s="17"/>
      <c r="AA5" t="e">
        <f>+IF(#REF!&lt;$AA$3,1,0)</f>
        <v>#REF!</v>
      </c>
      <c r="AB5" t="e">
        <f>+IF(AA5=0,IF($I5&lt;$AB$3,1,0),0)</f>
        <v>#REF!</v>
      </c>
      <c r="AC5" t="e">
        <f>+IF(SUM(AA5:AB5)=0,IF($I5&lt;$AC$3,1,0),0)</f>
        <v>#REF!</v>
      </c>
      <c r="AD5" t="e">
        <f>+IF(SUM(AA5:AC5)=0,IF($I5&lt;$AD$3,1,0),0)</f>
        <v>#REF!</v>
      </c>
      <c r="AE5" t="e">
        <f>+IF(SUM(AA5:AD5)=0,IF($I5&lt;$AE$3,1,0),0)</f>
        <v>#REF!</v>
      </c>
      <c r="AF5" t="e">
        <f>+IF(SUM(AA5:AE5)=0,IF($I5&lt;$AF$3,1,0),0)</f>
        <v>#REF!</v>
      </c>
      <c r="AG5" t="e">
        <f>+IF(SUM(AA5:AF5)=0,IF($I5&lt;$AG$3,1,0),0)</f>
        <v>#REF!</v>
      </c>
      <c r="AH5" t="e">
        <f>+IF(SUM(AA5:AG5)=0,IF($I5&lt;$AH$3,1,0),0)</f>
        <v>#REF!</v>
      </c>
      <c r="AI5" t="e">
        <f>+IF(SUM(AA5:AH5)=0,IF($I5&lt;$AI$3,1,0),0)</f>
        <v>#REF!</v>
      </c>
      <c r="AJ5" t="e">
        <f>+IF(SUM(AA5:AI5)=0,IF($I5&lt;$AJ$3,1,0),0)</f>
        <v>#REF!</v>
      </c>
      <c r="AK5" t="e">
        <f>AA5</f>
        <v>#REF!</v>
      </c>
      <c r="AL5" t="e">
        <f t="shared" si="4"/>
        <v>#REF!</v>
      </c>
      <c r="AM5" t="e">
        <f t="shared" si="4"/>
        <v>#REF!</v>
      </c>
      <c r="AN5" t="e">
        <f t="shared" si="4"/>
        <v>#REF!</v>
      </c>
      <c r="AO5" t="e">
        <f t="shared" si="4"/>
        <v>#REF!</v>
      </c>
      <c r="AP5" t="e">
        <f t="shared" si="4"/>
        <v>#REF!</v>
      </c>
      <c r="AQ5" t="e">
        <f t="shared" si="4"/>
        <v>#REF!</v>
      </c>
      <c r="AR5" t="e">
        <f t="shared" si="4"/>
        <v>#REF!</v>
      </c>
      <c r="AS5" t="e">
        <f t="shared" si="4"/>
        <v>#REF!</v>
      </c>
      <c r="AT5" t="e">
        <f t="shared" si="4"/>
        <v>#REF!</v>
      </c>
    </row>
    <row r="6" spans="2:46" ht="25.5" customHeight="1">
      <c r="B6" s="157">
        <f t="shared" si="5"/>
        <v>3</v>
      </c>
      <c r="C6" s="158" t="s">
        <v>839</v>
      </c>
      <c r="D6" s="11" t="s">
        <v>835</v>
      </c>
      <c r="E6" s="11"/>
      <c r="F6" s="11"/>
      <c r="G6" s="16" t="s">
        <v>835</v>
      </c>
      <c r="H6" s="159">
        <v>45712</v>
      </c>
      <c r="I6" s="159">
        <v>45971</v>
      </c>
      <c r="J6" s="11" t="s">
        <v>156</v>
      </c>
      <c r="K6" s="160">
        <v>1</v>
      </c>
      <c r="L6" s="160">
        <f t="shared" ca="1" si="1"/>
        <v>1</v>
      </c>
      <c r="M6" s="11" t="str">
        <f t="shared" si="2"/>
        <v>Terminada</v>
      </c>
      <c r="N6" s="11">
        <f t="shared" si="3"/>
        <v>2</v>
      </c>
      <c r="O6" s="17"/>
      <c r="P6" s="17"/>
      <c r="Q6" s="17" t="s">
        <v>837</v>
      </c>
      <c r="R6" s="161" t="s">
        <v>838</v>
      </c>
      <c r="S6" s="161" t="s">
        <v>838</v>
      </c>
      <c r="T6" s="17" t="s">
        <v>837</v>
      </c>
      <c r="U6" s="17"/>
      <c r="V6" s="17"/>
      <c r="W6" s="17"/>
      <c r="AA6" t="e">
        <f>+IF(#REF!&lt;$AA$3,1,0)</f>
        <v>#REF!</v>
      </c>
      <c r="AB6" t="e">
        <f>+IF(AA6=0,IF($I6&lt;$AB$3,1,0),0)</f>
        <v>#REF!</v>
      </c>
      <c r="AC6" t="e">
        <f>+IF(SUM(AA6:AB6)=0,IF($I6&lt;$AC$3,1,0),0)</f>
        <v>#REF!</v>
      </c>
      <c r="AD6" t="e">
        <f>+IF(SUM(AA6:AC6)=0,IF($I6&lt;$AD$3,1,0),0)</f>
        <v>#REF!</v>
      </c>
      <c r="AE6" t="e">
        <f>+IF(SUM(AA6:AD6)=0,IF($I6&lt;$AE$3,1,0),0)</f>
        <v>#REF!</v>
      </c>
      <c r="AF6" t="e">
        <f>+IF(SUM(AA6:AE6)=0,IF($I6&lt;$AF$3,1,0),0)</f>
        <v>#REF!</v>
      </c>
      <c r="AG6" t="e">
        <f>+IF(SUM(AA6:AF6)=0,IF($I6&lt;$AG$3,1,0),0)</f>
        <v>#REF!</v>
      </c>
      <c r="AH6" t="e">
        <f>+IF(SUM(AA6:AG6)=0,IF($I6&lt;$AH$3,1,0),0)</f>
        <v>#REF!</v>
      </c>
      <c r="AI6" t="e">
        <f>+IF(SUM(AA6:AH6)=0,IF($I6&lt;$AI$3,1,0),0)</f>
        <v>#REF!</v>
      </c>
      <c r="AJ6" t="e">
        <f>+IF(SUM(AA6:AI6)=0,IF($I6&lt;$AJ$3,1,0),0)</f>
        <v>#REF!</v>
      </c>
      <c r="AK6" t="e">
        <f>AA6</f>
        <v>#REF!</v>
      </c>
      <c r="AL6" t="e">
        <f t="shared" si="4"/>
        <v>#REF!</v>
      </c>
      <c r="AM6" t="e">
        <f t="shared" si="4"/>
        <v>#REF!</v>
      </c>
      <c r="AN6" t="e">
        <f t="shared" si="4"/>
        <v>#REF!</v>
      </c>
      <c r="AO6" t="e">
        <f t="shared" si="4"/>
        <v>#REF!</v>
      </c>
      <c r="AP6" t="e">
        <f t="shared" si="4"/>
        <v>#REF!</v>
      </c>
      <c r="AQ6" t="e">
        <f t="shared" si="4"/>
        <v>#REF!</v>
      </c>
      <c r="AR6" t="e">
        <f t="shared" si="4"/>
        <v>#REF!</v>
      </c>
      <c r="AS6" t="e">
        <f t="shared" si="4"/>
        <v>#REF!</v>
      </c>
      <c r="AT6" t="e">
        <f t="shared" si="4"/>
        <v>#REF!</v>
      </c>
    </row>
    <row r="7" spans="2:46" ht="49.5" customHeight="1">
      <c r="B7" s="157">
        <f t="shared" si="5"/>
        <v>4</v>
      </c>
      <c r="C7" s="158" t="s">
        <v>840</v>
      </c>
      <c r="D7" s="11" t="s">
        <v>841</v>
      </c>
      <c r="E7" s="11" t="s">
        <v>842</v>
      </c>
      <c r="F7" s="11" t="s">
        <v>843</v>
      </c>
      <c r="G7" s="16" t="s">
        <v>828</v>
      </c>
      <c r="H7" s="159">
        <v>45870</v>
      </c>
      <c r="I7" s="159">
        <v>45971</v>
      </c>
      <c r="J7" s="11" t="s">
        <v>829</v>
      </c>
      <c r="K7" s="160">
        <v>1</v>
      </c>
      <c r="L7" s="160">
        <f t="shared" ca="1" si="1"/>
        <v>1</v>
      </c>
      <c r="M7" s="11" t="str">
        <f t="shared" si="2"/>
        <v>Terminada</v>
      </c>
      <c r="N7" s="11">
        <f t="shared" si="3"/>
        <v>2</v>
      </c>
      <c r="O7" s="17" t="s">
        <v>844</v>
      </c>
      <c r="P7" s="17" t="s">
        <v>845</v>
      </c>
      <c r="Q7" s="17" t="s">
        <v>846</v>
      </c>
      <c r="R7" s="161" t="s">
        <v>847</v>
      </c>
      <c r="S7" s="161" t="s">
        <v>848</v>
      </c>
      <c r="T7" s="17" t="s">
        <v>849</v>
      </c>
      <c r="U7" s="17"/>
      <c r="V7" s="17"/>
      <c r="W7" s="17"/>
    </row>
    <row r="8" spans="2:46" ht="39" customHeight="1">
      <c r="B8" s="157">
        <f t="shared" si="5"/>
        <v>5</v>
      </c>
      <c r="C8" s="158" t="s">
        <v>850</v>
      </c>
      <c r="D8" s="11" t="s">
        <v>851</v>
      </c>
      <c r="E8" s="11" t="s">
        <v>852</v>
      </c>
      <c r="F8" s="11"/>
      <c r="G8" s="16" t="s">
        <v>828</v>
      </c>
      <c r="H8" s="159">
        <v>45870</v>
      </c>
      <c r="I8" s="159">
        <v>45985</v>
      </c>
      <c r="J8" s="11" t="s">
        <v>853</v>
      </c>
      <c r="K8" s="160">
        <v>1</v>
      </c>
      <c r="L8" s="160">
        <f t="shared" ca="1" si="1"/>
        <v>1</v>
      </c>
      <c r="M8" s="11" t="str">
        <f t="shared" si="2"/>
        <v>Terminada</v>
      </c>
      <c r="N8" s="11">
        <f t="shared" si="3"/>
        <v>2</v>
      </c>
      <c r="O8" s="17" t="s">
        <v>854</v>
      </c>
      <c r="P8" s="17"/>
      <c r="Q8" s="17" t="s">
        <v>855</v>
      </c>
      <c r="R8" s="161" t="s">
        <v>856</v>
      </c>
      <c r="S8" s="161" t="s">
        <v>857</v>
      </c>
      <c r="T8" s="17" t="s">
        <v>855</v>
      </c>
      <c r="U8" s="17"/>
      <c r="V8" s="17"/>
      <c r="W8" s="17"/>
    </row>
    <row r="9" spans="2:46" ht="45.65" customHeight="1">
      <c r="B9" s="157">
        <f t="shared" si="5"/>
        <v>6</v>
      </c>
      <c r="C9" s="158" t="s">
        <v>858</v>
      </c>
      <c r="D9" s="11" t="s">
        <v>859</v>
      </c>
      <c r="E9" s="11" t="s">
        <v>860</v>
      </c>
      <c r="F9" s="11" t="s">
        <v>861</v>
      </c>
      <c r="G9" s="16" t="s">
        <v>828</v>
      </c>
      <c r="H9" s="159">
        <v>45870</v>
      </c>
      <c r="I9" s="159">
        <v>45971</v>
      </c>
      <c r="J9" s="11" t="s">
        <v>829</v>
      </c>
      <c r="K9" s="160">
        <v>1</v>
      </c>
      <c r="L9" s="160">
        <f t="shared" ca="1" si="1"/>
        <v>1</v>
      </c>
      <c r="M9" s="11" t="str">
        <f t="shared" si="2"/>
        <v>Terminada</v>
      </c>
      <c r="N9" s="11">
        <f t="shared" si="3"/>
        <v>2</v>
      </c>
      <c r="O9" s="17" t="s">
        <v>862</v>
      </c>
      <c r="P9" s="17"/>
      <c r="Q9" s="17" t="s">
        <v>863</v>
      </c>
      <c r="R9" s="161" t="s">
        <v>864</v>
      </c>
      <c r="S9" s="161" t="s">
        <v>865</v>
      </c>
      <c r="T9" s="17" t="s">
        <v>863</v>
      </c>
      <c r="U9" s="17"/>
      <c r="V9" s="17"/>
      <c r="W9" s="17"/>
    </row>
    <row r="10" spans="2:46" ht="25.5" customHeight="1">
      <c r="B10" s="157">
        <f t="shared" si="5"/>
        <v>7</v>
      </c>
      <c r="C10" s="158" t="s">
        <v>866</v>
      </c>
      <c r="D10" s="11" t="s">
        <v>867</v>
      </c>
      <c r="E10" s="11"/>
      <c r="F10" s="11"/>
      <c r="G10" s="16" t="s">
        <v>828</v>
      </c>
      <c r="H10" s="159">
        <v>45870</v>
      </c>
      <c r="I10" s="159">
        <v>45971</v>
      </c>
      <c r="J10" s="11" t="s">
        <v>829</v>
      </c>
      <c r="K10" s="160">
        <v>1</v>
      </c>
      <c r="L10" s="160">
        <f t="shared" ca="1" si="1"/>
        <v>1</v>
      </c>
      <c r="M10" s="11" t="str">
        <f t="shared" si="2"/>
        <v>Terminada</v>
      </c>
      <c r="N10" s="11">
        <f t="shared" si="3"/>
        <v>2</v>
      </c>
      <c r="O10" s="17" t="s">
        <v>868</v>
      </c>
      <c r="P10" s="17"/>
      <c r="Q10" s="17" t="s">
        <v>869</v>
      </c>
      <c r="R10" s="161" t="s">
        <v>870</v>
      </c>
      <c r="S10" s="161" t="s">
        <v>870</v>
      </c>
      <c r="T10" s="17" t="s">
        <v>869</v>
      </c>
      <c r="U10" s="17"/>
      <c r="V10" s="17"/>
      <c r="W10" s="17"/>
    </row>
    <row r="11" spans="2:46" ht="25.5" customHeight="1">
      <c r="B11" s="157">
        <f t="shared" si="5"/>
        <v>8</v>
      </c>
      <c r="C11" s="158" t="s">
        <v>871</v>
      </c>
      <c r="D11" s="11" t="s">
        <v>835</v>
      </c>
      <c r="E11" s="11"/>
      <c r="F11" s="11"/>
      <c r="G11" s="16" t="s">
        <v>835</v>
      </c>
      <c r="H11" s="159">
        <v>45870</v>
      </c>
      <c r="I11" s="159">
        <v>45971</v>
      </c>
      <c r="J11" s="11" t="s">
        <v>872</v>
      </c>
      <c r="K11" s="160">
        <v>0.85</v>
      </c>
      <c r="L11" s="160">
        <f t="shared" ca="1" si="1"/>
        <v>1</v>
      </c>
      <c r="M11" s="11" t="str">
        <f t="shared" ca="1" si="2"/>
        <v>Atrasado</v>
      </c>
      <c r="N11" s="11">
        <f t="shared" ca="1" si="3"/>
        <v>-1</v>
      </c>
      <c r="O11" s="17" t="s">
        <v>873</v>
      </c>
      <c r="P11" s="17"/>
      <c r="Q11" s="17" t="s">
        <v>874</v>
      </c>
      <c r="R11" s="161" t="s">
        <v>875</v>
      </c>
      <c r="S11" s="161" t="s">
        <v>875</v>
      </c>
      <c r="T11" s="17" t="s">
        <v>874</v>
      </c>
      <c r="U11" s="17"/>
      <c r="V11" s="17"/>
      <c r="W11" s="17"/>
    </row>
    <row r="12" spans="2:46" ht="13" hidden="1" customHeight="1">
      <c r="B12" s="157" t="s">
        <v>876</v>
      </c>
      <c r="C12" s="158" t="s">
        <v>877</v>
      </c>
      <c r="D12" s="11" t="s">
        <v>878</v>
      </c>
      <c r="E12" s="11"/>
      <c r="F12" s="11"/>
      <c r="G12" s="16" t="s">
        <v>828</v>
      </c>
      <c r="H12" s="159">
        <v>45870</v>
      </c>
      <c r="I12" s="159">
        <v>45991</v>
      </c>
      <c r="J12" s="11"/>
      <c r="K12" s="160">
        <v>0.25</v>
      </c>
      <c r="L12" s="160">
        <f t="shared" ca="1" si="1"/>
        <v>1</v>
      </c>
      <c r="M12" s="11"/>
      <c r="N12" s="11"/>
      <c r="O12" s="17"/>
      <c r="P12" s="17"/>
      <c r="Q12" s="17" t="s">
        <v>879</v>
      </c>
      <c r="R12" s="161"/>
      <c r="S12" s="161"/>
      <c r="T12" s="17" t="s">
        <v>879</v>
      </c>
      <c r="U12" s="17"/>
      <c r="V12" s="17"/>
      <c r="W12" s="17"/>
    </row>
    <row r="13" spans="2:46" ht="25.5" customHeight="1">
      <c r="B13" s="157">
        <v>9</v>
      </c>
      <c r="C13" s="158" t="s">
        <v>880</v>
      </c>
      <c r="D13" s="11" t="s">
        <v>881</v>
      </c>
      <c r="E13" s="11"/>
      <c r="F13" s="11"/>
      <c r="G13" s="16" t="s">
        <v>835</v>
      </c>
      <c r="H13" s="159">
        <v>45712</v>
      </c>
      <c r="I13" s="159">
        <v>45971</v>
      </c>
      <c r="J13" s="11" t="s">
        <v>872</v>
      </c>
      <c r="K13" s="160">
        <v>1</v>
      </c>
      <c r="L13" s="160">
        <f t="shared" ca="1" si="1"/>
        <v>1</v>
      </c>
      <c r="M13" s="11" t="str">
        <f t="shared" ref="M13:M18" si="6">IF(K13=1,"Terminada",IF(K13&lt;L13,"Atrasado", "A Tiempo"))</f>
        <v>Terminada</v>
      </c>
      <c r="N13" s="11">
        <f>IF($M13="Eliminada",-2,IF($M13="Terminada",2,IF($M13="A Tiempo",1,IF($M13="En Revision",0,-1))))</f>
        <v>2</v>
      </c>
      <c r="O13" s="17" t="s">
        <v>882</v>
      </c>
      <c r="P13" s="17"/>
      <c r="Q13" s="17" t="s">
        <v>883</v>
      </c>
      <c r="R13" s="161" t="s">
        <v>884</v>
      </c>
      <c r="S13" s="161" t="s">
        <v>884</v>
      </c>
      <c r="T13" s="17" t="s">
        <v>883</v>
      </c>
      <c r="U13" s="17"/>
      <c r="V13" s="17"/>
      <c r="W13" s="17"/>
    </row>
    <row r="14" spans="2:46" ht="25.5" customHeight="1">
      <c r="B14" s="157">
        <v>10</v>
      </c>
      <c r="C14" s="158" t="s">
        <v>885</v>
      </c>
      <c r="D14" s="11" t="s">
        <v>886</v>
      </c>
      <c r="E14" s="11"/>
      <c r="F14" s="11"/>
      <c r="G14" s="16" t="s">
        <v>828</v>
      </c>
      <c r="H14" s="159">
        <v>45870</v>
      </c>
      <c r="I14" s="159">
        <v>45976</v>
      </c>
      <c r="J14" s="11" t="s">
        <v>829</v>
      </c>
      <c r="K14" s="160">
        <v>1</v>
      </c>
      <c r="L14" s="160">
        <f t="shared" ca="1" si="1"/>
        <v>1</v>
      </c>
      <c r="M14" s="11" t="str">
        <f t="shared" si="6"/>
        <v>Terminada</v>
      </c>
      <c r="N14" s="11">
        <f>IF($M14="Eliminada",-2,IF($M14="Terminada",2,IF($M14="A Tiempo",1,IF($M14="En Revision",0,-1))))</f>
        <v>2</v>
      </c>
      <c r="O14" s="17"/>
      <c r="P14" s="17"/>
      <c r="Q14" s="17" t="s">
        <v>887</v>
      </c>
      <c r="R14" s="161" t="s">
        <v>888</v>
      </c>
      <c r="S14" s="161" t="s">
        <v>888</v>
      </c>
      <c r="T14" s="17" t="s">
        <v>887</v>
      </c>
      <c r="U14" s="17"/>
      <c r="V14" s="17"/>
      <c r="W14" s="17"/>
    </row>
    <row r="15" spans="2:46" ht="34" customHeight="1">
      <c r="B15" s="157">
        <v>11</v>
      </c>
      <c r="C15" s="158" t="s">
        <v>889</v>
      </c>
      <c r="D15" s="11" t="s">
        <v>890</v>
      </c>
      <c r="E15" s="11"/>
      <c r="F15" s="11"/>
      <c r="G15" s="16" t="s">
        <v>835</v>
      </c>
      <c r="H15" s="159">
        <v>45870</v>
      </c>
      <c r="I15" s="159">
        <v>45981</v>
      </c>
      <c r="J15" s="11" t="s">
        <v>829</v>
      </c>
      <c r="K15" s="160">
        <v>1</v>
      </c>
      <c r="L15" s="160">
        <f t="shared" ca="1" si="1"/>
        <v>1</v>
      </c>
      <c r="M15" s="11" t="str">
        <f t="shared" si="6"/>
        <v>Terminada</v>
      </c>
      <c r="N15" s="11">
        <f>IF($M15="Eliminada",-2,IF($M15="Terminada",2,IF($M15="A Tiempo",1,IF($M15="En Revision",0,-1))))</f>
        <v>2</v>
      </c>
      <c r="O15" s="17" t="s">
        <v>882</v>
      </c>
      <c r="P15" s="17" t="s">
        <v>891</v>
      </c>
      <c r="Q15" s="17" t="s">
        <v>892</v>
      </c>
      <c r="R15" s="161" t="s">
        <v>893</v>
      </c>
      <c r="S15" s="161" t="s">
        <v>894</v>
      </c>
      <c r="T15" s="17" t="s">
        <v>895</v>
      </c>
      <c r="U15" s="17"/>
      <c r="V15" s="17"/>
      <c r="W15" s="17"/>
    </row>
    <row r="16" spans="2:46" ht="34" customHeight="1">
      <c r="B16" s="157">
        <v>12</v>
      </c>
      <c r="C16" s="158" t="s">
        <v>896</v>
      </c>
      <c r="D16" s="11" t="s">
        <v>897</v>
      </c>
      <c r="E16" s="11"/>
      <c r="F16" s="11"/>
      <c r="G16" s="16" t="s">
        <v>828</v>
      </c>
      <c r="H16" s="159">
        <v>45992</v>
      </c>
      <c r="I16" s="159">
        <v>45996</v>
      </c>
      <c r="J16" s="11" t="s">
        <v>872</v>
      </c>
      <c r="K16" s="160">
        <v>1</v>
      </c>
      <c r="L16" s="160">
        <f t="shared" ca="1" si="1"/>
        <v>1</v>
      </c>
      <c r="M16" s="11" t="str">
        <f t="shared" si="6"/>
        <v>Terminada</v>
      </c>
      <c r="N16" s="11">
        <f>IF($M16="Eliminada",-2,IF($M16="Terminada",2,IF($M16="A Tiempo",1,IF($M16="En Revision",0,-1))))</f>
        <v>2</v>
      </c>
      <c r="O16" s="17"/>
      <c r="P16" s="17"/>
      <c r="Q16" s="17"/>
      <c r="R16" s="161"/>
      <c r="S16" s="161"/>
      <c r="T16" s="17"/>
      <c r="U16" s="17"/>
      <c r="V16" s="17"/>
      <c r="W16" s="17"/>
    </row>
    <row r="17" spans="2:46" ht="34" customHeight="1">
      <c r="B17" s="157">
        <v>13</v>
      </c>
      <c r="C17" s="158" t="s">
        <v>898</v>
      </c>
      <c r="D17" s="11" t="s">
        <v>899</v>
      </c>
      <c r="E17" s="11"/>
      <c r="F17" s="11"/>
      <c r="G17" s="16" t="s">
        <v>828</v>
      </c>
      <c r="H17" s="159">
        <v>45992</v>
      </c>
      <c r="I17" s="159">
        <v>46006</v>
      </c>
      <c r="J17" s="11" t="s">
        <v>872</v>
      </c>
      <c r="K17" s="160">
        <v>1</v>
      </c>
      <c r="L17" s="160">
        <f t="shared" ca="1" si="1"/>
        <v>1</v>
      </c>
      <c r="M17" s="11" t="str">
        <f t="shared" si="6"/>
        <v>Terminada</v>
      </c>
      <c r="N17" s="11"/>
      <c r="O17" s="17"/>
      <c r="P17" s="17"/>
      <c r="Q17" s="17"/>
      <c r="R17" s="161"/>
      <c r="S17" s="161"/>
      <c r="T17" s="17"/>
      <c r="U17" s="17"/>
      <c r="V17" s="17"/>
      <c r="W17" s="17"/>
    </row>
    <row r="18" spans="2:46" s="154" customFormat="1">
      <c r="B18" s="17"/>
      <c r="C18" s="16" t="s">
        <v>697</v>
      </c>
      <c r="D18" s="11"/>
      <c r="E18" s="11"/>
      <c r="F18" s="11"/>
      <c r="G18" s="11"/>
      <c r="H18" s="11"/>
      <c r="I18" s="11"/>
      <c r="J18" s="11"/>
      <c r="K18" s="162">
        <f>AVERAGE(K4:K16)</f>
        <v>0.93076923076923079</v>
      </c>
      <c r="L18" s="162">
        <f ca="1">AVERAGE(L4:L16)</f>
        <v>1</v>
      </c>
      <c r="M18" s="16" t="str">
        <f t="shared" ca="1" si="6"/>
        <v>Atrasado</v>
      </c>
      <c r="N18" s="16">
        <f ca="1">IF($M18="Eliminada",-2,IF($M18="Terminada",2,IF($M18="A Tiempo",1,IF($M18="En Revision",0,-1))))</f>
        <v>-1</v>
      </c>
      <c r="O18" s="17"/>
      <c r="P18" s="17"/>
      <c r="Q18" s="17"/>
      <c r="R18" s="17"/>
      <c r="S18" s="17"/>
      <c r="T18" s="17"/>
      <c r="U18" s="17"/>
      <c r="V18" s="17"/>
      <c r="W18" s="17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</row>
    <row r="19" spans="2:46">
      <c r="B19" s="163"/>
      <c r="C19" s="163"/>
      <c r="D19" s="17"/>
      <c r="E19" s="17"/>
      <c r="F19" s="17"/>
      <c r="G19" s="163"/>
      <c r="H19" s="163"/>
      <c r="I19" s="163"/>
      <c r="J19" s="163"/>
      <c r="K19" s="163"/>
      <c r="L19" s="163"/>
      <c r="M19" s="163"/>
      <c r="N19" s="163"/>
      <c r="O19" s="163"/>
      <c r="P19" s="17"/>
      <c r="Q19" s="163"/>
      <c r="R19" s="163"/>
      <c r="S19" s="163"/>
      <c r="T19" s="163"/>
      <c r="U19" s="163"/>
      <c r="V19" s="163"/>
      <c r="W19" s="163"/>
    </row>
    <row r="20" spans="2:46">
      <c r="B20" s="163"/>
      <c r="C20" s="163"/>
      <c r="D20" s="17"/>
      <c r="E20" s="17"/>
      <c r="F20" s="17"/>
      <c r="G20" s="163"/>
      <c r="H20" s="163"/>
      <c r="I20" s="163"/>
      <c r="J20" s="163"/>
      <c r="K20" s="163"/>
      <c r="L20" s="163"/>
      <c r="M20" s="163"/>
      <c r="N20" s="163"/>
      <c r="O20" s="163"/>
      <c r="P20" s="17"/>
      <c r="Q20" s="163"/>
      <c r="R20" s="163"/>
      <c r="S20" s="163"/>
      <c r="T20" s="163"/>
      <c r="U20" s="163"/>
      <c r="V20" s="163"/>
      <c r="W20" s="163"/>
    </row>
    <row r="21" spans="2:46">
      <c r="B21" s="163"/>
      <c r="C21" s="163"/>
      <c r="D21" s="17"/>
      <c r="E21" s="17"/>
      <c r="F21" s="17"/>
      <c r="G21" s="163"/>
      <c r="H21" s="163"/>
      <c r="I21" s="163"/>
      <c r="J21" s="163"/>
      <c r="K21" s="163"/>
      <c r="L21" s="163"/>
      <c r="M21" s="163"/>
      <c r="N21" s="163"/>
      <c r="O21" s="163"/>
      <c r="P21" s="17"/>
      <c r="Q21" s="163"/>
      <c r="R21" s="163"/>
      <c r="S21" s="163"/>
      <c r="T21" s="163"/>
      <c r="U21" s="163"/>
      <c r="V21" s="163"/>
      <c r="W21" s="163"/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/>
  </sheetPr>
  <dimension ref="A1:O54"/>
  <sheetViews>
    <sheetView showGridLines="0" workbookViewId="0">
      <pane ySplit="1" topLeftCell="A29" activePane="bottomLeft" state="frozen"/>
      <selection pane="bottomLeft" activeCell="J55" sqref="J55"/>
    </sheetView>
  </sheetViews>
  <sheetFormatPr baseColWidth="10" defaultColWidth="11.453125" defaultRowHeight="14.5"/>
  <cols>
    <col min="1" max="1" width="30.7265625" style="177" customWidth="1"/>
    <col min="2" max="2" width="8.453125" style="177" bestFit="1" customWidth="1"/>
    <col min="3" max="3" width="8.81640625" style="177" bestFit="1" customWidth="1"/>
    <col min="4" max="4" width="12.81640625" style="177" bestFit="1" customWidth="1"/>
    <col min="5" max="5" width="10.7265625" style="177" customWidth="1"/>
    <col min="6" max="6" width="11" style="177" bestFit="1" customWidth="1"/>
    <col min="7" max="7" width="13.54296875" style="177" customWidth="1"/>
    <col min="8" max="8" width="16.54296875" style="177" customWidth="1"/>
    <col min="9" max="9" width="12.26953125" style="177" customWidth="1"/>
    <col min="10" max="10" width="11.54296875" style="177" customWidth="1"/>
    <col min="11" max="11" width="11.453125" style="177" customWidth="1"/>
    <col min="12" max="12" width="14.1796875" style="177" customWidth="1"/>
    <col min="13" max="13" width="11.81640625" style="177" customWidth="1"/>
    <col min="14" max="14" width="11.453125" style="177" customWidth="1"/>
    <col min="15" max="15" width="24.26953125" style="177" customWidth="1"/>
    <col min="16" max="16" width="3.26953125" style="168" customWidth="1"/>
    <col min="17" max="17" width="11.453125" style="168" customWidth="1"/>
    <col min="18" max="16384" width="11.453125" style="168"/>
  </cols>
  <sheetData>
    <row r="1" spans="1:15" ht="49.5" customHeight="1">
      <c r="A1" s="164" t="s">
        <v>900</v>
      </c>
      <c r="B1" s="164" t="s">
        <v>901</v>
      </c>
      <c r="C1" s="164" t="s">
        <v>902</v>
      </c>
      <c r="D1" s="164" t="s">
        <v>903</v>
      </c>
      <c r="E1" s="165" t="s">
        <v>904</v>
      </c>
      <c r="F1" s="165" t="s">
        <v>905</v>
      </c>
      <c r="G1" s="164" t="s">
        <v>906</v>
      </c>
      <c r="H1" s="166" t="s">
        <v>907</v>
      </c>
      <c r="I1" s="166" t="s">
        <v>908</v>
      </c>
      <c r="J1" s="166" t="s">
        <v>909</v>
      </c>
      <c r="K1" s="166" t="s">
        <v>910</v>
      </c>
      <c r="L1" s="166" t="s">
        <v>911</v>
      </c>
      <c r="M1" s="164" t="s">
        <v>912</v>
      </c>
      <c r="N1" s="164" t="s">
        <v>913</v>
      </c>
      <c r="O1" s="167" t="s">
        <v>914</v>
      </c>
    </row>
    <row r="2" spans="1:15">
      <c r="A2" s="169" t="s">
        <v>915</v>
      </c>
      <c r="B2" s="169">
        <v>765</v>
      </c>
      <c r="C2" s="170">
        <f t="shared" ref="C2:C18" si="0">+B2/12</f>
        <v>63.75</v>
      </c>
      <c r="D2" s="169">
        <v>16</v>
      </c>
      <c r="E2" s="171">
        <v>320</v>
      </c>
      <c r="F2" s="171">
        <v>100</v>
      </c>
      <c r="G2" s="169">
        <f t="shared" ref="G2:G48" si="1">SUM(E2:F2)</f>
        <v>420</v>
      </c>
      <c r="H2" s="172">
        <v>1</v>
      </c>
      <c r="I2" s="172">
        <v>24</v>
      </c>
      <c r="J2" s="172">
        <v>12</v>
      </c>
      <c r="K2" s="172">
        <v>15</v>
      </c>
      <c r="L2" s="172">
        <v>10</v>
      </c>
      <c r="M2" s="169">
        <f t="shared" ref="M2:M48" si="2">SUM(H2:L2)</f>
        <v>62</v>
      </c>
      <c r="N2" s="170">
        <f t="shared" ref="N2:N48" si="3">+G2-M2</f>
        <v>358</v>
      </c>
      <c r="O2" s="173" t="str">
        <f t="shared" ref="O2:O48" si="4">IF(N2&lt;=D2, "🚨 STOCK CRÍTICO", IF(AND(C2&gt;0, N2&gt;C2), "⚠️ EXCESO DE INVENTARIO", IF(N2&lt;=(D2*1.8), "📦 REPONER", "✅ OK")))</f>
        <v>⚠️ EXCESO DE INVENTARIO</v>
      </c>
    </row>
    <row r="3" spans="1:15">
      <c r="A3" s="169" t="s">
        <v>916</v>
      </c>
      <c r="B3" s="169">
        <v>765</v>
      </c>
      <c r="C3" s="170">
        <f t="shared" si="0"/>
        <v>63.75</v>
      </c>
      <c r="D3" s="169">
        <v>16</v>
      </c>
      <c r="E3" s="171">
        <v>300</v>
      </c>
      <c r="F3" s="171">
        <v>100</v>
      </c>
      <c r="G3" s="169">
        <f t="shared" si="1"/>
        <v>400</v>
      </c>
      <c r="H3" s="172">
        <v>0</v>
      </c>
      <c r="I3" s="172">
        <v>24</v>
      </c>
      <c r="J3" s="172">
        <v>12</v>
      </c>
      <c r="K3" s="172">
        <v>15</v>
      </c>
      <c r="L3" s="172">
        <v>10</v>
      </c>
      <c r="M3" s="169">
        <f t="shared" si="2"/>
        <v>61</v>
      </c>
      <c r="N3" s="170">
        <f t="shared" si="3"/>
        <v>339</v>
      </c>
      <c r="O3" s="173" t="str">
        <f t="shared" si="4"/>
        <v>⚠️ EXCESO DE INVENTARIO</v>
      </c>
    </row>
    <row r="4" spans="1:15">
      <c r="A4" s="169" t="s">
        <v>917</v>
      </c>
      <c r="B4" s="169">
        <v>735</v>
      </c>
      <c r="C4" s="170">
        <f t="shared" si="0"/>
        <v>61.25</v>
      </c>
      <c r="D4" s="169">
        <v>15</v>
      </c>
      <c r="E4" s="171">
        <v>75</v>
      </c>
      <c r="F4" s="171">
        <v>0</v>
      </c>
      <c r="G4" s="169">
        <f t="shared" si="1"/>
        <v>75</v>
      </c>
      <c r="H4" s="172">
        <v>2</v>
      </c>
      <c r="I4" s="172">
        <v>24</v>
      </c>
      <c r="J4" s="172">
        <v>12</v>
      </c>
      <c r="K4" s="172">
        <v>15</v>
      </c>
      <c r="L4" s="172">
        <v>10</v>
      </c>
      <c r="M4" s="169">
        <f t="shared" si="2"/>
        <v>63</v>
      </c>
      <c r="N4" s="170">
        <f t="shared" si="3"/>
        <v>12</v>
      </c>
      <c r="O4" s="173" t="str">
        <f t="shared" si="4"/>
        <v>🚨 STOCK CRÍTICO</v>
      </c>
    </row>
    <row r="5" spans="1:15">
      <c r="A5" s="169" t="s">
        <v>918</v>
      </c>
      <c r="B5" s="169">
        <v>576</v>
      </c>
      <c r="C5" s="170">
        <f t="shared" si="0"/>
        <v>48</v>
      </c>
      <c r="D5" s="169">
        <v>12</v>
      </c>
      <c r="E5" s="171">
        <v>200</v>
      </c>
      <c r="F5" s="171">
        <v>1350</v>
      </c>
      <c r="G5" s="169">
        <f t="shared" si="1"/>
        <v>1550</v>
      </c>
      <c r="H5" s="172">
        <v>2</v>
      </c>
      <c r="I5" s="172">
        <v>48</v>
      </c>
      <c r="J5" s="172">
        <v>24</v>
      </c>
      <c r="K5" s="172">
        <v>30</v>
      </c>
      <c r="L5" s="172">
        <v>20</v>
      </c>
      <c r="M5" s="169">
        <f t="shared" si="2"/>
        <v>124</v>
      </c>
      <c r="N5" s="170">
        <f t="shared" si="3"/>
        <v>1426</v>
      </c>
      <c r="O5" s="173" t="str">
        <f t="shared" si="4"/>
        <v>⚠️ EXCESO DE INVENTARIO</v>
      </c>
    </row>
    <row r="6" spans="1:15">
      <c r="A6" s="169" t="s">
        <v>919</v>
      </c>
      <c r="B6" s="169">
        <v>153</v>
      </c>
      <c r="C6" s="170">
        <f t="shared" si="0"/>
        <v>12.75</v>
      </c>
      <c r="D6" s="169">
        <v>8</v>
      </c>
      <c r="E6" s="171">
        <v>200</v>
      </c>
      <c r="F6" s="171">
        <v>127</v>
      </c>
      <c r="G6" s="169">
        <f t="shared" si="1"/>
        <v>327</v>
      </c>
      <c r="H6" s="172">
        <v>6</v>
      </c>
      <c r="I6" s="172">
        <v>72</v>
      </c>
      <c r="J6" s="172">
        <v>36</v>
      </c>
      <c r="K6" s="172">
        <v>45</v>
      </c>
      <c r="L6" s="172">
        <v>30</v>
      </c>
      <c r="M6" s="169">
        <f t="shared" si="2"/>
        <v>189</v>
      </c>
      <c r="N6" s="170">
        <f t="shared" si="3"/>
        <v>138</v>
      </c>
      <c r="O6" s="173" t="str">
        <f t="shared" si="4"/>
        <v>⚠️ EXCESO DE INVENTARIO</v>
      </c>
    </row>
    <row r="7" spans="1:15">
      <c r="A7" s="169" t="s">
        <v>920</v>
      </c>
      <c r="B7" s="169">
        <v>336</v>
      </c>
      <c r="C7" s="170">
        <f t="shared" si="0"/>
        <v>28</v>
      </c>
      <c r="D7" s="169">
        <v>7</v>
      </c>
      <c r="E7" s="171">
        <v>100</v>
      </c>
      <c r="F7" s="171">
        <v>48</v>
      </c>
      <c r="G7" s="169">
        <f t="shared" si="1"/>
        <v>148</v>
      </c>
      <c r="H7" s="172">
        <v>2</v>
      </c>
      <c r="I7" s="172">
        <v>24</v>
      </c>
      <c r="J7" s="172">
        <v>12</v>
      </c>
      <c r="K7" s="172">
        <v>15</v>
      </c>
      <c r="L7" s="172">
        <v>10</v>
      </c>
      <c r="M7" s="169">
        <f t="shared" si="2"/>
        <v>63</v>
      </c>
      <c r="N7" s="170">
        <f t="shared" si="3"/>
        <v>85</v>
      </c>
      <c r="O7" s="173" t="str">
        <f t="shared" si="4"/>
        <v>⚠️ EXCESO DE INVENTARIO</v>
      </c>
    </row>
    <row r="8" spans="1:15">
      <c r="A8" s="169" t="s">
        <v>921</v>
      </c>
      <c r="B8" s="169">
        <v>357</v>
      </c>
      <c r="C8" s="170">
        <f t="shared" si="0"/>
        <v>29.75</v>
      </c>
      <c r="D8" s="169">
        <v>8</v>
      </c>
      <c r="E8" s="171">
        <v>75</v>
      </c>
      <c r="F8" s="171">
        <v>0</v>
      </c>
      <c r="G8" s="169">
        <f t="shared" si="1"/>
        <v>75</v>
      </c>
      <c r="H8" s="172">
        <v>2</v>
      </c>
      <c r="I8" s="172">
        <v>24</v>
      </c>
      <c r="J8" s="172">
        <v>12</v>
      </c>
      <c r="K8" s="172">
        <v>15</v>
      </c>
      <c r="L8" s="172">
        <v>10</v>
      </c>
      <c r="M8" s="169">
        <f t="shared" si="2"/>
        <v>63</v>
      </c>
      <c r="N8" s="170">
        <f t="shared" si="3"/>
        <v>12</v>
      </c>
      <c r="O8" s="173" t="str">
        <f t="shared" si="4"/>
        <v>📦 REPONER</v>
      </c>
    </row>
    <row r="9" spans="1:15">
      <c r="A9" s="169" t="s">
        <v>922</v>
      </c>
      <c r="B9" s="169">
        <v>306</v>
      </c>
      <c r="C9" s="170">
        <f t="shared" si="0"/>
        <v>25.5</v>
      </c>
      <c r="D9" s="169">
        <v>7</v>
      </c>
      <c r="E9" s="171">
        <v>78</v>
      </c>
      <c r="F9" s="171">
        <v>30</v>
      </c>
      <c r="G9" s="169">
        <f t="shared" si="1"/>
        <v>108</v>
      </c>
      <c r="H9" s="172">
        <v>2</v>
      </c>
      <c r="I9" s="172">
        <v>24</v>
      </c>
      <c r="J9" s="172">
        <v>12</v>
      </c>
      <c r="K9" s="172">
        <v>15</v>
      </c>
      <c r="L9" s="172">
        <v>10</v>
      </c>
      <c r="M9" s="169">
        <f t="shared" si="2"/>
        <v>63</v>
      </c>
      <c r="N9" s="170">
        <f t="shared" si="3"/>
        <v>45</v>
      </c>
      <c r="O9" s="173" t="str">
        <f t="shared" si="4"/>
        <v>⚠️ EXCESO DE INVENTARIO</v>
      </c>
    </row>
    <row r="10" spans="1:15">
      <c r="A10" s="169" t="s">
        <v>923</v>
      </c>
      <c r="B10" s="169">
        <v>222</v>
      </c>
      <c r="C10" s="170">
        <f t="shared" si="0"/>
        <v>18.5</v>
      </c>
      <c r="D10" s="169">
        <v>5</v>
      </c>
      <c r="E10" s="171">
        <v>300</v>
      </c>
      <c r="F10" s="171">
        <v>1100</v>
      </c>
      <c r="G10" s="169">
        <f t="shared" si="1"/>
        <v>1400</v>
      </c>
      <c r="H10" s="172">
        <v>2</v>
      </c>
      <c r="I10" s="172">
        <v>48</v>
      </c>
      <c r="J10" s="172">
        <v>24</v>
      </c>
      <c r="K10" s="172">
        <v>30</v>
      </c>
      <c r="L10" s="172">
        <v>20</v>
      </c>
      <c r="M10" s="169">
        <f t="shared" si="2"/>
        <v>124</v>
      </c>
      <c r="N10" s="170">
        <f t="shared" si="3"/>
        <v>1276</v>
      </c>
      <c r="O10" s="173" t="str">
        <f t="shared" si="4"/>
        <v>⚠️ EXCESO DE INVENTARIO</v>
      </c>
    </row>
    <row r="11" spans="1:15">
      <c r="A11" s="169" t="s">
        <v>924</v>
      </c>
      <c r="B11" s="169">
        <v>153</v>
      </c>
      <c r="C11" s="170">
        <f t="shared" si="0"/>
        <v>12.75</v>
      </c>
      <c r="D11" s="169">
        <v>4</v>
      </c>
      <c r="E11" s="171">
        <v>65</v>
      </c>
      <c r="F11" s="171">
        <v>22</v>
      </c>
      <c r="G11" s="169">
        <f t="shared" si="1"/>
        <v>87</v>
      </c>
      <c r="H11" s="172">
        <v>2</v>
      </c>
      <c r="I11" s="172">
        <v>24</v>
      </c>
      <c r="J11" s="172">
        <v>12</v>
      </c>
      <c r="K11" s="172">
        <v>15</v>
      </c>
      <c r="L11" s="172">
        <v>10</v>
      </c>
      <c r="M11" s="169">
        <f t="shared" si="2"/>
        <v>63</v>
      </c>
      <c r="N11" s="170">
        <f t="shared" si="3"/>
        <v>24</v>
      </c>
      <c r="O11" s="173" t="str">
        <f t="shared" si="4"/>
        <v>⚠️ EXCESO DE INVENTARIO</v>
      </c>
    </row>
    <row r="12" spans="1:15">
      <c r="A12" s="169" t="s">
        <v>925</v>
      </c>
      <c r="B12" s="169">
        <v>153</v>
      </c>
      <c r="C12" s="170">
        <f t="shared" si="0"/>
        <v>12.75</v>
      </c>
      <c r="D12" s="169">
        <v>4</v>
      </c>
      <c r="E12" s="171">
        <v>152</v>
      </c>
      <c r="F12" s="171">
        <v>155</v>
      </c>
      <c r="G12" s="169">
        <f t="shared" si="1"/>
        <v>307</v>
      </c>
      <c r="H12" s="172">
        <v>6</v>
      </c>
      <c r="I12" s="172">
        <v>48</v>
      </c>
      <c r="J12" s="172">
        <v>24</v>
      </c>
      <c r="K12" s="172">
        <v>30</v>
      </c>
      <c r="L12" s="172">
        <v>20</v>
      </c>
      <c r="M12" s="169">
        <f t="shared" si="2"/>
        <v>128</v>
      </c>
      <c r="N12" s="170">
        <f t="shared" si="3"/>
        <v>179</v>
      </c>
      <c r="O12" s="173" t="str">
        <f t="shared" si="4"/>
        <v>⚠️ EXCESO DE INVENTARIO</v>
      </c>
    </row>
    <row r="13" spans="1:15">
      <c r="A13" s="169" t="s">
        <v>926</v>
      </c>
      <c r="B13" s="169">
        <v>153</v>
      </c>
      <c r="C13" s="170">
        <f t="shared" si="0"/>
        <v>12.75</v>
      </c>
      <c r="D13" s="169">
        <v>4</v>
      </c>
      <c r="E13" s="171">
        <v>34</v>
      </c>
      <c r="F13" s="171">
        <v>49</v>
      </c>
      <c r="G13" s="169">
        <f t="shared" si="1"/>
        <v>83</v>
      </c>
      <c r="H13" s="172">
        <v>2</v>
      </c>
      <c r="I13" s="172">
        <v>24</v>
      </c>
      <c r="J13" s="172">
        <v>12</v>
      </c>
      <c r="K13" s="172">
        <v>15</v>
      </c>
      <c r="L13" s="172">
        <v>10</v>
      </c>
      <c r="M13" s="169">
        <f t="shared" si="2"/>
        <v>63</v>
      </c>
      <c r="N13" s="170">
        <f t="shared" si="3"/>
        <v>20</v>
      </c>
      <c r="O13" s="173" t="str">
        <f t="shared" si="4"/>
        <v>⚠️ EXCESO DE INVENTARIO</v>
      </c>
    </row>
    <row r="14" spans="1:15">
      <c r="A14" s="169" t="s">
        <v>927</v>
      </c>
      <c r="B14" s="169">
        <v>136</v>
      </c>
      <c r="C14" s="170">
        <f t="shared" si="0"/>
        <v>11.333333333333334</v>
      </c>
      <c r="D14" s="169">
        <v>3</v>
      </c>
      <c r="E14" s="171">
        <v>22</v>
      </c>
      <c r="F14" s="171">
        <v>0</v>
      </c>
      <c r="G14" s="169">
        <f t="shared" si="1"/>
        <v>22</v>
      </c>
      <c r="H14" s="172">
        <v>0</v>
      </c>
      <c r="I14" s="172">
        <v>8</v>
      </c>
      <c r="J14" s="172">
        <v>6</v>
      </c>
      <c r="K14" s="172">
        <v>6</v>
      </c>
      <c r="L14" s="172">
        <v>2</v>
      </c>
      <c r="M14" s="169">
        <f t="shared" si="2"/>
        <v>22</v>
      </c>
      <c r="N14" s="170">
        <f t="shared" si="3"/>
        <v>0</v>
      </c>
      <c r="O14" s="173" t="str">
        <f t="shared" si="4"/>
        <v>🚨 STOCK CRÍTICO</v>
      </c>
    </row>
    <row r="15" spans="1:15">
      <c r="A15" s="169" t="s">
        <v>928</v>
      </c>
      <c r="B15" s="169">
        <v>0</v>
      </c>
      <c r="C15" s="170">
        <f t="shared" si="0"/>
        <v>0</v>
      </c>
      <c r="D15" s="169">
        <v>4</v>
      </c>
      <c r="E15" s="171">
        <v>88</v>
      </c>
      <c r="F15" s="171">
        <v>0</v>
      </c>
      <c r="G15" s="169">
        <f t="shared" si="1"/>
        <v>88</v>
      </c>
      <c r="H15" s="172">
        <v>0</v>
      </c>
      <c r="I15" s="172">
        <v>20</v>
      </c>
      <c r="J15" s="172">
        <v>0</v>
      </c>
      <c r="K15" s="172">
        <v>0</v>
      </c>
      <c r="L15" s="172">
        <v>8</v>
      </c>
      <c r="M15" s="169">
        <f t="shared" si="2"/>
        <v>28</v>
      </c>
      <c r="N15" s="170">
        <f t="shared" si="3"/>
        <v>60</v>
      </c>
      <c r="O15" s="173" t="str">
        <f t="shared" si="4"/>
        <v>✅ OK</v>
      </c>
    </row>
    <row r="16" spans="1:15">
      <c r="A16" s="169" t="s">
        <v>929</v>
      </c>
      <c r="B16" s="169">
        <v>0</v>
      </c>
      <c r="C16" s="170">
        <f t="shared" si="0"/>
        <v>0</v>
      </c>
      <c r="D16" s="169">
        <v>5</v>
      </c>
      <c r="E16" s="171">
        <v>300</v>
      </c>
      <c r="F16" s="171">
        <v>300</v>
      </c>
      <c r="G16" s="169">
        <f t="shared" si="1"/>
        <v>600</v>
      </c>
      <c r="H16" s="172">
        <v>4</v>
      </c>
      <c r="I16" s="172">
        <v>48</v>
      </c>
      <c r="J16" s="172">
        <v>24</v>
      </c>
      <c r="K16" s="172">
        <v>30</v>
      </c>
      <c r="L16" s="172">
        <v>20</v>
      </c>
      <c r="M16" s="169">
        <f t="shared" si="2"/>
        <v>126</v>
      </c>
      <c r="N16" s="170">
        <f t="shared" si="3"/>
        <v>474</v>
      </c>
      <c r="O16" s="173" t="str">
        <f t="shared" si="4"/>
        <v>✅ OK</v>
      </c>
    </row>
    <row r="17" spans="1:15">
      <c r="A17" s="169" t="s">
        <v>930</v>
      </c>
      <c r="B17" s="169">
        <v>0</v>
      </c>
      <c r="C17" s="170">
        <f t="shared" si="0"/>
        <v>0</v>
      </c>
      <c r="D17" s="169">
        <v>2</v>
      </c>
      <c r="E17" s="171">
        <v>20</v>
      </c>
      <c r="F17" s="171">
        <v>0</v>
      </c>
      <c r="G17" s="169">
        <f t="shared" si="1"/>
        <v>20</v>
      </c>
      <c r="H17" s="172">
        <v>0</v>
      </c>
      <c r="I17" s="172">
        <v>8</v>
      </c>
      <c r="J17" s="172">
        <v>0</v>
      </c>
      <c r="K17" s="172">
        <v>0</v>
      </c>
      <c r="L17" s="172">
        <v>6</v>
      </c>
      <c r="M17" s="169">
        <f t="shared" si="2"/>
        <v>14</v>
      </c>
      <c r="N17" s="170">
        <f t="shared" si="3"/>
        <v>6</v>
      </c>
      <c r="O17" s="173" t="str">
        <f t="shared" si="4"/>
        <v>✅ OK</v>
      </c>
    </row>
    <row r="18" spans="1:15">
      <c r="A18" s="174" t="s">
        <v>931</v>
      </c>
      <c r="B18" s="174">
        <v>0</v>
      </c>
      <c r="C18" s="175">
        <f t="shared" si="0"/>
        <v>0</v>
      </c>
      <c r="D18" s="174">
        <v>22</v>
      </c>
      <c r="E18" s="174">
        <v>0</v>
      </c>
      <c r="F18" s="174">
        <v>0</v>
      </c>
      <c r="G18" s="174">
        <f t="shared" si="1"/>
        <v>0</v>
      </c>
      <c r="H18" s="174">
        <v>0</v>
      </c>
      <c r="I18" s="174">
        <v>0</v>
      </c>
      <c r="J18" s="174">
        <v>0</v>
      </c>
      <c r="K18" s="174">
        <v>0</v>
      </c>
      <c r="L18" s="174">
        <v>0</v>
      </c>
      <c r="M18" s="174">
        <f t="shared" si="2"/>
        <v>0</v>
      </c>
      <c r="N18" s="175">
        <f t="shared" si="3"/>
        <v>0</v>
      </c>
      <c r="O18" s="173" t="str">
        <f t="shared" si="4"/>
        <v>🚨 STOCK CRÍTICO</v>
      </c>
    </row>
    <row r="19" spans="1:15">
      <c r="A19" s="169" t="s">
        <v>932</v>
      </c>
      <c r="B19" s="169">
        <v>0</v>
      </c>
      <c r="C19" s="169">
        <v>0</v>
      </c>
      <c r="D19" s="170">
        <v>10</v>
      </c>
      <c r="E19" s="171">
        <v>102</v>
      </c>
      <c r="F19" s="171">
        <v>0</v>
      </c>
      <c r="G19" s="169">
        <f t="shared" si="1"/>
        <v>102</v>
      </c>
      <c r="H19" s="172">
        <v>3</v>
      </c>
      <c r="I19" s="172">
        <v>24</v>
      </c>
      <c r="J19" s="172">
        <v>12</v>
      </c>
      <c r="K19" s="172">
        <v>15</v>
      </c>
      <c r="L19" s="172">
        <v>10</v>
      </c>
      <c r="M19" s="169">
        <f t="shared" si="2"/>
        <v>64</v>
      </c>
      <c r="N19" s="170">
        <f t="shared" si="3"/>
        <v>38</v>
      </c>
      <c r="O19" s="173" t="str">
        <f t="shared" si="4"/>
        <v>✅ OK</v>
      </c>
    </row>
    <row r="20" spans="1:15">
      <c r="A20" s="169" t="s">
        <v>933</v>
      </c>
      <c r="B20" s="169">
        <v>0</v>
      </c>
      <c r="C20" s="169">
        <v>0</v>
      </c>
      <c r="D20" s="170">
        <v>20</v>
      </c>
      <c r="E20" s="171">
        <v>200</v>
      </c>
      <c r="F20" s="171">
        <v>0</v>
      </c>
      <c r="G20" s="169">
        <f t="shared" si="1"/>
        <v>200</v>
      </c>
      <c r="H20" s="172">
        <v>0</v>
      </c>
      <c r="I20" s="172">
        <v>0</v>
      </c>
      <c r="J20" s="172">
        <v>0</v>
      </c>
      <c r="K20" s="172">
        <v>0</v>
      </c>
      <c r="L20" s="172">
        <v>0</v>
      </c>
      <c r="M20" s="169">
        <f t="shared" si="2"/>
        <v>0</v>
      </c>
      <c r="N20" s="170">
        <f t="shared" si="3"/>
        <v>200</v>
      </c>
      <c r="O20" s="173" t="str">
        <f t="shared" si="4"/>
        <v>✅ OK</v>
      </c>
    </row>
    <row r="21" spans="1:15">
      <c r="A21" s="169" t="s">
        <v>934</v>
      </c>
      <c r="B21" s="169">
        <v>0</v>
      </c>
      <c r="C21" s="169">
        <v>0</v>
      </c>
      <c r="D21" s="170">
        <v>10</v>
      </c>
      <c r="E21" s="171">
        <v>70</v>
      </c>
      <c r="F21" s="171">
        <v>0</v>
      </c>
      <c r="G21" s="169">
        <f t="shared" si="1"/>
        <v>70</v>
      </c>
      <c r="H21" s="172">
        <v>0</v>
      </c>
      <c r="I21" s="172">
        <v>24</v>
      </c>
      <c r="J21" s="172">
        <v>12</v>
      </c>
      <c r="K21" s="172">
        <v>15</v>
      </c>
      <c r="L21" s="172">
        <v>10</v>
      </c>
      <c r="M21" s="169">
        <f t="shared" si="2"/>
        <v>61</v>
      </c>
      <c r="N21" s="170">
        <f t="shared" si="3"/>
        <v>9</v>
      </c>
      <c r="O21" s="173" t="str">
        <f t="shared" si="4"/>
        <v>🚨 STOCK CRÍTICO</v>
      </c>
    </row>
    <row r="22" spans="1:15">
      <c r="A22" s="169" t="s">
        <v>935</v>
      </c>
      <c r="B22" s="169">
        <v>0</v>
      </c>
      <c r="C22" s="169">
        <v>0</v>
      </c>
      <c r="D22" s="170">
        <v>10</v>
      </c>
      <c r="E22" s="171">
        <v>75</v>
      </c>
      <c r="F22" s="171">
        <v>0</v>
      </c>
      <c r="G22" s="169">
        <f t="shared" si="1"/>
        <v>75</v>
      </c>
      <c r="H22" s="172">
        <v>0</v>
      </c>
      <c r="I22" s="172">
        <v>24</v>
      </c>
      <c r="J22" s="172">
        <v>12</v>
      </c>
      <c r="K22" s="172">
        <v>15</v>
      </c>
      <c r="L22" s="172">
        <v>10</v>
      </c>
      <c r="M22" s="169">
        <f t="shared" si="2"/>
        <v>61</v>
      </c>
      <c r="N22" s="170">
        <f t="shared" si="3"/>
        <v>14</v>
      </c>
      <c r="O22" s="173" t="str">
        <f t="shared" si="4"/>
        <v>📦 REPONER</v>
      </c>
    </row>
    <row r="23" spans="1:15">
      <c r="A23" s="169" t="s">
        <v>936</v>
      </c>
      <c r="B23" s="169">
        <v>0</v>
      </c>
      <c r="C23" s="169">
        <v>0</v>
      </c>
      <c r="D23" s="170">
        <v>10</v>
      </c>
      <c r="E23" s="171">
        <v>66</v>
      </c>
      <c r="F23" s="171">
        <v>0</v>
      </c>
      <c r="G23" s="169">
        <f t="shared" si="1"/>
        <v>66</v>
      </c>
      <c r="H23" s="172">
        <v>0</v>
      </c>
      <c r="I23" s="172">
        <v>14</v>
      </c>
      <c r="J23" s="172">
        <v>0</v>
      </c>
      <c r="K23" s="172">
        <v>0</v>
      </c>
      <c r="L23" s="172">
        <v>6</v>
      </c>
      <c r="M23" s="169">
        <f t="shared" si="2"/>
        <v>20</v>
      </c>
      <c r="N23" s="170">
        <f t="shared" si="3"/>
        <v>46</v>
      </c>
      <c r="O23" s="173" t="str">
        <f t="shared" si="4"/>
        <v>✅ OK</v>
      </c>
    </row>
    <row r="24" spans="1:15">
      <c r="A24" s="169" t="s">
        <v>937</v>
      </c>
      <c r="B24" s="169">
        <v>0</v>
      </c>
      <c r="C24" s="169">
        <v>0</v>
      </c>
      <c r="D24" s="170">
        <v>30</v>
      </c>
      <c r="E24" s="171">
        <v>300</v>
      </c>
      <c r="F24" s="171">
        <v>0</v>
      </c>
      <c r="G24" s="169">
        <f t="shared" si="1"/>
        <v>300</v>
      </c>
      <c r="H24" s="172">
        <v>0</v>
      </c>
      <c r="I24" s="172">
        <v>0</v>
      </c>
      <c r="J24" s="172">
        <v>0</v>
      </c>
      <c r="K24" s="172">
        <v>0</v>
      </c>
      <c r="L24" s="172">
        <v>0</v>
      </c>
      <c r="M24" s="169">
        <f t="shared" si="2"/>
        <v>0</v>
      </c>
      <c r="N24" s="170">
        <f t="shared" si="3"/>
        <v>300</v>
      </c>
      <c r="O24" s="173" t="str">
        <f t="shared" si="4"/>
        <v>✅ OK</v>
      </c>
    </row>
    <row r="25" spans="1:15">
      <c r="A25" s="169" t="s">
        <v>938</v>
      </c>
      <c r="B25" s="169">
        <v>0</v>
      </c>
      <c r="C25" s="169">
        <v>0</v>
      </c>
      <c r="D25" s="170">
        <v>15</v>
      </c>
      <c r="E25" s="171">
        <v>150</v>
      </c>
      <c r="F25" s="171">
        <v>0</v>
      </c>
      <c r="G25" s="169">
        <f t="shared" si="1"/>
        <v>150</v>
      </c>
      <c r="H25" s="172">
        <v>0</v>
      </c>
      <c r="I25" s="172">
        <v>48</v>
      </c>
      <c r="J25" s="172">
        <v>24</v>
      </c>
      <c r="K25" s="172">
        <v>30</v>
      </c>
      <c r="L25" s="172">
        <v>20</v>
      </c>
      <c r="M25" s="169">
        <f t="shared" si="2"/>
        <v>122</v>
      </c>
      <c r="N25" s="170">
        <f t="shared" si="3"/>
        <v>28</v>
      </c>
      <c r="O25" s="173" t="str">
        <f t="shared" si="4"/>
        <v>✅ OK</v>
      </c>
    </row>
    <row r="26" spans="1:15">
      <c r="A26" s="169" t="s">
        <v>939</v>
      </c>
      <c r="B26" s="169">
        <v>0</v>
      </c>
      <c r="C26" s="169">
        <v>0</v>
      </c>
      <c r="D26" s="170">
        <v>10</v>
      </c>
      <c r="E26" s="171">
        <v>100</v>
      </c>
      <c r="F26" s="171">
        <v>0</v>
      </c>
      <c r="G26" s="169">
        <f t="shared" si="1"/>
        <v>100</v>
      </c>
      <c r="H26" s="172">
        <v>0</v>
      </c>
      <c r="I26" s="172">
        <v>24</v>
      </c>
      <c r="J26" s="172">
        <v>12</v>
      </c>
      <c r="K26" s="172">
        <v>15</v>
      </c>
      <c r="L26" s="172">
        <v>10</v>
      </c>
      <c r="M26" s="169">
        <f t="shared" si="2"/>
        <v>61</v>
      </c>
      <c r="N26" s="170">
        <f t="shared" si="3"/>
        <v>39</v>
      </c>
      <c r="O26" s="173" t="str">
        <f t="shared" si="4"/>
        <v>✅ OK</v>
      </c>
    </row>
    <row r="27" spans="1:15">
      <c r="A27" s="169" t="s">
        <v>940</v>
      </c>
      <c r="B27" s="169">
        <v>0</v>
      </c>
      <c r="C27" s="169">
        <v>0</v>
      </c>
      <c r="D27" s="170">
        <v>5</v>
      </c>
      <c r="E27" s="171">
        <v>40</v>
      </c>
      <c r="F27" s="171">
        <v>0</v>
      </c>
      <c r="G27" s="169">
        <f t="shared" si="1"/>
        <v>40</v>
      </c>
      <c r="H27" s="172">
        <v>0</v>
      </c>
      <c r="I27" s="172">
        <v>2</v>
      </c>
      <c r="J27" s="172">
        <v>2</v>
      </c>
      <c r="K27" s="172">
        <v>2</v>
      </c>
      <c r="L27" s="172">
        <v>2</v>
      </c>
      <c r="M27" s="169">
        <f t="shared" si="2"/>
        <v>8</v>
      </c>
      <c r="N27" s="170">
        <f t="shared" si="3"/>
        <v>32</v>
      </c>
      <c r="O27" s="173" t="str">
        <f t="shared" si="4"/>
        <v>✅ OK</v>
      </c>
    </row>
    <row r="28" spans="1:15">
      <c r="A28" s="169" t="s">
        <v>941</v>
      </c>
      <c r="B28" s="169">
        <v>0</v>
      </c>
      <c r="C28" s="169">
        <v>0</v>
      </c>
      <c r="D28" s="170">
        <v>10</v>
      </c>
      <c r="E28" s="171">
        <v>80</v>
      </c>
      <c r="F28" s="171">
        <v>0</v>
      </c>
      <c r="G28" s="169">
        <f t="shared" si="1"/>
        <v>80</v>
      </c>
      <c r="H28" s="172">
        <v>0</v>
      </c>
      <c r="I28" s="172">
        <v>24</v>
      </c>
      <c r="J28" s="172">
        <v>12</v>
      </c>
      <c r="K28" s="172">
        <v>15</v>
      </c>
      <c r="L28" s="172">
        <v>10</v>
      </c>
      <c r="M28" s="169">
        <f t="shared" si="2"/>
        <v>61</v>
      </c>
      <c r="N28" s="170">
        <f t="shared" si="3"/>
        <v>19</v>
      </c>
      <c r="O28" s="173" t="str">
        <f t="shared" si="4"/>
        <v>✅ OK</v>
      </c>
    </row>
    <row r="29" spans="1:15">
      <c r="A29" s="169" t="s">
        <v>942</v>
      </c>
      <c r="B29" s="169">
        <v>0</v>
      </c>
      <c r="C29" s="169">
        <v>0</v>
      </c>
      <c r="D29" s="170">
        <v>10</v>
      </c>
      <c r="E29" s="171">
        <v>80</v>
      </c>
      <c r="F29" s="171">
        <v>0</v>
      </c>
      <c r="G29" s="169">
        <f t="shared" si="1"/>
        <v>80</v>
      </c>
      <c r="H29" s="172">
        <v>0</v>
      </c>
      <c r="I29" s="172">
        <v>24</v>
      </c>
      <c r="J29" s="172">
        <v>12</v>
      </c>
      <c r="K29" s="172">
        <v>15</v>
      </c>
      <c r="L29" s="172">
        <v>10</v>
      </c>
      <c r="M29" s="169">
        <f t="shared" si="2"/>
        <v>61</v>
      </c>
      <c r="N29" s="170">
        <f t="shared" si="3"/>
        <v>19</v>
      </c>
      <c r="O29" s="173" t="str">
        <f t="shared" si="4"/>
        <v>✅ OK</v>
      </c>
    </row>
    <row r="30" spans="1:15">
      <c r="A30" s="169" t="s">
        <v>943</v>
      </c>
      <c r="B30" s="169">
        <v>0</v>
      </c>
      <c r="C30" s="169">
        <v>0</v>
      </c>
      <c r="D30" s="170">
        <v>30</v>
      </c>
      <c r="E30" s="171">
        <v>300</v>
      </c>
      <c r="F30" s="171">
        <v>0</v>
      </c>
      <c r="G30" s="169">
        <f t="shared" si="1"/>
        <v>300</v>
      </c>
      <c r="H30" s="172">
        <v>0</v>
      </c>
      <c r="I30" s="172">
        <v>0</v>
      </c>
      <c r="J30" s="172">
        <v>0</v>
      </c>
      <c r="K30" s="172">
        <v>0</v>
      </c>
      <c r="L30" s="172">
        <v>0</v>
      </c>
      <c r="M30" s="169">
        <f t="shared" si="2"/>
        <v>0</v>
      </c>
      <c r="N30" s="170">
        <f t="shared" si="3"/>
        <v>300</v>
      </c>
      <c r="O30" s="173" t="str">
        <f t="shared" si="4"/>
        <v>✅ OK</v>
      </c>
    </row>
    <row r="31" spans="1:15">
      <c r="A31" s="169" t="s">
        <v>944</v>
      </c>
      <c r="B31" s="169">
        <v>0</v>
      </c>
      <c r="C31" s="169">
        <v>0</v>
      </c>
      <c r="D31" s="170">
        <v>10</v>
      </c>
      <c r="E31" s="171">
        <v>100</v>
      </c>
      <c r="F31" s="171">
        <v>0</v>
      </c>
      <c r="G31" s="169">
        <f t="shared" si="1"/>
        <v>100</v>
      </c>
      <c r="H31" s="172">
        <v>0</v>
      </c>
      <c r="I31" s="172">
        <v>0</v>
      </c>
      <c r="J31" s="172">
        <v>0</v>
      </c>
      <c r="K31" s="172">
        <v>0</v>
      </c>
      <c r="L31" s="172">
        <v>0</v>
      </c>
      <c r="M31" s="169">
        <f t="shared" si="2"/>
        <v>0</v>
      </c>
      <c r="N31" s="170">
        <f t="shared" si="3"/>
        <v>100</v>
      </c>
      <c r="O31" s="173" t="str">
        <f t="shared" si="4"/>
        <v>✅ OK</v>
      </c>
    </row>
    <row r="32" spans="1:15">
      <c r="A32" s="169" t="s">
        <v>945</v>
      </c>
      <c r="B32" s="169">
        <v>0</v>
      </c>
      <c r="C32" s="169">
        <v>0</v>
      </c>
      <c r="D32" s="170">
        <v>50</v>
      </c>
      <c r="E32" s="171">
        <v>500</v>
      </c>
      <c r="F32" s="171">
        <v>0</v>
      </c>
      <c r="G32" s="169">
        <f t="shared" si="1"/>
        <v>500</v>
      </c>
      <c r="H32" s="172">
        <v>0</v>
      </c>
      <c r="I32" s="172">
        <v>0</v>
      </c>
      <c r="J32" s="172">
        <v>0</v>
      </c>
      <c r="K32" s="172">
        <v>0</v>
      </c>
      <c r="L32" s="172">
        <v>0</v>
      </c>
      <c r="M32" s="169">
        <f t="shared" si="2"/>
        <v>0</v>
      </c>
      <c r="N32" s="170">
        <f t="shared" si="3"/>
        <v>500</v>
      </c>
      <c r="O32" s="173" t="str">
        <f t="shared" si="4"/>
        <v>✅ OK</v>
      </c>
    </row>
    <row r="33" spans="1:15">
      <c r="A33" s="169" t="s">
        <v>946</v>
      </c>
      <c r="B33" s="169">
        <v>0</v>
      </c>
      <c r="C33" s="169">
        <v>0</v>
      </c>
      <c r="D33" s="170">
        <v>10</v>
      </c>
      <c r="E33" s="171">
        <v>100</v>
      </c>
      <c r="F33" s="171">
        <v>0</v>
      </c>
      <c r="G33" s="169">
        <f t="shared" si="1"/>
        <v>100</v>
      </c>
      <c r="H33" s="172">
        <v>0</v>
      </c>
      <c r="I33" s="172">
        <v>0</v>
      </c>
      <c r="J33" s="172">
        <v>0</v>
      </c>
      <c r="K33" s="172">
        <v>0</v>
      </c>
      <c r="L33" s="172">
        <v>0</v>
      </c>
      <c r="M33" s="169">
        <f t="shared" si="2"/>
        <v>0</v>
      </c>
      <c r="N33" s="170">
        <f t="shared" si="3"/>
        <v>100</v>
      </c>
      <c r="O33" s="173" t="str">
        <f t="shared" si="4"/>
        <v>✅ OK</v>
      </c>
    </row>
    <row r="34" spans="1:15">
      <c r="A34" s="169" t="s">
        <v>947</v>
      </c>
      <c r="B34" s="169">
        <v>0</v>
      </c>
      <c r="C34" s="169">
        <v>0</v>
      </c>
      <c r="D34" s="170">
        <v>5</v>
      </c>
      <c r="E34" s="171">
        <v>44</v>
      </c>
      <c r="F34" s="171">
        <v>0</v>
      </c>
      <c r="G34" s="169">
        <f t="shared" si="1"/>
        <v>44</v>
      </c>
      <c r="H34" s="172">
        <v>0</v>
      </c>
      <c r="I34" s="172">
        <v>0</v>
      </c>
      <c r="J34" s="172">
        <v>0</v>
      </c>
      <c r="K34" s="172">
        <v>0</v>
      </c>
      <c r="L34" s="172">
        <v>0</v>
      </c>
      <c r="M34" s="169">
        <f t="shared" si="2"/>
        <v>0</v>
      </c>
      <c r="N34" s="170">
        <f t="shared" si="3"/>
        <v>44</v>
      </c>
      <c r="O34" s="173" t="str">
        <f t="shared" si="4"/>
        <v>✅ OK</v>
      </c>
    </row>
    <row r="35" spans="1:15">
      <c r="A35" s="169" t="s">
        <v>948</v>
      </c>
      <c r="B35" s="169">
        <v>0</v>
      </c>
      <c r="C35" s="169">
        <v>0</v>
      </c>
      <c r="D35" s="170">
        <v>5</v>
      </c>
      <c r="E35" s="171">
        <v>44</v>
      </c>
      <c r="F35" s="171">
        <v>0</v>
      </c>
      <c r="G35" s="169">
        <f t="shared" si="1"/>
        <v>44</v>
      </c>
      <c r="H35" s="172">
        <v>0</v>
      </c>
      <c r="I35" s="172">
        <v>0</v>
      </c>
      <c r="J35" s="172">
        <v>0</v>
      </c>
      <c r="K35" s="172">
        <v>0</v>
      </c>
      <c r="L35" s="172">
        <v>0</v>
      </c>
      <c r="M35" s="169">
        <f t="shared" si="2"/>
        <v>0</v>
      </c>
      <c r="N35" s="170">
        <f t="shared" si="3"/>
        <v>44</v>
      </c>
      <c r="O35" s="173" t="str">
        <f t="shared" si="4"/>
        <v>✅ OK</v>
      </c>
    </row>
    <row r="36" spans="1:15">
      <c r="A36" s="169" t="s">
        <v>949</v>
      </c>
      <c r="B36" s="169">
        <v>0</v>
      </c>
      <c r="C36" s="169">
        <v>0</v>
      </c>
      <c r="D36" s="170">
        <v>5</v>
      </c>
      <c r="E36" s="171">
        <v>44</v>
      </c>
      <c r="F36" s="171">
        <v>0</v>
      </c>
      <c r="G36" s="169">
        <f t="shared" si="1"/>
        <v>44</v>
      </c>
      <c r="H36" s="172">
        <v>0</v>
      </c>
      <c r="I36" s="172">
        <v>10</v>
      </c>
      <c r="J36" s="172">
        <v>0</v>
      </c>
      <c r="K36" s="172">
        <v>0</v>
      </c>
      <c r="L36" s="172">
        <v>0</v>
      </c>
      <c r="M36" s="169">
        <f t="shared" si="2"/>
        <v>10</v>
      </c>
      <c r="N36" s="170">
        <f t="shared" si="3"/>
        <v>34</v>
      </c>
      <c r="O36" s="173" t="str">
        <f t="shared" si="4"/>
        <v>✅ OK</v>
      </c>
    </row>
    <row r="37" spans="1:15">
      <c r="A37" s="169" t="s">
        <v>950</v>
      </c>
      <c r="B37" s="169">
        <v>0</v>
      </c>
      <c r="C37" s="169">
        <v>0</v>
      </c>
      <c r="D37" s="170">
        <v>5</v>
      </c>
      <c r="E37" s="171">
        <v>44</v>
      </c>
      <c r="F37" s="171">
        <v>0</v>
      </c>
      <c r="G37" s="169">
        <f t="shared" si="1"/>
        <v>44</v>
      </c>
      <c r="H37" s="172">
        <v>0</v>
      </c>
      <c r="I37" s="172">
        <v>0</v>
      </c>
      <c r="J37" s="172">
        <v>0</v>
      </c>
      <c r="K37" s="172">
        <v>0</v>
      </c>
      <c r="L37" s="172">
        <v>0</v>
      </c>
      <c r="M37" s="169">
        <f t="shared" si="2"/>
        <v>0</v>
      </c>
      <c r="N37" s="170">
        <f t="shared" si="3"/>
        <v>44</v>
      </c>
      <c r="O37" s="173" t="str">
        <f t="shared" si="4"/>
        <v>✅ OK</v>
      </c>
    </row>
    <row r="38" spans="1:15">
      <c r="A38" s="169" t="s">
        <v>951</v>
      </c>
      <c r="B38" s="169">
        <v>0</v>
      </c>
      <c r="C38" s="169">
        <v>0</v>
      </c>
      <c r="D38" s="170">
        <v>10</v>
      </c>
      <c r="E38" s="171">
        <v>88</v>
      </c>
      <c r="F38" s="171">
        <v>0</v>
      </c>
      <c r="G38" s="169">
        <f t="shared" si="1"/>
        <v>88</v>
      </c>
      <c r="H38" s="172">
        <v>0</v>
      </c>
      <c r="I38" s="172">
        <v>0</v>
      </c>
      <c r="J38" s="172">
        <v>0</v>
      </c>
      <c r="K38" s="172">
        <v>0</v>
      </c>
      <c r="L38" s="172">
        <v>0</v>
      </c>
      <c r="M38" s="169">
        <f t="shared" si="2"/>
        <v>0</v>
      </c>
      <c r="N38" s="170">
        <f t="shared" si="3"/>
        <v>88</v>
      </c>
      <c r="O38" s="173" t="str">
        <f t="shared" si="4"/>
        <v>✅ OK</v>
      </c>
    </row>
    <row r="39" spans="1:15">
      <c r="A39" s="169" t="s">
        <v>952</v>
      </c>
      <c r="B39" s="169">
        <v>0</v>
      </c>
      <c r="C39" s="169">
        <v>0</v>
      </c>
      <c r="D39" s="170">
        <v>0</v>
      </c>
      <c r="E39" s="171">
        <v>2</v>
      </c>
      <c r="F39" s="171">
        <v>0</v>
      </c>
      <c r="G39" s="169">
        <f t="shared" si="1"/>
        <v>2</v>
      </c>
      <c r="H39" s="172">
        <v>0</v>
      </c>
      <c r="I39" s="172">
        <v>1</v>
      </c>
      <c r="J39" s="172">
        <v>0</v>
      </c>
      <c r="K39" s="172">
        <v>0</v>
      </c>
      <c r="L39" s="172">
        <v>1</v>
      </c>
      <c r="M39" s="169">
        <f t="shared" si="2"/>
        <v>2</v>
      </c>
      <c r="N39" s="170">
        <f t="shared" si="3"/>
        <v>0</v>
      </c>
      <c r="O39" s="173" t="str">
        <f t="shared" si="4"/>
        <v>🚨 STOCK CRÍTICO</v>
      </c>
    </row>
    <row r="40" spans="1:15">
      <c r="A40" s="169" t="s">
        <v>953</v>
      </c>
      <c r="B40" s="169">
        <v>0</v>
      </c>
      <c r="C40" s="169">
        <v>0</v>
      </c>
      <c r="D40" s="170">
        <v>5</v>
      </c>
      <c r="E40" s="171">
        <v>50</v>
      </c>
      <c r="F40" s="171">
        <v>0</v>
      </c>
      <c r="G40" s="169">
        <f t="shared" si="1"/>
        <v>50</v>
      </c>
      <c r="H40" s="172">
        <v>0</v>
      </c>
      <c r="I40" s="172">
        <v>14</v>
      </c>
      <c r="J40" s="172">
        <v>0</v>
      </c>
      <c r="K40" s="172">
        <v>0</v>
      </c>
      <c r="L40" s="172">
        <v>6</v>
      </c>
      <c r="M40" s="169">
        <f t="shared" si="2"/>
        <v>20</v>
      </c>
      <c r="N40" s="170">
        <f t="shared" si="3"/>
        <v>30</v>
      </c>
      <c r="O40" s="173" t="str">
        <f t="shared" si="4"/>
        <v>✅ OK</v>
      </c>
    </row>
    <row r="41" spans="1:15">
      <c r="A41" s="169" t="s">
        <v>954</v>
      </c>
      <c r="B41" s="169">
        <v>0</v>
      </c>
      <c r="C41" s="169">
        <v>0</v>
      </c>
      <c r="D41" s="170">
        <v>5</v>
      </c>
      <c r="E41" s="171">
        <v>50</v>
      </c>
      <c r="F41" s="171">
        <v>0</v>
      </c>
      <c r="G41" s="169">
        <f t="shared" si="1"/>
        <v>50</v>
      </c>
      <c r="H41" s="172">
        <v>0</v>
      </c>
      <c r="I41" s="172">
        <v>14</v>
      </c>
      <c r="J41" s="172">
        <v>0</v>
      </c>
      <c r="K41" s="172">
        <v>0</v>
      </c>
      <c r="L41" s="172">
        <v>6</v>
      </c>
      <c r="M41" s="169">
        <f t="shared" si="2"/>
        <v>20</v>
      </c>
      <c r="N41" s="170">
        <f t="shared" si="3"/>
        <v>30</v>
      </c>
      <c r="O41" s="173" t="str">
        <f t="shared" si="4"/>
        <v>✅ OK</v>
      </c>
    </row>
    <row r="42" spans="1:15">
      <c r="A42" s="169" t="s">
        <v>955</v>
      </c>
      <c r="B42" s="169">
        <v>0</v>
      </c>
      <c r="C42" s="169">
        <v>0</v>
      </c>
      <c r="D42" s="170">
        <v>5</v>
      </c>
      <c r="E42" s="171">
        <v>50</v>
      </c>
      <c r="F42" s="171">
        <v>0</v>
      </c>
      <c r="G42" s="169">
        <f t="shared" si="1"/>
        <v>50</v>
      </c>
      <c r="H42" s="172">
        <v>0</v>
      </c>
      <c r="I42" s="172">
        <v>14</v>
      </c>
      <c r="J42" s="172">
        <v>0</v>
      </c>
      <c r="K42" s="172">
        <v>0</v>
      </c>
      <c r="L42" s="172">
        <v>6</v>
      </c>
      <c r="M42" s="169">
        <f t="shared" si="2"/>
        <v>20</v>
      </c>
      <c r="N42" s="170">
        <f t="shared" si="3"/>
        <v>30</v>
      </c>
      <c r="O42" s="173" t="str">
        <f t="shared" si="4"/>
        <v>✅ OK</v>
      </c>
    </row>
    <row r="43" spans="1:15">
      <c r="A43" s="169" t="s">
        <v>956</v>
      </c>
      <c r="B43" s="169">
        <v>0</v>
      </c>
      <c r="C43" s="169">
        <v>0</v>
      </c>
      <c r="D43" s="170">
        <v>5</v>
      </c>
      <c r="E43" s="171">
        <v>50</v>
      </c>
      <c r="F43" s="171">
        <v>0</v>
      </c>
      <c r="G43" s="169">
        <f t="shared" si="1"/>
        <v>50</v>
      </c>
      <c r="H43" s="172">
        <v>0</v>
      </c>
      <c r="I43" s="172">
        <v>14</v>
      </c>
      <c r="J43" s="172">
        <v>0</v>
      </c>
      <c r="K43" s="172">
        <v>0</v>
      </c>
      <c r="L43" s="172">
        <v>0</v>
      </c>
      <c r="M43" s="169">
        <f t="shared" si="2"/>
        <v>14</v>
      </c>
      <c r="N43" s="170">
        <f t="shared" si="3"/>
        <v>36</v>
      </c>
      <c r="O43" s="173" t="str">
        <f t="shared" si="4"/>
        <v>✅ OK</v>
      </c>
    </row>
    <row r="44" spans="1:15">
      <c r="A44" s="169" t="s">
        <v>957</v>
      </c>
      <c r="B44" s="169">
        <v>0</v>
      </c>
      <c r="C44" s="169">
        <v>0</v>
      </c>
      <c r="D44" s="170">
        <v>5</v>
      </c>
      <c r="E44" s="171">
        <v>50</v>
      </c>
      <c r="F44" s="171">
        <v>0</v>
      </c>
      <c r="G44" s="169">
        <f t="shared" si="1"/>
        <v>50</v>
      </c>
      <c r="H44" s="172">
        <v>0</v>
      </c>
      <c r="I44" s="172">
        <v>14</v>
      </c>
      <c r="J44" s="172">
        <v>0</v>
      </c>
      <c r="K44" s="172">
        <v>0</v>
      </c>
      <c r="L44" s="172">
        <v>6</v>
      </c>
      <c r="M44" s="169">
        <f t="shared" si="2"/>
        <v>20</v>
      </c>
      <c r="N44" s="170">
        <f t="shared" si="3"/>
        <v>30</v>
      </c>
      <c r="O44" s="173" t="str">
        <f t="shared" si="4"/>
        <v>✅ OK</v>
      </c>
    </row>
    <row r="45" spans="1:15">
      <c r="A45" s="169" t="s">
        <v>958</v>
      </c>
      <c r="B45" s="169">
        <v>0</v>
      </c>
      <c r="C45" s="169">
        <v>0</v>
      </c>
      <c r="D45" s="170">
        <v>5</v>
      </c>
      <c r="E45" s="171">
        <v>50</v>
      </c>
      <c r="F45" s="171">
        <v>0</v>
      </c>
      <c r="G45" s="169">
        <f t="shared" si="1"/>
        <v>50</v>
      </c>
      <c r="H45" s="172">
        <v>0</v>
      </c>
      <c r="I45" s="172">
        <v>28</v>
      </c>
      <c r="J45" s="172">
        <v>0</v>
      </c>
      <c r="K45" s="172">
        <v>0</v>
      </c>
      <c r="L45" s="172">
        <v>12</v>
      </c>
      <c r="M45" s="169">
        <f t="shared" si="2"/>
        <v>40</v>
      </c>
      <c r="N45" s="170">
        <f t="shared" si="3"/>
        <v>10</v>
      </c>
      <c r="O45" s="173" t="str">
        <f t="shared" si="4"/>
        <v>✅ OK</v>
      </c>
    </row>
    <row r="46" spans="1:15">
      <c r="A46" s="169" t="s">
        <v>959</v>
      </c>
      <c r="B46" s="169">
        <v>0</v>
      </c>
      <c r="C46" s="169">
        <v>0</v>
      </c>
      <c r="D46" s="170">
        <v>5</v>
      </c>
      <c r="E46" s="171">
        <v>50</v>
      </c>
      <c r="F46" s="171">
        <v>0</v>
      </c>
      <c r="G46" s="169">
        <f t="shared" si="1"/>
        <v>50</v>
      </c>
      <c r="H46" s="172">
        <v>0</v>
      </c>
      <c r="I46" s="172">
        <v>14</v>
      </c>
      <c r="J46" s="172">
        <v>0</v>
      </c>
      <c r="K46" s="172">
        <v>0</v>
      </c>
      <c r="L46" s="172">
        <v>6</v>
      </c>
      <c r="M46" s="169">
        <f t="shared" si="2"/>
        <v>20</v>
      </c>
      <c r="N46" s="170">
        <f t="shared" si="3"/>
        <v>30</v>
      </c>
      <c r="O46" s="173" t="str">
        <f t="shared" si="4"/>
        <v>✅ OK</v>
      </c>
    </row>
    <row r="47" spans="1:15">
      <c r="A47" s="169" t="s">
        <v>960</v>
      </c>
      <c r="B47" s="169">
        <v>0</v>
      </c>
      <c r="C47" s="169">
        <v>0</v>
      </c>
      <c r="D47" s="170">
        <v>5</v>
      </c>
      <c r="E47" s="171">
        <v>50</v>
      </c>
      <c r="F47" s="171">
        <v>0</v>
      </c>
      <c r="G47" s="169">
        <f t="shared" si="1"/>
        <v>50</v>
      </c>
      <c r="H47" s="172">
        <v>0</v>
      </c>
      <c r="I47" s="172">
        <v>14</v>
      </c>
      <c r="J47" s="172">
        <v>0</v>
      </c>
      <c r="K47" s="172">
        <v>0</v>
      </c>
      <c r="L47" s="172">
        <v>6</v>
      </c>
      <c r="M47" s="169">
        <f t="shared" si="2"/>
        <v>20</v>
      </c>
      <c r="N47" s="170">
        <f t="shared" si="3"/>
        <v>30</v>
      </c>
      <c r="O47" s="173" t="str">
        <f t="shared" si="4"/>
        <v>✅ OK</v>
      </c>
    </row>
    <row r="48" spans="1:15">
      <c r="A48" s="169" t="s">
        <v>961</v>
      </c>
      <c r="B48" s="169">
        <v>0</v>
      </c>
      <c r="C48" s="169">
        <v>0</v>
      </c>
      <c r="D48" s="170">
        <v>5</v>
      </c>
      <c r="E48" s="171">
        <v>50</v>
      </c>
      <c r="F48" s="171">
        <v>0</v>
      </c>
      <c r="G48" s="169">
        <f t="shared" si="1"/>
        <v>50</v>
      </c>
      <c r="H48" s="172">
        <v>0</v>
      </c>
      <c r="I48" s="172">
        <v>14</v>
      </c>
      <c r="J48" s="172">
        <v>0</v>
      </c>
      <c r="K48" s="172">
        <v>0</v>
      </c>
      <c r="L48" s="172">
        <v>6</v>
      </c>
      <c r="M48" s="169">
        <f t="shared" si="2"/>
        <v>20</v>
      </c>
      <c r="N48" s="170">
        <f t="shared" si="3"/>
        <v>30</v>
      </c>
      <c r="O48" s="173" t="str">
        <f t="shared" si="4"/>
        <v>✅ OK</v>
      </c>
    </row>
    <row r="50" spans="13:14">
      <c r="M50" s="176"/>
      <c r="N50" s="176"/>
    </row>
    <row r="51" spans="13:14">
      <c r="M51" s="176"/>
      <c r="N51" s="176"/>
    </row>
    <row r="52" spans="13:14">
      <c r="M52" s="176"/>
      <c r="N52" s="176"/>
    </row>
    <row r="53" spans="13:14">
      <c r="M53" s="176"/>
      <c r="N53" s="176"/>
    </row>
    <row r="54" spans="13:14">
      <c r="M54" s="176"/>
      <c r="N54" s="176"/>
    </row>
  </sheetData>
  <conditionalFormatting sqref="N2:N48">
    <cfRule type="iconSet" priority="1">
      <iconSet iconSet="3Symbols">
        <cfvo type="percent" val="0"/>
        <cfvo type="num" val="2"/>
        <cfvo type="num" val="$D$2"/>
      </iconSet>
    </cfRule>
  </conditionalFormatting>
  <conditionalFormatting sqref="O1:O1048576">
    <cfRule type="containsText" dxfId="3" priority="2" operator="containsText" text="REPONER">
      <formula>NOT(ISERROR(SEARCH("REPONER",O1)))</formula>
    </cfRule>
    <cfRule type="containsText" dxfId="2" priority="3" operator="containsText" text="OK">
      <formula>NOT(ISERROR(SEARCH("OK",O1)))</formula>
    </cfRule>
    <cfRule type="containsText" dxfId="1" priority="4" operator="containsText" text="EXCESO">
      <formula>NOT(ISERROR(SEARCH("EXCESO",O1)))</formula>
    </cfRule>
    <cfRule type="containsText" dxfId="0" priority="5" operator="containsText" text="CRÍTICO">
      <formula>NOT(ISERROR(SEARCH("CRÍTICO",O1)))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BL62"/>
  <sheetViews>
    <sheetView showGridLines="0" zoomScale="85" zoomScaleNormal="85" workbookViewId="0">
      <pane ySplit="3" topLeftCell="A4" activePane="bottomLeft" state="frozen"/>
      <selection pane="bottomLeft" activeCell="AP20" sqref="AP20"/>
    </sheetView>
  </sheetViews>
  <sheetFormatPr baseColWidth="10" defaultColWidth="11.453125" defaultRowHeight="12.75" customHeight="1" outlineLevelRow="1" outlineLevelCol="2"/>
  <cols>
    <col min="1" max="1" width="4.453125" style="178" customWidth="1"/>
    <col min="2" max="2" width="8" style="180" customWidth="1"/>
    <col min="3" max="3" width="25.54296875" style="180" bestFit="1" customWidth="1"/>
    <col min="4" max="4" width="18" style="180" bestFit="1" customWidth="1"/>
    <col min="5" max="5" width="19.7265625" style="180" customWidth="1"/>
    <col min="6" max="6" width="18.54296875" style="183" customWidth="1"/>
    <col min="7" max="7" width="17.7265625" style="183" customWidth="1" outlineLevel="1"/>
    <col min="8" max="8" width="16.7265625" style="180" customWidth="1" outlineLevel="1"/>
    <col min="9" max="9" width="12.54296875" style="180" customWidth="1" outlineLevel="1"/>
    <col min="10" max="10" width="14.26953125" style="180" customWidth="1" outlineLevel="1"/>
    <col min="11" max="11" width="12.54296875" style="183" customWidth="1" outlineLevel="1"/>
    <col min="12" max="12" width="19.7265625" style="180" customWidth="1" outlineLevel="2"/>
    <col min="13" max="13" width="10.26953125" style="180" customWidth="1" outlineLevel="2"/>
    <col min="14" max="14" width="15.26953125" style="180" customWidth="1" outlineLevel="2"/>
    <col min="15" max="15" width="16.453125" style="180" customWidth="1" outlineLevel="2"/>
    <col min="16" max="17" width="16.1796875" style="180" customWidth="1" outlineLevel="2"/>
    <col min="18" max="18" width="18.81640625" style="180" customWidth="1" outlineLevel="1"/>
    <col min="19" max="19" width="15.26953125" style="180" customWidth="1" outlineLevel="1"/>
    <col min="20" max="20" width="11.453125" style="180" customWidth="1"/>
    <col min="21" max="21" width="42.54296875" style="180" hidden="1" customWidth="1"/>
    <col min="22" max="22" width="14.1796875" style="183" customWidth="1" outlineLevel="1"/>
    <col min="23" max="24" width="16.54296875" style="183" hidden="1" customWidth="1" outlineLevel="1"/>
    <col min="25" max="25" width="10.26953125" style="180" hidden="1" customWidth="1" outlineLevel="1"/>
    <col min="26" max="26" width="9.7265625" style="180" hidden="1" customWidth="1" outlineLevel="1"/>
    <col min="27" max="28" width="13.54296875" style="180" hidden="1" customWidth="1" outlineLevel="1"/>
    <col min="29" max="29" width="18.453125" style="180" hidden="1" customWidth="1"/>
    <col min="30" max="30" width="14.453125" style="180" hidden="1" customWidth="1"/>
    <col min="31" max="31" width="21.1796875" style="180" hidden="1" customWidth="1" outlineLevel="1"/>
    <col min="32" max="32" width="24.1796875" style="180" hidden="1" customWidth="1" collapsed="1"/>
    <col min="33" max="33" width="13.26953125" style="180" hidden="1" customWidth="1"/>
    <col min="34" max="34" width="7.1796875" style="180" hidden="1" customWidth="1"/>
    <col min="35" max="35" width="10.7265625" style="180" hidden="1" customWidth="1"/>
    <col min="36" max="36" width="11.453125" style="180" hidden="1" customWidth="1"/>
    <col min="37" max="37" width="11.54296875" style="180" hidden="1" customWidth="1"/>
    <col min="38" max="38" width="24.1796875" style="180" hidden="1" customWidth="1"/>
    <col min="39" max="39" width="44.1796875" style="180" hidden="1" customWidth="1"/>
    <col min="40" max="40" width="34.81640625" style="180" hidden="1" customWidth="1"/>
    <col min="41" max="41" width="17.26953125" style="182" customWidth="1"/>
    <col min="42" max="42" width="73.54296875" style="182" customWidth="1"/>
    <col min="43" max="43" width="40.26953125" style="182" customWidth="1"/>
    <col min="44" max="44" width="34.81640625" style="180" hidden="1" customWidth="1"/>
    <col min="45" max="45" width="38.1796875" style="180" hidden="1" customWidth="1"/>
    <col min="46" max="46" width="15.81640625" style="180" hidden="1" customWidth="1" outlineLevel="1"/>
    <col min="47" max="47" width="57.54296875" style="180" hidden="1" customWidth="1" collapsed="1"/>
    <col min="48" max="48" width="37.81640625" style="180" hidden="1" customWidth="1"/>
    <col min="49" max="49" width="50.1796875" style="180" hidden="1" customWidth="1"/>
    <col min="50" max="50" width="46.1796875" style="180" hidden="1" customWidth="1"/>
    <col min="51" max="51" width="42.26953125" style="180" hidden="1" customWidth="1"/>
    <col min="52" max="52" width="36.81640625" style="180" hidden="1" customWidth="1"/>
    <col min="53" max="55" width="37.81640625" style="180" hidden="1" customWidth="1"/>
    <col min="56" max="56" width="2.81640625" style="180" customWidth="1"/>
    <col min="57" max="57" width="8.453125" style="180" customWidth="1"/>
    <col min="58" max="58" width="8.1796875" style="180" customWidth="1"/>
    <col min="59" max="59" width="12.54296875" style="180" customWidth="1"/>
    <col min="60" max="60" width="18" style="180" customWidth="1"/>
    <col min="61" max="62" width="11.453125" style="180" customWidth="1"/>
    <col min="63" max="16384" width="11.453125" style="180"/>
  </cols>
  <sheetData>
    <row r="1" spans="1:61" ht="13" customHeight="1">
      <c r="B1" s="179"/>
      <c r="C1" s="179" t="s">
        <v>395</v>
      </c>
      <c r="D1" s="179"/>
      <c r="F1" s="181"/>
      <c r="G1" s="181"/>
      <c r="K1" s="181"/>
      <c r="V1" s="181"/>
      <c r="W1" s="181"/>
      <c r="X1" s="181"/>
      <c r="AC1" s="179"/>
      <c r="AT1" s="182"/>
    </row>
    <row r="2" spans="1:61" ht="13" customHeight="1">
      <c r="I2" s="183" t="s">
        <v>962</v>
      </c>
      <c r="N2" s="180">
        <v>12</v>
      </c>
      <c r="P2" s="178"/>
      <c r="Q2" s="178"/>
      <c r="R2" s="178"/>
      <c r="AA2" s="184"/>
      <c r="AB2" s="184"/>
      <c r="AF2" s="185" t="s">
        <v>963</v>
      </c>
      <c r="AG2" s="186" t="s">
        <v>964</v>
      </c>
      <c r="AL2" s="186"/>
      <c r="BE2" s="508" t="s">
        <v>965</v>
      </c>
      <c r="BF2" s="453"/>
      <c r="BG2" s="453"/>
      <c r="BH2" s="425"/>
      <c r="BI2" s="178"/>
    </row>
    <row r="3" spans="1:61" ht="52" customHeight="1">
      <c r="B3" s="187" t="s">
        <v>0</v>
      </c>
      <c r="C3" s="188" t="s">
        <v>966</v>
      </c>
      <c r="D3" s="188" t="s">
        <v>967</v>
      </c>
      <c r="E3" s="187" t="s">
        <v>968</v>
      </c>
      <c r="F3" s="188" t="s">
        <v>969</v>
      </c>
      <c r="G3" s="188" t="s">
        <v>970</v>
      </c>
      <c r="H3" s="187" t="s">
        <v>971</v>
      </c>
      <c r="I3" s="187" t="s">
        <v>972</v>
      </c>
      <c r="J3" s="187" t="s">
        <v>973</v>
      </c>
      <c r="K3" s="188" t="s">
        <v>974</v>
      </c>
      <c r="L3" s="187" t="s">
        <v>975</v>
      </c>
      <c r="M3" s="187" t="s">
        <v>976</v>
      </c>
      <c r="N3" s="187" t="s">
        <v>977</v>
      </c>
      <c r="O3" s="187" t="s">
        <v>978</v>
      </c>
      <c r="P3" s="187" t="s">
        <v>979</v>
      </c>
      <c r="Q3" s="187" t="s">
        <v>980</v>
      </c>
      <c r="R3" s="187" t="s">
        <v>981</v>
      </c>
      <c r="S3" s="187" t="s">
        <v>982</v>
      </c>
      <c r="T3" s="187" t="s">
        <v>983</v>
      </c>
      <c r="U3" s="188" t="s">
        <v>984</v>
      </c>
      <c r="V3" s="188" t="s">
        <v>985</v>
      </c>
      <c r="W3" s="188" t="s">
        <v>986</v>
      </c>
      <c r="X3" s="188" t="s">
        <v>987</v>
      </c>
      <c r="Y3" s="187" t="s">
        <v>800</v>
      </c>
      <c r="Z3" s="187" t="s">
        <v>988</v>
      </c>
      <c r="AA3" s="187" t="s">
        <v>989</v>
      </c>
      <c r="AB3" s="187" t="s">
        <v>989</v>
      </c>
      <c r="AC3" s="189" t="s">
        <v>990</v>
      </c>
      <c r="AD3" s="187" t="s">
        <v>991</v>
      </c>
      <c r="AE3" s="187" t="s">
        <v>992</v>
      </c>
      <c r="AF3" s="187" t="s">
        <v>993</v>
      </c>
      <c r="AG3" s="187" t="s">
        <v>993</v>
      </c>
      <c r="AH3" s="187" t="s">
        <v>802</v>
      </c>
      <c r="AI3" s="187" t="s">
        <v>803</v>
      </c>
      <c r="AJ3" s="187" t="s">
        <v>489</v>
      </c>
      <c r="AK3" s="187" t="s">
        <v>34</v>
      </c>
      <c r="AL3" s="187" t="s">
        <v>994</v>
      </c>
      <c r="AM3" s="187" t="s">
        <v>995</v>
      </c>
      <c r="AN3" s="187" t="s">
        <v>996</v>
      </c>
      <c r="AO3" s="190" t="s">
        <v>997</v>
      </c>
      <c r="AP3" s="190" t="s">
        <v>807</v>
      </c>
      <c r="AQ3" s="190" t="s">
        <v>998</v>
      </c>
      <c r="AR3" s="187" t="s">
        <v>999</v>
      </c>
      <c r="AS3" s="187" t="s">
        <v>1000</v>
      </c>
      <c r="AT3" s="187" t="s">
        <v>1001</v>
      </c>
      <c r="AU3" s="187" t="s">
        <v>1002</v>
      </c>
      <c r="AV3" s="187" t="s">
        <v>1003</v>
      </c>
      <c r="AW3" s="187" t="s">
        <v>1004</v>
      </c>
      <c r="AX3" s="187" t="s">
        <v>806</v>
      </c>
      <c r="AY3" s="187" t="s">
        <v>809</v>
      </c>
      <c r="AZ3" s="187" t="s">
        <v>1005</v>
      </c>
      <c r="BA3" s="187" t="s">
        <v>813</v>
      </c>
      <c r="BB3" s="187" t="s">
        <v>814</v>
      </c>
      <c r="BC3" s="187" t="s">
        <v>815</v>
      </c>
      <c r="BD3" s="191"/>
      <c r="BE3" s="192" t="s">
        <v>1006</v>
      </c>
      <c r="BF3" s="192" t="s">
        <v>1007</v>
      </c>
      <c r="BG3" s="192" t="s">
        <v>1008</v>
      </c>
      <c r="BH3" s="192" t="s">
        <v>1009</v>
      </c>
      <c r="BI3" s="187" t="s">
        <v>1010</v>
      </c>
    </row>
    <row r="4" spans="1:61" s="193" customFormat="1" ht="57.65" customHeight="1" outlineLevel="1">
      <c r="A4" s="193" t="s">
        <v>1011</v>
      </c>
      <c r="B4" s="194">
        <v>1</v>
      </c>
      <c r="C4" s="195" t="s">
        <v>1012</v>
      </c>
      <c r="D4" s="195" t="s">
        <v>1012</v>
      </c>
      <c r="E4" s="196" t="s">
        <v>1013</v>
      </c>
      <c r="F4" s="195" t="s">
        <v>1014</v>
      </c>
      <c r="G4" s="195" t="s">
        <v>1015</v>
      </c>
      <c r="H4" s="196" t="s">
        <v>1016</v>
      </c>
      <c r="I4" s="196" t="s">
        <v>1017</v>
      </c>
      <c r="J4" s="197" t="s">
        <v>1018</v>
      </c>
      <c r="K4" s="198" t="s">
        <v>1019</v>
      </c>
      <c r="L4" s="197" t="s">
        <v>1020</v>
      </c>
      <c r="M4" s="197" t="s">
        <v>1020</v>
      </c>
      <c r="N4" s="197" t="s">
        <v>1020</v>
      </c>
      <c r="O4" s="197" t="s">
        <v>1021</v>
      </c>
      <c r="P4" s="197">
        <v>45986</v>
      </c>
      <c r="Q4" s="197" t="s">
        <v>158</v>
      </c>
      <c r="R4" s="197" t="s">
        <v>1022</v>
      </c>
      <c r="S4" s="199" t="s">
        <v>1023</v>
      </c>
      <c r="T4" s="200" t="s">
        <v>58</v>
      </c>
      <c r="U4" s="195" t="s">
        <v>1024</v>
      </c>
      <c r="V4" s="195" t="s">
        <v>1025</v>
      </c>
      <c r="W4" s="195"/>
      <c r="X4" s="195"/>
      <c r="Y4" s="197">
        <v>45971</v>
      </c>
      <c r="Z4" s="197">
        <v>45963</v>
      </c>
      <c r="AA4" s="197"/>
      <c r="AB4" s="197"/>
      <c r="AC4" s="201">
        <v>1</v>
      </c>
      <c r="AD4" s="196">
        <f t="shared" ref="AD4:AD11" ca="1" si="0">IF(AJ4="Terminada",0,+Y4-$AT$1)</f>
        <v>45971</v>
      </c>
      <c r="AE4" s="197">
        <v>45992</v>
      </c>
      <c r="AF4" s="197">
        <v>45926</v>
      </c>
      <c r="AG4" s="197">
        <v>45926</v>
      </c>
      <c r="AH4" s="202">
        <v>0.98</v>
      </c>
      <c r="AI4" s="202">
        <f t="shared" ref="AI4:AI11" ca="1" si="1">IF($AT4&gt;TODAY(),0,IF(OR($Y4="Eliminada",$Y4="En Revision"),$Y4,IF($Y4&lt;&gt;"Eliminada",IF($Y4&gt;TODAY(),(TODAY()-$AT4)/($Y4-$AT4),1),0)))</f>
        <v>1</v>
      </c>
      <c r="AJ4" s="203" t="str">
        <f t="shared" ref="AJ4:AJ11" ca="1" si="2">IF(AH4=1,"Terminada",IF(AH4&lt;AI4,"Atrasado", "A Tiempo"))</f>
        <v>Atrasado</v>
      </c>
      <c r="AK4" s="204">
        <f t="shared" ref="AK4:AK11" ca="1" si="3">IF($AJ4="Eliminada",-2,IF($AJ4="Terminada",2,IF($AJ4="A Tiempo",1,IF($AJ4="En Revision",0,-1))))</f>
        <v>-1</v>
      </c>
      <c r="AL4" s="202">
        <v>0.8</v>
      </c>
      <c r="AM4" s="204" t="s">
        <v>1026</v>
      </c>
      <c r="AN4" s="204" t="s">
        <v>1027</v>
      </c>
      <c r="AO4" s="205">
        <v>46003</v>
      </c>
      <c r="AP4" s="206" t="s">
        <v>1028</v>
      </c>
      <c r="AQ4" s="206" t="s">
        <v>1028</v>
      </c>
      <c r="AR4" s="207" t="s">
        <v>1029</v>
      </c>
      <c r="AS4" s="207" t="s">
        <v>1030</v>
      </c>
      <c r="AT4" s="208">
        <v>45993</v>
      </c>
      <c r="AU4" s="207" t="s">
        <v>1031</v>
      </c>
      <c r="AV4" s="207" t="s">
        <v>1032</v>
      </c>
      <c r="AW4" s="207" t="s">
        <v>1033</v>
      </c>
      <c r="AX4" s="207" t="s">
        <v>1034</v>
      </c>
      <c r="AY4" s="207" t="s">
        <v>1034</v>
      </c>
      <c r="AZ4" s="207" t="s">
        <v>1035</v>
      </c>
      <c r="BA4" s="207"/>
      <c r="BB4" s="207"/>
      <c r="BC4" s="207"/>
      <c r="BD4" s="209"/>
      <c r="BE4" s="207"/>
      <c r="BF4" s="207"/>
      <c r="BG4" s="207"/>
      <c r="BH4" s="207"/>
      <c r="BI4" s="210"/>
    </row>
    <row r="5" spans="1:61" s="193" customFormat="1" ht="87" customHeight="1" outlineLevel="1">
      <c r="A5" s="193" t="s">
        <v>1011</v>
      </c>
      <c r="B5" s="194">
        <v>2</v>
      </c>
      <c r="C5" s="195" t="s">
        <v>1036</v>
      </c>
      <c r="D5" s="195" t="s">
        <v>1037</v>
      </c>
      <c r="E5" s="196" t="s">
        <v>1038</v>
      </c>
      <c r="F5" s="195" t="s">
        <v>1039</v>
      </c>
      <c r="G5" s="195" t="s">
        <v>1015</v>
      </c>
      <c r="H5" s="196" t="s">
        <v>1016</v>
      </c>
      <c r="I5" s="196" t="s">
        <v>1040</v>
      </c>
      <c r="J5" s="197" t="s">
        <v>1018</v>
      </c>
      <c r="K5" s="198" t="s">
        <v>1041</v>
      </c>
      <c r="L5" s="197" t="s">
        <v>1020</v>
      </c>
      <c r="M5" s="197" t="s">
        <v>1020</v>
      </c>
      <c r="N5" s="197" t="s">
        <v>1020</v>
      </c>
      <c r="O5" s="197" t="s">
        <v>965</v>
      </c>
      <c r="P5" s="197">
        <v>45980</v>
      </c>
      <c r="Q5" s="197" t="s">
        <v>158</v>
      </c>
      <c r="R5" s="197" t="s">
        <v>1022</v>
      </c>
      <c r="S5" s="199" t="s">
        <v>1023</v>
      </c>
      <c r="T5" s="200" t="s">
        <v>58</v>
      </c>
      <c r="U5" s="195" t="s">
        <v>1042</v>
      </c>
      <c r="V5" s="195" t="s">
        <v>1025</v>
      </c>
      <c r="W5" s="195"/>
      <c r="X5" s="195"/>
      <c r="Y5" s="197">
        <v>45971</v>
      </c>
      <c r="Z5" s="197">
        <v>45898</v>
      </c>
      <c r="AA5" s="197"/>
      <c r="AB5" s="197"/>
      <c r="AC5" s="201">
        <v>1</v>
      </c>
      <c r="AD5" s="196">
        <f t="shared" ca="1" si="0"/>
        <v>45971</v>
      </c>
      <c r="AE5" s="197">
        <v>45992</v>
      </c>
      <c r="AF5" s="197">
        <v>45898</v>
      </c>
      <c r="AG5" s="197">
        <v>45898</v>
      </c>
      <c r="AH5" s="202">
        <v>0.97</v>
      </c>
      <c r="AI5" s="202">
        <f t="shared" ca="1" si="1"/>
        <v>1</v>
      </c>
      <c r="AJ5" s="203" t="str">
        <f t="shared" ca="1" si="2"/>
        <v>Atrasado</v>
      </c>
      <c r="AK5" s="204">
        <f t="shared" ca="1" si="3"/>
        <v>-1</v>
      </c>
      <c r="AL5" s="202"/>
      <c r="AM5" s="204" t="s">
        <v>1026</v>
      </c>
      <c r="AN5" s="204" t="s">
        <v>1043</v>
      </c>
      <c r="AO5" s="205">
        <v>46007</v>
      </c>
      <c r="AP5" s="206" t="s">
        <v>1044</v>
      </c>
      <c r="AQ5" s="206" t="s">
        <v>1045</v>
      </c>
      <c r="AR5" s="207" t="s">
        <v>1046</v>
      </c>
      <c r="AS5" s="207" t="s">
        <v>1047</v>
      </c>
      <c r="AT5" s="208">
        <v>45995</v>
      </c>
      <c r="AU5" s="207" t="s">
        <v>1048</v>
      </c>
      <c r="AV5" s="207"/>
      <c r="AW5" s="207" t="s">
        <v>1049</v>
      </c>
      <c r="AX5" s="207" t="s">
        <v>1050</v>
      </c>
      <c r="AY5" s="207" t="s">
        <v>1050</v>
      </c>
      <c r="AZ5" s="207" t="s">
        <v>1051</v>
      </c>
      <c r="BA5" s="207"/>
      <c r="BB5" s="207"/>
      <c r="BC5" s="207"/>
      <c r="BD5" s="209"/>
      <c r="BE5" s="207"/>
      <c r="BF5" s="207"/>
      <c r="BG5" s="207"/>
      <c r="BH5" s="207"/>
      <c r="BI5" s="210"/>
    </row>
    <row r="6" spans="1:61" s="193" customFormat="1" ht="52" customHeight="1" outlineLevel="1">
      <c r="B6" s="211">
        <v>3</v>
      </c>
      <c r="C6" s="212" t="s">
        <v>1052</v>
      </c>
      <c r="D6" s="212" t="s">
        <v>1053</v>
      </c>
      <c r="E6" s="213" t="s">
        <v>1054</v>
      </c>
      <c r="F6" s="212" t="s">
        <v>1055</v>
      </c>
      <c r="G6" s="212" t="s">
        <v>1015</v>
      </c>
      <c r="H6" s="213" t="s">
        <v>1016</v>
      </c>
      <c r="I6" s="213" t="s">
        <v>158</v>
      </c>
      <c r="J6" s="214">
        <v>45987</v>
      </c>
      <c r="K6" s="215" t="s">
        <v>1056</v>
      </c>
      <c r="L6" s="216" t="s">
        <v>1020</v>
      </c>
      <c r="M6" s="216" t="s">
        <v>1020</v>
      </c>
      <c r="N6" s="216" t="s">
        <v>381</v>
      </c>
      <c r="O6" s="214" t="s">
        <v>965</v>
      </c>
      <c r="P6" s="216">
        <v>46020</v>
      </c>
      <c r="Q6" s="214"/>
      <c r="R6" s="216" t="s">
        <v>1057</v>
      </c>
      <c r="S6" s="217">
        <v>46028</v>
      </c>
      <c r="T6" s="217">
        <v>46028</v>
      </c>
      <c r="U6" s="217" t="s">
        <v>1058</v>
      </c>
      <c r="V6" s="212" t="s">
        <v>1059</v>
      </c>
      <c r="W6" s="212"/>
      <c r="X6" s="212"/>
      <c r="Y6" s="210">
        <v>46027</v>
      </c>
      <c r="Z6" s="210">
        <v>46013</v>
      </c>
      <c r="AA6" s="210"/>
      <c r="AB6" s="210"/>
      <c r="AC6" s="218">
        <v>1</v>
      </c>
      <c r="AD6" s="219">
        <f t="shared" ca="1" si="0"/>
        <v>46027</v>
      </c>
      <c r="AE6" s="210">
        <v>46031</v>
      </c>
      <c r="AF6" s="210">
        <v>45982</v>
      </c>
      <c r="AG6" s="210">
        <v>45982</v>
      </c>
      <c r="AH6" s="220">
        <v>0.8</v>
      </c>
      <c r="AI6" s="220">
        <f t="shared" ca="1" si="1"/>
        <v>1</v>
      </c>
      <c r="AJ6" s="221" t="str">
        <f t="shared" ca="1" si="2"/>
        <v>Atrasado</v>
      </c>
      <c r="AK6" s="207">
        <f t="shared" ca="1" si="3"/>
        <v>-1</v>
      </c>
      <c r="AL6" s="210"/>
      <c r="AM6" s="207" t="s">
        <v>1026</v>
      </c>
      <c r="AN6" s="207" t="s">
        <v>1060</v>
      </c>
      <c r="AO6" s="222">
        <v>46031</v>
      </c>
      <c r="AP6" s="223" t="s">
        <v>1061</v>
      </c>
      <c r="AQ6" s="223" t="s">
        <v>1061</v>
      </c>
      <c r="AR6" s="207" t="s">
        <v>1062</v>
      </c>
      <c r="AS6" s="207" t="s">
        <v>1063</v>
      </c>
      <c r="AT6" s="208">
        <v>45719</v>
      </c>
      <c r="AU6" s="207" t="s">
        <v>1064</v>
      </c>
      <c r="AV6" s="207"/>
      <c r="AW6" s="207"/>
      <c r="AX6" s="207" t="s">
        <v>1065</v>
      </c>
      <c r="AY6" s="207" t="s">
        <v>1066</v>
      </c>
      <c r="AZ6" s="207" t="s">
        <v>1066</v>
      </c>
      <c r="BA6" s="207"/>
      <c r="BB6" s="207"/>
      <c r="BC6" s="207"/>
      <c r="BD6" s="209"/>
      <c r="BE6" s="207"/>
      <c r="BF6" s="207"/>
      <c r="BG6" s="207"/>
      <c r="BH6" s="207"/>
      <c r="BI6" s="224"/>
    </row>
    <row r="7" spans="1:61" s="193" customFormat="1" ht="52" customHeight="1" outlineLevel="1">
      <c r="A7" s="193" t="s">
        <v>1011</v>
      </c>
      <c r="B7" s="194">
        <v>4</v>
      </c>
      <c r="C7" s="195" t="s">
        <v>1067</v>
      </c>
      <c r="D7" s="195" t="s">
        <v>1068</v>
      </c>
      <c r="E7" s="196" t="s">
        <v>1069</v>
      </c>
      <c r="F7" s="195" t="s">
        <v>1070</v>
      </c>
      <c r="G7" s="195" t="s">
        <v>1015</v>
      </c>
      <c r="H7" s="196" t="s">
        <v>1016</v>
      </c>
      <c r="I7" s="196" t="s">
        <v>158</v>
      </c>
      <c r="J7" s="197">
        <v>45986</v>
      </c>
      <c r="K7" s="198" t="s">
        <v>1071</v>
      </c>
      <c r="L7" s="197" t="s">
        <v>1020</v>
      </c>
      <c r="M7" s="197" t="s">
        <v>1020</v>
      </c>
      <c r="N7" s="197">
        <v>45984</v>
      </c>
      <c r="O7" s="197" t="s">
        <v>1021</v>
      </c>
      <c r="P7" s="197">
        <v>45987</v>
      </c>
      <c r="Q7" s="197">
        <v>45982</v>
      </c>
      <c r="R7" s="197" t="s">
        <v>1022</v>
      </c>
      <c r="S7" s="199" t="s">
        <v>1023</v>
      </c>
      <c r="T7" s="200" t="s">
        <v>58</v>
      </c>
      <c r="U7" s="195" t="s">
        <v>1024</v>
      </c>
      <c r="V7" s="195" t="s">
        <v>1059</v>
      </c>
      <c r="W7" s="195"/>
      <c r="X7" s="195"/>
      <c r="Y7" s="197">
        <v>45971</v>
      </c>
      <c r="Z7" s="197">
        <v>45959</v>
      </c>
      <c r="AA7" s="197"/>
      <c r="AB7" s="197"/>
      <c r="AC7" s="201">
        <v>1</v>
      </c>
      <c r="AD7" s="196">
        <f t="shared" ca="1" si="0"/>
        <v>45971</v>
      </c>
      <c r="AE7" s="197">
        <v>45992</v>
      </c>
      <c r="AF7" s="197">
        <v>45926</v>
      </c>
      <c r="AG7" s="197">
        <v>45926</v>
      </c>
      <c r="AH7" s="202">
        <v>0.98</v>
      </c>
      <c r="AI7" s="202">
        <f t="shared" ca="1" si="1"/>
        <v>1</v>
      </c>
      <c r="AJ7" s="203" t="str">
        <f t="shared" ca="1" si="2"/>
        <v>Atrasado</v>
      </c>
      <c r="AK7" s="204">
        <f t="shared" ca="1" si="3"/>
        <v>-1</v>
      </c>
      <c r="AL7" s="202"/>
      <c r="AM7" s="204" t="s">
        <v>1026</v>
      </c>
      <c r="AN7" s="204" t="s">
        <v>1072</v>
      </c>
      <c r="AO7" s="205">
        <v>45993</v>
      </c>
      <c r="AP7" s="204" t="s">
        <v>1073</v>
      </c>
      <c r="AQ7" s="204" t="s">
        <v>1074</v>
      </c>
      <c r="AR7" s="207" t="s">
        <v>1075</v>
      </c>
      <c r="AS7" s="207" t="s">
        <v>1075</v>
      </c>
      <c r="AT7" s="208">
        <v>45992</v>
      </c>
      <c r="AU7" s="207" t="s">
        <v>1076</v>
      </c>
      <c r="AV7" s="207"/>
      <c r="AW7" s="207"/>
      <c r="AX7" s="207" t="s">
        <v>1077</v>
      </c>
      <c r="AY7" s="207" t="s">
        <v>1078</v>
      </c>
      <c r="AZ7" s="207" t="s">
        <v>1079</v>
      </c>
      <c r="BA7" s="207"/>
      <c r="BB7" s="207"/>
      <c r="BC7" s="207"/>
      <c r="BD7" s="209"/>
      <c r="BE7" s="207"/>
      <c r="BF7" s="207"/>
      <c r="BG7" s="207"/>
      <c r="BH7" s="207"/>
      <c r="BI7" s="210"/>
    </row>
    <row r="8" spans="1:61" s="193" customFormat="1" ht="34" customHeight="1" outlineLevel="1">
      <c r="B8" s="194">
        <v>5</v>
      </c>
      <c r="C8" s="195" t="s">
        <v>1080</v>
      </c>
      <c r="D8" s="195" t="s">
        <v>1081</v>
      </c>
      <c r="E8" s="196" t="s">
        <v>1082</v>
      </c>
      <c r="F8" s="195" t="s">
        <v>1083</v>
      </c>
      <c r="G8" s="195" t="s">
        <v>1084</v>
      </c>
      <c r="H8" s="196" t="s">
        <v>1016</v>
      </c>
      <c r="I8" s="196" t="s">
        <v>158</v>
      </c>
      <c r="J8" s="197">
        <v>45988</v>
      </c>
      <c r="K8" s="195" t="s">
        <v>1085</v>
      </c>
      <c r="L8" s="197" t="s">
        <v>1020</v>
      </c>
      <c r="M8" s="197" t="s">
        <v>1020</v>
      </c>
      <c r="N8" s="197">
        <v>45985</v>
      </c>
      <c r="O8" s="197" t="s">
        <v>1021</v>
      </c>
      <c r="P8" s="197">
        <v>45973</v>
      </c>
      <c r="Q8" s="197">
        <v>45987</v>
      </c>
      <c r="R8" s="197" t="s">
        <v>828</v>
      </c>
      <c r="S8" s="199" t="s">
        <v>1023</v>
      </c>
      <c r="T8" s="200" t="s">
        <v>58</v>
      </c>
      <c r="U8" s="199" t="s">
        <v>1086</v>
      </c>
      <c r="V8" s="195" t="s">
        <v>1059</v>
      </c>
      <c r="W8" s="195"/>
      <c r="X8" s="195"/>
      <c r="Y8" s="197">
        <v>45971</v>
      </c>
      <c r="Z8" s="197">
        <v>45898</v>
      </c>
      <c r="AA8" s="197"/>
      <c r="AB8" s="197"/>
      <c r="AC8" s="201">
        <v>1</v>
      </c>
      <c r="AD8" s="196">
        <f t="shared" si="0"/>
        <v>0</v>
      </c>
      <c r="AE8" s="197">
        <v>45992</v>
      </c>
      <c r="AF8" s="197">
        <v>45898</v>
      </c>
      <c r="AG8" s="197">
        <v>45898</v>
      </c>
      <c r="AH8" s="202">
        <v>1</v>
      </c>
      <c r="AI8" s="202">
        <f t="shared" ca="1" si="1"/>
        <v>1</v>
      </c>
      <c r="AJ8" s="203" t="str">
        <f t="shared" si="2"/>
        <v>Terminada</v>
      </c>
      <c r="AK8" s="204">
        <f t="shared" si="3"/>
        <v>2</v>
      </c>
      <c r="AL8" s="202"/>
      <c r="AM8" s="204" t="s">
        <v>1026</v>
      </c>
      <c r="AN8" s="204" t="s">
        <v>1087</v>
      </c>
      <c r="AO8" s="205">
        <v>46001</v>
      </c>
      <c r="AP8" s="206" t="s">
        <v>1088</v>
      </c>
      <c r="AQ8" s="206" t="s">
        <v>1074</v>
      </c>
      <c r="AR8" s="207" t="s">
        <v>1089</v>
      </c>
      <c r="AS8" s="207" t="s">
        <v>1090</v>
      </c>
      <c r="AT8" s="225">
        <v>46001</v>
      </c>
      <c r="AU8" s="207" t="s">
        <v>1091</v>
      </c>
      <c r="AV8" s="207"/>
      <c r="AW8" s="207" t="s">
        <v>1049</v>
      </c>
      <c r="AX8" s="207" t="s">
        <v>1092</v>
      </c>
      <c r="AY8" s="207" t="s">
        <v>1092</v>
      </c>
      <c r="AZ8" s="207" t="s">
        <v>1093</v>
      </c>
      <c r="BA8" s="207"/>
      <c r="BB8" s="207"/>
      <c r="BC8" s="207"/>
      <c r="BD8" s="209"/>
      <c r="BE8" s="207" t="s">
        <v>1094</v>
      </c>
      <c r="BF8" s="207">
        <v>0.8666666666666667</v>
      </c>
      <c r="BG8" s="207"/>
      <c r="BH8" s="207"/>
      <c r="BI8" s="210"/>
    </row>
    <row r="9" spans="1:61" s="193" customFormat="1" ht="63.65" customHeight="1" outlineLevel="1">
      <c r="B9" s="226">
        <v>6</v>
      </c>
      <c r="C9" s="227" t="s">
        <v>1095</v>
      </c>
      <c r="D9" s="227" t="s">
        <v>1096</v>
      </c>
      <c r="E9" s="219" t="s">
        <v>1097</v>
      </c>
      <c r="F9" s="227" t="s">
        <v>1098</v>
      </c>
      <c r="G9" s="227" t="s">
        <v>1099</v>
      </c>
      <c r="H9" s="219" t="s">
        <v>1016</v>
      </c>
      <c r="I9" s="219" t="s">
        <v>158</v>
      </c>
      <c r="J9" s="210">
        <v>45989</v>
      </c>
      <c r="K9" s="215" t="s">
        <v>1100</v>
      </c>
      <c r="L9" s="210" t="s">
        <v>1020</v>
      </c>
      <c r="M9" s="210" t="s">
        <v>1020</v>
      </c>
      <c r="N9" s="210" t="s">
        <v>1020</v>
      </c>
      <c r="O9" s="210" t="s">
        <v>1021</v>
      </c>
      <c r="P9" s="210">
        <v>45973</v>
      </c>
      <c r="Q9" s="210">
        <v>45987</v>
      </c>
      <c r="R9" s="210" t="s">
        <v>828</v>
      </c>
      <c r="S9" s="225">
        <v>46007</v>
      </c>
      <c r="T9" s="225" t="s">
        <v>872</v>
      </c>
      <c r="U9" s="228" t="s">
        <v>1101</v>
      </c>
      <c r="V9" s="227" t="s">
        <v>1059</v>
      </c>
      <c r="W9" s="227"/>
      <c r="X9" s="227"/>
      <c r="Y9" s="210">
        <v>45971</v>
      </c>
      <c r="Z9" s="210">
        <v>45959</v>
      </c>
      <c r="AA9" s="210"/>
      <c r="AB9" s="210"/>
      <c r="AC9" s="218">
        <v>1</v>
      </c>
      <c r="AD9" s="219">
        <f t="shared" ca="1" si="0"/>
        <v>45971</v>
      </c>
      <c r="AE9" s="210">
        <v>45992</v>
      </c>
      <c r="AF9" s="210">
        <v>45926</v>
      </c>
      <c r="AG9" s="210">
        <v>45926</v>
      </c>
      <c r="AH9" s="220">
        <v>0.96</v>
      </c>
      <c r="AI9" s="220">
        <f t="shared" ca="1" si="1"/>
        <v>1</v>
      </c>
      <c r="AJ9" s="221" t="str">
        <f t="shared" ca="1" si="2"/>
        <v>Atrasado</v>
      </c>
      <c r="AK9" s="207">
        <f t="shared" ca="1" si="3"/>
        <v>-1</v>
      </c>
      <c r="AL9" s="220"/>
      <c r="AM9" s="207" t="s">
        <v>1026</v>
      </c>
      <c r="AN9" s="207" t="s">
        <v>1102</v>
      </c>
      <c r="AO9" s="229">
        <v>46008</v>
      </c>
      <c r="AP9" s="223" t="s">
        <v>1103</v>
      </c>
      <c r="AQ9" s="223" t="s">
        <v>1104</v>
      </c>
      <c r="AR9" s="207" t="s">
        <v>1102</v>
      </c>
      <c r="AS9" s="207" t="s">
        <v>1102</v>
      </c>
      <c r="AT9" s="225">
        <v>45993</v>
      </c>
      <c r="AU9" s="207"/>
      <c r="AV9" s="207"/>
      <c r="AW9" s="207"/>
      <c r="AX9" s="207" t="s">
        <v>1077</v>
      </c>
      <c r="AY9" s="207" t="s">
        <v>1078</v>
      </c>
      <c r="AZ9" s="207" t="s">
        <v>1093</v>
      </c>
      <c r="BA9" s="207"/>
      <c r="BB9" s="207"/>
      <c r="BC9" s="207"/>
      <c r="BD9" s="209"/>
      <c r="BE9" s="207"/>
      <c r="BF9" s="207"/>
      <c r="BG9" s="207"/>
      <c r="BH9" s="207"/>
      <c r="BI9" s="210"/>
    </row>
    <row r="10" spans="1:61" s="193" customFormat="1" ht="26" customHeight="1" outlineLevel="1">
      <c r="B10" s="194">
        <v>7</v>
      </c>
      <c r="C10" s="195" t="s">
        <v>1105</v>
      </c>
      <c r="D10" s="230" t="s">
        <v>1106</v>
      </c>
      <c r="E10" s="231" t="s">
        <v>1107</v>
      </c>
      <c r="F10" s="230" t="s">
        <v>158</v>
      </c>
      <c r="G10" s="230" t="s">
        <v>1015</v>
      </c>
      <c r="H10" s="231" t="s">
        <v>158</v>
      </c>
      <c r="I10" s="231" t="s">
        <v>158</v>
      </c>
      <c r="J10" s="232" t="s">
        <v>158</v>
      </c>
      <c r="K10" s="233" t="s">
        <v>158</v>
      </c>
      <c r="L10" s="232" t="s">
        <v>158</v>
      </c>
      <c r="M10" s="232" t="s">
        <v>158</v>
      </c>
      <c r="N10" s="232" t="s">
        <v>158</v>
      </c>
      <c r="O10" s="232" t="s">
        <v>965</v>
      </c>
      <c r="P10" s="232">
        <v>45980</v>
      </c>
      <c r="Q10" s="232">
        <v>45980</v>
      </c>
      <c r="R10" s="232" t="s">
        <v>828</v>
      </c>
      <c r="S10" s="234" t="s">
        <v>158</v>
      </c>
      <c r="T10" s="234" t="s">
        <v>158</v>
      </c>
      <c r="U10" s="234" t="s">
        <v>1108</v>
      </c>
      <c r="V10" s="230" t="s">
        <v>1109</v>
      </c>
      <c r="W10" s="230"/>
      <c r="X10" s="230"/>
      <c r="Y10" s="232">
        <v>45971</v>
      </c>
      <c r="Z10" s="232">
        <v>45898</v>
      </c>
      <c r="AA10" s="232"/>
      <c r="AB10" s="232"/>
      <c r="AC10" s="235">
        <v>1</v>
      </c>
      <c r="AD10" s="231">
        <f t="shared" si="0"/>
        <v>0</v>
      </c>
      <c r="AE10" s="232">
        <v>45992</v>
      </c>
      <c r="AF10" s="232">
        <v>45887</v>
      </c>
      <c r="AG10" s="232">
        <v>45887</v>
      </c>
      <c r="AH10" s="236">
        <v>1</v>
      </c>
      <c r="AI10" s="236">
        <f t="shared" ca="1" si="1"/>
        <v>0</v>
      </c>
      <c r="AJ10" s="236" t="str">
        <f t="shared" si="2"/>
        <v>Terminada</v>
      </c>
      <c r="AK10" s="230">
        <f t="shared" si="3"/>
        <v>2</v>
      </c>
      <c r="AL10" s="232"/>
      <c r="AM10" s="230" t="s">
        <v>1026</v>
      </c>
      <c r="AN10" s="230" t="s">
        <v>1110</v>
      </c>
      <c r="AO10" s="237">
        <v>46007</v>
      </c>
      <c r="AP10" s="238" t="s">
        <v>1111</v>
      </c>
      <c r="AQ10" s="238" t="s">
        <v>1112</v>
      </c>
      <c r="AR10" s="207" t="s">
        <v>1113</v>
      </c>
      <c r="AS10" s="207" t="s">
        <v>1113</v>
      </c>
      <c r="AT10" s="208" t="s">
        <v>1114</v>
      </c>
      <c r="AU10" s="207" t="s">
        <v>1115</v>
      </c>
      <c r="AV10" s="207"/>
      <c r="AW10" s="207" t="s">
        <v>1116</v>
      </c>
      <c r="AX10" s="207" t="s">
        <v>1117</v>
      </c>
      <c r="AY10" s="207" t="s">
        <v>1117</v>
      </c>
      <c r="AZ10" s="207" t="s">
        <v>1118</v>
      </c>
      <c r="BA10" s="207"/>
      <c r="BB10" s="207"/>
      <c r="BC10" s="207"/>
      <c r="BD10" s="209"/>
      <c r="BE10" s="207"/>
      <c r="BF10" s="207"/>
      <c r="BG10" s="207"/>
      <c r="BH10" s="207"/>
      <c r="BI10" s="224"/>
    </row>
    <row r="11" spans="1:61" s="193" customFormat="1" ht="52" customHeight="1" outlineLevel="1">
      <c r="B11" s="194">
        <v>8</v>
      </c>
      <c r="C11" s="195" t="s">
        <v>1119</v>
      </c>
      <c r="D11" s="195" t="s">
        <v>1120</v>
      </c>
      <c r="E11" s="196" t="s">
        <v>1121</v>
      </c>
      <c r="F11" s="195" t="s">
        <v>1122</v>
      </c>
      <c r="G11" s="195" t="s">
        <v>1084</v>
      </c>
      <c r="H11" s="196" t="s">
        <v>1123</v>
      </c>
      <c r="I11" s="196" t="s">
        <v>158</v>
      </c>
      <c r="J11" s="197" t="s">
        <v>1018</v>
      </c>
      <c r="K11" s="195" t="s">
        <v>1124</v>
      </c>
      <c r="L11" s="197" t="s">
        <v>1020</v>
      </c>
      <c r="M11" s="197" t="s">
        <v>1125</v>
      </c>
      <c r="N11" s="196" t="s">
        <v>158</v>
      </c>
      <c r="O11" s="197" t="s">
        <v>1021</v>
      </c>
      <c r="P11" s="197">
        <v>45989</v>
      </c>
      <c r="Q11" s="197"/>
      <c r="R11" s="197" t="s">
        <v>1126</v>
      </c>
      <c r="S11" s="199" t="s">
        <v>1023</v>
      </c>
      <c r="T11" s="200" t="s">
        <v>58</v>
      </c>
      <c r="U11" s="199" t="s">
        <v>1127</v>
      </c>
      <c r="V11" s="195" t="s">
        <v>1059</v>
      </c>
      <c r="W11" s="195"/>
      <c r="X11" s="195"/>
      <c r="Y11" s="197">
        <v>45981</v>
      </c>
      <c r="Z11" s="197">
        <v>45976</v>
      </c>
      <c r="AA11" s="197"/>
      <c r="AB11" s="197"/>
      <c r="AC11" s="201">
        <v>1</v>
      </c>
      <c r="AD11" s="196">
        <f t="shared" ca="1" si="0"/>
        <v>45981</v>
      </c>
      <c r="AE11" s="197">
        <v>45992</v>
      </c>
      <c r="AF11" s="197">
        <v>45929</v>
      </c>
      <c r="AG11" s="197">
        <v>45976</v>
      </c>
      <c r="AH11" s="202">
        <v>0.78</v>
      </c>
      <c r="AI11" s="202">
        <f t="shared" ca="1" si="1"/>
        <v>1</v>
      </c>
      <c r="AJ11" s="203" t="str">
        <f t="shared" ca="1" si="2"/>
        <v>Atrasado</v>
      </c>
      <c r="AK11" s="204">
        <f t="shared" ca="1" si="3"/>
        <v>-1</v>
      </c>
      <c r="AL11" s="202"/>
      <c r="AM11" s="204" t="s">
        <v>1128</v>
      </c>
      <c r="AN11" s="204" t="s">
        <v>1129</v>
      </c>
      <c r="AO11" s="205">
        <v>46013</v>
      </c>
      <c r="AP11" s="206" t="s">
        <v>1130</v>
      </c>
      <c r="AQ11" s="206" t="s">
        <v>1131</v>
      </c>
      <c r="AR11" s="207" t="s">
        <v>1132</v>
      </c>
      <c r="AS11" s="207" t="s">
        <v>1133</v>
      </c>
      <c r="AT11" s="225">
        <v>45992</v>
      </c>
      <c r="AU11" s="207" t="s">
        <v>1134</v>
      </c>
      <c r="AV11" s="207"/>
      <c r="AW11" s="207"/>
      <c r="AX11" s="207" t="s">
        <v>1135</v>
      </c>
      <c r="AY11" s="207" t="s">
        <v>1135</v>
      </c>
      <c r="AZ11" s="207" t="s">
        <v>1136</v>
      </c>
      <c r="BA11" s="207"/>
      <c r="BB11" s="207"/>
      <c r="BC11" s="207"/>
      <c r="BD11" s="209"/>
      <c r="BE11" s="207"/>
      <c r="BF11" s="207"/>
      <c r="BG11" s="207"/>
      <c r="BH11" s="207"/>
      <c r="BI11" s="210"/>
    </row>
    <row r="12" spans="1:61" s="193" customFormat="1" ht="54.65" customHeight="1" outlineLevel="1">
      <c r="B12" s="239">
        <v>9</v>
      </c>
      <c r="C12" s="240"/>
      <c r="D12" s="240" t="s">
        <v>1137</v>
      </c>
      <c r="E12" s="241" t="s">
        <v>1138</v>
      </c>
      <c r="F12" s="240" t="s">
        <v>1139</v>
      </c>
      <c r="G12" s="240" t="s">
        <v>1084</v>
      </c>
      <c r="H12" s="241" t="s">
        <v>1140</v>
      </c>
      <c r="I12" s="241" t="s">
        <v>158</v>
      </c>
      <c r="J12" s="242" t="s">
        <v>1141</v>
      </c>
      <c r="K12" s="242" t="s">
        <v>1142</v>
      </c>
      <c r="L12" s="243" t="s">
        <v>1020</v>
      </c>
      <c r="M12" s="243" t="s">
        <v>1143</v>
      </c>
      <c r="N12" s="241" t="s">
        <v>158</v>
      </c>
      <c r="O12" s="243" t="s">
        <v>965</v>
      </c>
      <c r="P12" s="243" t="s">
        <v>1144</v>
      </c>
      <c r="Q12" s="243"/>
      <c r="R12" s="243" t="s">
        <v>828</v>
      </c>
      <c r="S12" s="244">
        <v>46008</v>
      </c>
      <c r="T12" s="244" t="s">
        <v>872</v>
      </c>
      <c r="U12" s="244"/>
      <c r="V12" s="240" t="s">
        <v>1059</v>
      </c>
      <c r="W12" s="240"/>
      <c r="X12" s="240"/>
      <c r="Y12" s="243"/>
      <c r="Z12" s="243"/>
      <c r="AA12" s="243"/>
      <c r="AB12" s="243"/>
      <c r="AC12" s="245"/>
      <c r="AD12" s="241"/>
      <c r="AE12" s="243"/>
      <c r="AF12" s="243"/>
      <c r="AG12" s="243"/>
      <c r="AH12" s="246"/>
      <c r="AI12" s="246"/>
      <c r="AJ12" s="247"/>
      <c r="AK12" s="248"/>
      <c r="AL12" s="246"/>
      <c r="AM12" s="248"/>
      <c r="AN12" s="248"/>
      <c r="AO12" s="249">
        <v>46014</v>
      </c>
      <c r="AP12" s="250" t="s">
        <v>1145</v>
      </c>
      <c r="AQ12" s="250" t="s">
        <v>1146</v>
      </c>
      <c r="AR12" s="248" t="s">
        <v>1147</v>
      </c>
      <c r="AS12" s="248" t="s">
        <v>1148</v>
      </c>
      <c r="AT12" s="244"/>
      <c r="AU12" s="207" t="s">
        <v>1149</v>
      </c>
      <c r="AV12" s="207"/>
      <c r="AW12" s="207"/>
      <c r="AX12" s="207"/>
      <c r="AY12" s="207"/>
      <c r="AZ12" s="207"/>
      <c r="BA12" s="207"/>
      <c r="BB12" s="207"/>
      <c r="BC12" s="207"/>
      <c r="BD12" s="209"/>
      <c r="BE12" s="207"/>
      <c r="BF12" s="207"/>
      <c r="BG12" s="207"/>
      <c r="BH12" s="207"/>
      <c r="BI12" s="210"/>
    </row>
    <row r="13" spans="1:61" s="193" customFormat="1" ht="52" customHeight="1" outlineLevel="1">
      <c r="B13" s="226">
        <v>10</v>
      </c>
      <c r="C13" s="227" t="s">
        <v>1150</v>
      </c>
      <c r="D13" s="227" t="s">
        <v>1151</v>
      </c>
      <c r="E13" s="219" t="s">
        <v>1121</v>
      </c>
      <c r="F13" s="227" t="s">
        <v>1055</v>
      </c>
      <c r="G13" s="227" t="s">
        <v>1084</v>
      </c>
      <c r="H13" s="219" t="s">
        <v>1152</v>
      </c>
      <c r="I13" s="219" t="s">
        <v>158</v>
      </c>
      <c r="J13" s="210" t="s">
        <v>1056</v>
      </c>
      <c r="K13" s="227"/>
      <c r="L13" s="210">
        <v>46014</v>
      </c>
      <c r="M13" s="210">
        <v>46020</v>
      </c>
      <c r="N13" s="219" t="s">
        <v>158</v>
      </c>
      <c r="O13" s="210" t="s">
        <v>1021</v>
      </c>
      <c r="P13" s="210" t="s">
        <v>1153</v>
      </c>
      <c r="Q13" s="210" t="s">
        <v>872</v>
      </c>
      <c r="R13" s="210" t="s">
        <v>872</v>
      </c>
      <c r="S13" s="225"/>
      <c r="T13" s="225" t="s">
        <v>872</v>
      </c>
      <c r="U13" s="225"/>
      <c r="V13" s="227" t="s">
        <v>1059</v>
      </c>
      <c r="W13" s="227"/>
      <c r="X13" s="227"/>
      <c r="Y13" s="210">
        <v>46017</v>
      </c>
      <c r="Z13" s="210">
        <v>46017</v>
      </c>
      <c r="AA13" s="210"/>
      <c r="AB13" s="210"/>
      <c r="AC13" s="218">
        <v>1</v>
      </c>
      <c r="AD13" s="219"/>
      <c r="AE13" s="210">
        <v>46055</v>
      </c>
      <c r="AF13" s="210"/>
      <c r="AG13" s="210">
        <v>46017</v>
      </c>
      <c r="AH13" s="220">
        <v>0.85</v>
      </c>
      <c r="AI13" s="220">
        <f t="shared" ref="AI13:AI30" ca="1" si="4">IF($AT13&gt;TODAY(),0,IF(OR($Y13="Eliminada",$Y13="En Revision"),$Y13,IF($Y13&lt;&gt;"Eliminada",IF($Y13&gt;TODAY(),(TODAY()-$AT13)/($Y13-$AT13),1),0)))</f>
        <v>1</v>
      </c>
      <c r="AJ13" s="221" t="str">
        <f t="shared" ref="AJ13:AJ30" ca="1" si="5">IF(AH13=1,"Terminada",IF(AH13&lt;AI13,"Atrasado", "A Tiempo"))</f>
        <v>Atrasado</v>
      </c>
      <c r="AK13" s="207">
        <f t="shared" ref="AK13:AK30" ca="1" si="6">IF($AJ13="Eliminada",-2,IF($AJ13="Terminada",2,IF($AJ13="A Tiempo",1,IF($AJ13="En Revision",0,-1))))</f>
        <v>-1</v>
      </c>
      <c r="AL13" s="220"/>
      <c r="AM13" s="207"/>
      <c r="AN13" s="207" t="s">
        <v>1129</v>
      </c>
      <c r="AO13" s="251">
        <v>46037</v>
      </c>
      <c r="AP13" s="225" t="s">
        <v>1154</v>
      </c>
      <c r="AQ13" s="225" t="s">
        <v>1154</v>
      </c>
      <c r="AR13" s="207" t="s">
        <v>1155</v>
      </c>
      <c r="AS13" s="207" t="s">
        <v>1156</v>
      </c>
      <c r="AT13" s="225">
        <v>46054</v>
      </c>
      <c r="AU13" s="207"/>
      <c r="AV13" s="207"/>
      <c r="AW13" s="207"/>
      <c r="AX13" s="207" t="s">
        <v>1157</v>
      </c>
      <c r="AY13" s="207" t="s">
        <v>1158</v>
      </c>
      <c r="AZ13" s="207"/>
      <c r="BA13" s="207"/>
      <c r="BB13" s="207"/>
      <c r="BC13" s="207"/>
      <c r="BD13" s="209"/>
      <c r="BE13" s="207"/>
      <c r="BF13" s="207"/>
      <c r="BG13" s="207"/>
      <c r="BH13" s="207"/>
      <c r="BI13" s="210"/>
    </row>
    <row r="14" spans="1:61" s="193" customFormat="1" ht="40.5" customHeight="1" outlineLevel="1">
      <c r="B14" s="226">
        <v>11</v>
      </c>
      <c r="C14" s="227" t="s">
        <v>1159</v>
      </c>
      <c r="D14" s="227" t="s">
        <v>1160</v>
      </c>
      <c r="E14" s="219" t="s">
        <v>1121</v>
      </c>
      <c r="F14" s="227" t="s">
        <v>1055</v>
      </c>
      <c r="G14" s="227" t="s">
        <v>1084</v>
      </c>
      <c r="H14" s="219" t="s">
        <v>1152</v>
      </c>
      <c r="I14" s="219" t="s">
        <v>158</v>
      </c>
      <c r="J14" s="210" t="s">
        <v>1056</v>
      </c>
      <c r="K14" s="227"/>
      <c r="L14" s="210" t="s">
        <v>1056</v>
      </c>
      <c r="M14" s="210" t="s">
        <v>872</v>
      </c>
      <c r="N14" s="219" t="s">
        <v>1161</v>
      </c>
      <c r="O14" s="210" t="s">
        <v>1021</v>
      </c>
      <c r="P14" s="210" t="s">
        <v>1153</v>
      </c>
      <c r="Q14" s="210" t="s">
        <v>872</v>
      </c>
      <c r="R14" s="210" t="s">
        <v>872</v>
      </c>
      <c r="S14" s="225"/>
      <c r="T14" s="225" t="s">
        <v>872</v>
      </c>
      <c r="U14" s="225"/>
      <c r="V14" s="227" t="s">
        <v>1059</v>
      </c>
      <c r="W14" s="227"/>
      <c r="X14" s="227"/>
      <c r="Y14" s="210">
        <v>46017</v>
      </c>
      <c r="Z14" s="210">
        <v>46017</v>
      </c>
      <c r="AA14" s="210"/>
      <c r="AB14" s="210"/>
      <c r="AC14" s="218">
        <v>1</v>
      </c>
      <c r="AD14" s="219"/>
      <c r="AE14" s="210">
        <v>46055</v>
      </c>
      <c r="AF14" s="210"/>
      <c r="AG14" s="210">
        <v>46017</v>
      </c>
      <c r="AH14" s="220">
        <v>0.85</v>
      </c>
      <c r="AI14" s="220">
        <f t="shared" ca="1" si="4"/>
        <v>1</v>
      </c>
      <c r="AJ14" s="221" t="str">
        <f t="shared" ca="1" si="5"/>
        <v>Atrasado</v>
      </c>
      <c r="AK14" s="207">
        <f t="shared" ca="1" si="6"/>
        <v>-1</v>
      </c>
      <c r="AL14" s="220"/>
      <c r="AM14" s="207"/>
      <c r="AN14" s="207"/>
      <c r="AO14" s="222">
        <v>46068</v>
      </c>
      <c r="AP14" s="223"/>
      <c r="AQ14" s="223"/>
      <c r="AR14" s="207"/>
      <c r="AS14" s="207"/>
      <c r="AT14" s="225">
        <v>46054</v>
      </c>
      <c r="AU14" s="207"/>
      <c r="AV14" s="207"/>
      <c r="AW14" s="207"/>
      <c r="AX14" s="207" t="s">
        <v>1157</v>
      </c>
      <c r="AY14" s="207" t="s">
        <v>1158</v>
      </c>
      <c r="AZ14" s="207"/>
      <c r="BA14" s="207"/>
      <c r="BB14" s="207"/>
      <c r="BC14" s="207"/>
      <c r="BD14" s="209"/>
      <c r="BE14" s="207"/>
      <c r="BF14" s="207"/>
      <c r="BG14" s="207"/>
      <c r="BH14" s="207"/>
      <c r="BI14" s="210"/>
    </row>
    <row r="15" spans="1:61" s="193" customFormat="1" ht="40.5" customHeight="1" outlineLevel="1">
      <c r="B15" s="226">
        <v>12</v>
      </c>
      <c r="C15" s="227" t="s">
        <v>1162</v>
      </c>
      <c r="D15" s="227" t="s">
        <v>1163</v>
      </c>
      <c r="E15" s="219" t="s">
        <v>1164</v>
      </c>
      <c r="F15" s="227" t="s">
        <v>1055</v>
      </c>
      <c r="G15" s="227" t="s">
        <v>1084</v>
      </c>
      <c r="H15" s="219" t="s">
        <v>1152</v>
      </c>
      <c r="I15" s="219" t="s">
        <v>158</v>
      </c>
      <c r="J15" s="210" t="s">
        <v>1056</v>
      </c>
      <c r="K15" s="252"/>
      <c r="L15" s="210" t="s">
        <v>1056</v>
      </c>
      <c r="M15" s="210" t="s">
        <v>872</v>
      </c>
      <c r="N15" s="219" t="s">
        <v>1161</v>
      </c>
      <c r="O15" s="210" t="s">
        <v>1021</v>
      </c>
      <c r="P15" s="210" t="s">
        <v>1153</v>
      </c>
      <c r="Q15" s="210" t="s">
        <v>872</v>
      </c>
      <c r="R15" s="210" t="s">
        <v>872</v>
      </c>
      <c r="S15" s="225"/>
      <c r="T15" s="225" t="s">
        <v>872</v>
      </c>
      <c r="U15" s="225"/>
      <c r="V15" s="227" t="s">
        <v>1059</v>
      </c>
      <c r="W15" s="227"/>
      <c r="X15" s="227"/>
      <c r="Y15" s="210">
        <v>46446</v>
      </c>
      <c r="Z15" s="210">
        <v>45992</v>
      </c>
      <c r="AA15" s="210"/>
      <c r="AB15" s="210"/>
      <c r="AC15" s="218">
        <v>1</v>
      </c>
      <c r="AD15" s="219">
        <f ca="1">IF(AJ15="Terminada",0,+Y15-$AT$1)</f>
        <v>46446</v>
      </c>
      <c r="AE15" s="210">
        <v>46476</v>
      </c>
      <c r="AF15" s="210">
        <v>46724</v>
      </c>
      <c r="AG15" s="210">
        <v>46458</v>
      </c>
      <c r="AH15" s="220">
        <v>0.57999999999999996</v>
      </c>
      <c r="AI15" s="220">
        <f t="shared" ca="1" si="4"/>
        <v>0.30662983425414364</v>
      </c>
      <c r="AJ15" s="221" t="str">
        <f t="shared" ca="1" si="5"/>
        <v>A Tiempo</v>
      </c>
      <c r="AK15" s="207">
        <f t="shared" ca="1" si="6"/>
        <v>1</v>
      </c>
      <c r="AL15" s="220"/>
      <c r="AM15" s="207" t="s">
        <v>1128</v>
      </c>
      <c r="AN15" s="207"/>
      <c r="AO15" s="222">
        <v>46476</v>
      </c>
      <c r="AP15" s="223"/>
      <c r="AQ15" s="223"/>
      <c r="AR15" s="207"/>
      <c r="AS15" s="207"/>
      <c r="AT15" s="225">
        <v>46084</v>
      </c>
      <c r="AU15" s="207" t="s">
        <v>1165</v>
      </c>
      <c r="AV15" s="207"/>
      <c r="AW15" s="207"/>
      <c r="AX15" s="207" t="s">
        <v>1166</v>
      </c>
      <c r="AY15" s="207" t="s">
        <v>1166</v>
      </c>
      <c r="AZ15" s="207"/>
      <c r="BA15" s="207"/>
      <c r="BB15" s="207"/>
      <c r="BC15" s="207"/>
      <c r="BD15" s="209"/>
      <c r="BE15" s="207"/>
      <c r="BF15" s="207"/>
      <c r="BG15" s="207"/>
      <c r="BH15" s="207"/>
      <c r="BI15" s="210"/>
    </row>
    <row r="16" spans="1:61" s="253" customFormat="1" ht="68.150000000000006" customHeight="1" outlineLevel="1">
      <c r="B16" s="254">
        <v>8</v>
      </c>
      <c r="C16" s="255" t="s">
        <v>1167</v>
      </c>
      <c r="D16" s="255" t="s">
        <v>1168</v>
      </c>
      <c r="E16" s="256" t="s">
        <v>1121</v>
      </c>
      <c r="F16" s="255" t="s">
        <v>1169</v>
      </c>
      <c r="G16" s="255" t="s">
        <v>1084</v>
      </c>
      <c r="H16" s="256" t="s">
        <v>1123</v>
      </c>
      <c r="I16" s="256" t="s">
        <v>158</v>
      </c>
      <c r="J16" s="257" t="s">
        <v>1018</v>
      </c>
      <c r="K16" s="255" t="s">
        <v>1142</v>
      </c>
      <c r="L16" s="257" t="s">
        <v>1020</v>
      </c>
      <c r="M16" s="257" t="s">
        <v>1125</v>
      </c>
      <c r="N16" s="256" t="s">
        <v>158</v>
      </c>
      <c r="O16" s="257" t="s">
        <v>1021</v>
      </c>
      <c r="P16" s="257">
        <v>45988</v>
      </c>
      <c r="Q16" s="257"/>
      <c r="R16" s="257" t="s">
        <v>1170</v>
      </c>
      <c r="S16" s="258" t="s">
        <v>1171</v>
      </c>
      <c r="T16" s="258" t="s">
        <v>1172</v>
      </c>
      <c r="U16" s="258" t="s">
        <v>1127</v>
      </c>
      <c r="V16" s="255" t="s">
        <v>1059</v>
      </c>
      <c r="W16" s="255"/>
      <c r="X16" s="255"/>
      <c r="Y16" s="257">
        <v>45971</v>
      </c>
      <c r="Z16" s="257">
        <v>45960</v>
      </c>
      <c r="AA16" s="257"/>
      <c r="AB16" s="257"/>
      <c r="AC16" s="259">
        <v>1</v>
      </c>
      <c r="AD16" s="256">
        <f ca="1">IF(AJ16="Terminada",0,+Y16-$AT$1)</f>
        <v>45971</v>
      </c>
      <c r="AE16" s="257">
        <v>45992</v>
      </c>
      <c r="AF16" s="257">
        <v>45929</v>
      </c>
      <c r="AG16" s="257">
        <v>45991</v>
      </c>
      <c r="AH16" s="260">
        <v>0.92</v>
      </c>
      <c r="AI16" s="260">
        <f t="shared" ca="1" si="4"/>
        <v>1</v>
      </c>
      <c r="AJ16" s="260" t="str">
        <f t="shared" ca="1" si="5"/>
        <v>Atrasado</v>
      </c>
      <c r="AK16" s="255">
        <f t="shared" ca="1" si="6"/>
        <v>-1</v>
      </c>
      <c r="AL16" s="260"/>
      <c r="AM16" s="255" t="s">
        <v>1128</v>
      </c>
      <c r="AN16" s="255" t="s">
        <v>1129</v>
      </c>
      <c r="AO16" s="261"/>
      <c r="AP16" s="261"/>
      <c r="AQ16" s="261"/>
      <c r="AR16" s="255" t="s">
        <v>1173</v>
      </c>
      <c r="AS16" s="255" t="s">
        <v>1174</v>
      </c>
      <c r="AT16" s="258">
        <v>45992</v>
      </c>
      <c r="AU16" s="255" t="s">
        <v>1165</v>
      </c>
      <c r="AV16" s="255"/>
      <c r="AW16" s="255"/>
      <c r="AX16" s="255" t="s">
        <v>1175</v>
      </c>
      <c r="AY16" s="255" t="s">
        <v>1176</v>
      </c>
      <c r="AZ16" s="255" t="s">
        <v>1177</v>
      </c>
      <c r="BA16" s="255"/>
      <c r="BB16" s="255"/>
      <c r="BC16" s="255"/>
      <c r="BD16" s="262"/>
      <c r="BE16" s="255"/>
      <c r="BF16" s="255"/>
      <c r="BG16" s="255"/>
      <c r="BH16" s="255"/>
      <c r="BI16" s="257"/>
    </row>
    <row r="17" spans="1:64" s="193" customFormat="1" ht="40.5" customHeight="1">
      <c r="B17" s="211">
        <v>1</v>
      </c>
      <c r="C17" s="263" t="s">
        <v>1178</v>
      </c>
      <c r="D17" s="212" t="s">
        <v>716</v>
      </c>
      <c r="E17" s="213" t="s">
        <v>1179</v>
      </c>
      <c r="F17" s="264" t="s">
        <v>1180</v>
      </c>
      <c r="G17" s="212" t="s">
        <v>1015</v>
      </c>
      <c r="H17" s="213" t="s">
        <v>1181</v>
      </c>
      <c r="I17" s="213" t="s">
        <v>1182</v>
      </c>
      <c r="J17" s="214" t="s">
        <v>1018</v>
      </c>
      <c r="K17" s="263" t="s">
        <v>1183</v>
      </c>
      <c r="L17" s="214" t="s">
        <v>1018</v>
      </c>
      <c r="M17" s="214" t="s">
        <v>1020</v>
      </c>
      <c r="N17" s="214" t="s">
        <v>158</v>
      </c>
      <c r="O17" s="214" t="s">
        <v>158</v>
      </c>
      <c r="P17" s="214">
        <v>45986</v>
      </c>
      <c r="Q17" s="214" t="s">
        <v>158</v>
      </c>
      <c r="R17" s="214" t="s">
        <v>1022</v>
      </c>
      <c r="S17" s="208">
        <v>45974</v>
      </c>
      <c r="T17" s="208" t="s">
        <v>1023</v>
      </c>
      <c r="U17" s="208" t="s">
        <v>1184</v>
      </c>
      <c r="V17" s="212" t="s">
        <v>1185</v>
      </c>
      <c r="W17" s="212" t="s">
        <v>1186</v>
      </c>
      <c r="X17" s="212"/>
      <c r="Y17" s="210">
        <v>45945</v>
      </c>
      <c r="Z17" s="210"/>
      <c r="AA17" s="210"/>
      <c r="AB17" s="210"/>
      <c r="AC17" s="218">
        <v>1</v>
      </c>
      <c r="AD17" s="219"/>
      <c r="AE17" s="210">
        <v>45992</v>
      </c>
      <c r="AF17" s="210"/>
      <c r="AG17" s="210">
        <v>45945</v>
      </c>
      <c r="AH17" s="220">
        <v>1</v>
      </c>
      <c r="AI17" s="220">
        <f t="shared" ca="1" si="4"/>
        <v>1</v>
      </c>
      <c r="AJ17" s="221" t="str">
        <f t="shared" si="5"/>
        <v>Terminada</v>
      </c>
      <c r="AK17" s="207">
        <f t="shared" si="6"/>
        <v>2</v>
      </c>
      <c r="AL17" s="210"/>
      <c r="AM17" s="207" t="s">
        <v>1187</v>
      </c>
      <c r="AN17" s="207" t="s">
        <v>1188</v>
      </c>
      <c r="AO17" s="223"/>
      <c r="AP17" s="223"/>
      <c r="AQ17" s="223"/>
      <c r="AR17" s="207"/>
      <c r="AS17" s="207"/>
      <c r="AT17" s="208">
        <v>45989</v>
      </c>
      <c r="AU17" s="207"/>
      <c r="AV17" s="207"/>
      <c r="AW17" s="207"/>
      <c r="AX17" s="207"/>
      <c r="AY17" s="207" t="s">
        <v>1189</v>
      </c>
      <c r="AZ17" s="207"/>
      <c r="BA17" s="207"/>
      <c r="BB17" s="207"/>
      <c r="BC17" s="207"/>
      <c r="BD17" s="209"/>
      <c r="BE17" s="207"/>
      <c r="BF17" s="207"/>
      <c r="BG17" s="207"/>
      <c r="BH17" s="207"/>
      <c r="BI17" s="210"/>
    </row>
    <row r="18" spans="1:64" s="193" customFormat="1" ht="40.5" customHeight="1">
      <c r="B18" s="211">
        <v>2</v>
      </c>
      <c r="C18" s="263" t="s">
        <v>1190</v>
      </c>
      <c r="D18" s="212" t="s">
        <v>716</v>
      </c>
      <c r="E18" s="213" t="s">
        <v>1179</v>
      </c>
      <c r="F18" s="264" t="s">
        <v>1191</v>
      </c>
      <c r="G18" s="212" t="s">
        <v>1015</v>
      </c>
      <c r="H18" s="213" t="s">
        <v>1181</v>
      </c>
      <c r="I18" s="213" t="s">
        <v>1017</v>
      </c>
      <c r="J18" s="214" t="s">
        <v>1018</v>
      </c>
      <c r="K18" s="263" t="s">
        <v>1192</v>
      </c>
      <c r="L18" s="214" t="s">
        <v>1018</v>
      </c>
      <c r="M18" s="214" t="s">
        <v>1020</v>
      </c>
      <c r="N18" s="214" t="s">
        <v>158</v>
      </c>
      <c r="O18" s="214" t="s">
        <v>158</v>
      </c>
      <c r="P18" s="214">
        <v>45986</v>
      </c>
      <c r="Q18" s="214" t="s">
        <v>158</v>
      </c>
      <c r="R18" s="214" t="s">
        <v>1022</v>
      </c>
      <c r="S18" s="208">
        <v>45974</v>
      </c>
      <c r="T18" s="208" t="s">
        <v>1023</v>
      </c>
      <c r="U18" s="208" t="s">
        <v>1193</v>
      </c>
      <c r="V18" s="265" t="s">
        <v>1185</v>
      </c>
      <c r="W18" s="265" t="s">
        <v>1186</v>
      </c>
      <c r="X18" s="265"/>
      <c r="Y18" s="210">
        <v>45945</v>
      </c>
      <c r="Z18" s="210"/>
      <c r="AA18" s="210"/>
      <c r="AB18" s="210"/>
      <c r="AC18" s="218">
        <v>1</v>
      </c>
      <c r="AD18" s="219"/>
      <c r="AE18" s="210">
        <v>45992</v>
      </c>
      <c r="AF18" s="210"/>
      <c r="AG18" s="210">
        <v>45945</v>
      </c>
      <c r="AH18" s="220">
        <v>1</v>
      </c>
      <c r="AI18" s="220">
        <f t="shared" ca="1" si="4"/>
        <v>1</v>
      </c>
      <c r="AJ18" s="221" t="str">
        <f t="shared" si="5"/>
        <v>Terminada</v>
      </c>
      <c r="AK18" s="207">
        <f t="shared" si="6"/>
        <v>2</v>
      </c>
      <c r="AL18" s="210"/>
      <c r="AM18" s="207" t="s">
        <v>1194</v>
      </c>
      <c r="AN18" s="207" t="s">
        <v>1188</v>
      </c>
      <c r="AO18" s="223"/>
      <c r="AP18" s="223"/>
      <c r="AQ18" s="223"/>
      <c r="AR18" s="207"/>
      <c r="AS18" s="207"/>
      <c r="AT18" s="208">
        <v>45989</v>
      </c>
      <c r="AU18" s="207"/>
      <c r="AV18" s="207"/>
      <c r="AW18" s="207"/>
      <c r="AX18" s="207" t="s">
        <v>1195</v>
      </c>
      <c r="AY18" s="207" t="s">
        <v>1189</v>
      </c>
      <c r="AZ18" s="207"/>
      <c r="BA18" s="207"/>
      <c r="BB18" s="207"/>
      <c r="BC18" s="207"/>
      <c r="BD18" s="209"/>
      <c r="BE18" s="207"/>
      <c r="BF18" s="207"/>
      <c r="BG18" s="207"/>
      <c r="BH18" s="207"/>
      <c r="BI18" s="210"/>
    </row>
    <row r="19" spans="1:64" s="193" customFormat="1" ht="40.5" customHeight="1">
      <c r="B19" s="211">
        <v>3</v>
      </c>
      <c r="C19" s="263" t="s">
        <v>1196</v>
      </c>
      <c r="D19" s="212" t="s">
        <v>716</v>
      </c>
      <c r="E19" s="213" t="s">
        <v>1179</v>
      </c>
      <c r="F19" s="266" t="s">
        <v>1197</v>
      </c>
      <c r="G19" s="212" t="s">
        <v>1198</v>
      </c>
      <c r="H19" s="213" t="s">
        <v>1181</v>
      </c>
      <c r="I19" s="213" t="s">
        <v>1017</v>
      </c>
      <c r="J19" s="214" t="s">
        <v>1018</v>
      </c>
      <c r="K19" s="263" t="s">
        <v>1199</v>
      </c>
      <c r="L19" s="214" t="s">
        <v>1018</v>
      </c>
      <c r="M19" s="214" t="s">
        <v>1020</v>
      </c>
      <c r="N19" s="214" t="s">
        <v>158</v>
      </c>
      <c r="O19" s="214" t="s">
        <v>158</v>
      </c>
      <c r="P19" s="214">
        <v>45986</v>
      </c>
      <c r="Q19" s="214" t="s">
        <v>158</v>
      </c>
      <c r="R19" s="214" t="s">
        <v>1022</v>
      </c>
      <c r="S19" s="208">
        <v>45974</v>
      </c>
      <c r="T19" s="208" t="s">
        <v>1023</v>
      </c>
      <c r="U19" s="208" t="s">
        <v>1193</v>
      </c>
      <c r="V19" s="265" t="s">
        <v>1185</v>
      </c>
      <c r="W19" s="265" t="s">
        <v>1186</v>
      </c>
      <c r="X19" s="265"/>
      <c r="Y19" s="210">
        <v>45945</v>
      </c>
      <c r="Z19" s="210"/>
      <c r="AA19" s="210"/>
      <c r="AB19" s="210"/>
      <c r="AC19" s="218">
        <v>1</v>
      </c>
      <c r="AD19" s="219"/>
      <c r="AE19" s="210">
        <v>45992</v>
      </c>
      <c r="AF19" s="210"/>
      <c r="AG19" s="210">
        <v>45945</v>
      </c>
      <c r="AH19" s="220">
        <v>1</v>
      </c>
      <c r="AI19" s="220">
        <f t="shared" ca="1" si="4"/>
        <v>1</v>
      </c>
      <c r="AJ19" s="221" t="str">
        <f t="shared" si="5"/>
        <v>Terminada</v>
      </c>
      <c r="AK19" s="207">
        <f t="shared" si="6"/>
        <v>2</v>
      </c>
      <c r="AL19" s="210"/>
      <c r="AM19" s="207" t="s">
        <v>1194</v>
      </c>
      <c r="AN19" s="207" t="s">
        <v>1188</v>
      </c>
      <c r="AO19" s="223"/>
      <c r="AP19" s="223" t="s">
        <v>1200</v>
      </c>
      <c r="AQ19" s="223"/>
      <c r="AR19" s="207"/>
      <c r="AS19" s="207"/>
      <c r="AT19" s="208">
        <v>45989</v>
      </c>
      <c r="AU19" s="207"/>
      <c r="AV19" s="207"/>
      <c r="AW19" s="207"/>
      <c r="AX19" s="207" t="s">
        <v>1195</v>
      </c>
      <c r="AY19" s="207" t="s">
        <v>1189</v>
      </c>
      <c r="AZ19" s="207"/>
      <c r="BA19" s="207"/>
      <c r="BB19" s="207"/>
      <c r="BC19" s="207"/>
      <c r="BD19" s="209"/>
      <c r="BE19" s="207"/>
      <c r="BF19" s="207"/>
      <c r="BG19" s="207"/>
      <c r="BH19" s="207"/>
      <c r="BI19" s="210"/>
    </row>
    <row r="20" spans="1:64" s="193" customFormat="1" ht="40.5" customHeight="1">
      <c r="B20" s="211">
        <v>4</v>
      </c>
      <c r="C20" s="263" t="s">
        <v>1201</v>
      </c>
      <c r="D20" s="212" t="s">
        <v>716</v>
      </c>
      <c r="E20" s="213" t="s">
        <v>1179</v>
      </c>
      <c r="F20" s="264" t="s">
        <v>1202</v>
      </c>
      <c r="G20" s="212" t="s">
        <v>1198</v>
      </c>
      <c r="H20" s="213" t="s">
        <v>1181</v>
      </c>
      <c r="I20" s="213" t="s">
        <v>1182</v>
      </c>
      <c r="J20" s="214" t="s">
        <v>1018</v>
      </c>
      <c r="K20" s="263" t="s">
        <v>1203</v>
      </c>
      <c r="L20" s="214" t="s">
        <v>1018</v>
      </c>
      <c r="M20" s="214" t="s">
        <v>1020</v>
      </c>
      <c r="N20" s="214" t="s">
        <v>158</v>
      </c>
      <c r="O20" s="214" t="s">
        <v>158</v>
      </c>
      <c r="P20" s="214">
        <v>45986</v>
      </c>
      <c r="Q20" s="214" t="s">
        <v>158</v>
      </c>
      <c r="R20" s="214" t="s">
        <v>1022</v>
      </c>
      <c r="S20" s="208">
        <v>45978</v>
      </c>
      <c r="T20" s="208" t="s">
        <v>1023</v>
      </c>
      <c r="U20" s="208" t="s">
        <v>1184</v>
      </c>
      <c r="V20" s="212" t="s">
        <v>1185</v>
      </c>
      <c r="W20" s="212" t="s">
        <v>1186</v>
      </c>
      <c r="X20" s="212"/>
      <c r="Y20" s="210">
        <v>45945</v>
      </c>
      <c r="Z20" s="210"/>
      <c r="AA20" s="210"/>
      <c r="AB20" s="210"/>
      <c r="AC20" s="218">
        <v>1</v>
      </c>
      <c r="AD20" s="219"/>
      <c r="AE20" s="210">
        <v>45992</v>
      </c>
      <c r="AF20" s="210"/>
      <c r="AG20" s="210">
        <v>45945</v>
      </c>
      <c r="AH20" s="220">
        <v>1</v>
      </c>
      <c r="AI20" s="220">
        <f t="shared" ca="1" si="4"/>
        <v>1</v>
      </c>
      <c r="AJ20" s="221" t="str">
        <f t="shared" si="5"/>
        <v>Terminada</v>
      </c>
      <c r="AK20" s="207">
        <f t="shared" si="6"/>
        <v>2</v>
      </c>
      <c r="AL20" s="210"/>
      <c r="AM20" s="207" t="s">
        <v>1187</v>
      </c>
      <c r="AN20" s="207" t="s">
        <v>1188</v>
      </c>
      <c r="AO20" s="223"/>
      <c r="AP20" s="223"/>
      <c r="AQ20" s="223"/>
      <c r="AR20" s="207"/>
      <c r="AS20" s="207"/>
      <c r="AT20" s="208">
        <v>45989</v>
      </c>
      <c r="AU20" s="207"/>
      <c r="AV20" s="207"/>
      <c r="AW20" s="207"/>
      <c r="AX20" s="207"/>
      <c r="AY20" s="207" t="s">
        <v>1189</v>
      </c>
      <c r="AZ20" s="207"/>
      <c r="BA20" s="207"/>
      <c r="BB20" s="207"/>
      <c r="BC20" s="207"/>
      <c r="BD20" s="209"/>
      <c r="BE20" s="207"/>
      <c r="BF20" s="207"/>
      <c r="BG20" s="207"/>
      <c r="BH20" s="207"/>
      <c r="BI20" s="210"/>
    </row>
    <row r="21" spans="1:64" s="193" customFormat="1" ht="40.5" customHeight="1">
      <c r="B21" s="211">
        <v>5</v>
      </c>
      <c r="C21" s="263" t="s">
        <v>1204</v>
      </c>
      <c r="D21" s="212" t="s">
        <v>716</v>
      </c>
      <c r="E21" s="213" t="s">
        <v>1179</v>
      </c>
      <c r="F21" s="264" t="s">
        <v>1205</v>
      </c>
      <c r="G21" s="212" t="s">
        <v>1015</v>
      </c>
      <c r="H21" s="213" t="s">
        <v>1181</v>
      </c>
      <c r="I21" s="213" t="s">
        <v>1182</v>
      </c>
      <c r="J21" s="214">
        <v>45985</v>
      </c>
      <c r="K21" s="263" t="s">
        <v>1206</v>
      </c>
      <c r="L21" s="214" t="s">
        <v>1018</v>
      </c>
      <c r="M21" s="214" t="s">
        <v>1020</v>
      </c>
      <c r="N21" s="214" t="s">
        <v>158</v>
      </c>
      <c r="O21" s="214" t="s">
        <v>158</v>
      </c>
      <c r="P21" s="214">
        <v>45986</v>
      </c>
      <c r="Q21" s="214" t="s">
        <v>158</v>
      </c>
      <c r="R21" s="214" t="s">
        <v>1022</v>
      </c>
      <c r="S21" s="208">
        <v>45978</v>
      </c>
      <c r="T21" s="208" t="s">
        <v>1023</v>
      </c>
      <c r="U21" s="208" t="s">
        <v>1207</v>
      </c>
      <c r="V21" s="212" t="s">
        <v>1185</v>
      </c>
      <c r="W21" s="212"/>
      <c r="X21" s="212"/>
      <c r="Y21" s="210">
        <v>45945</v>
      </c>
      <c r="Z21" s="210"/>
      <c r="AA21" s="210"/>
      <c r="AB21" s="210"/>
      <c r="AC21" s="218">
        <v>1</v>
      </c>
      <c r="AD21" s="219"/>
      <c r="AE21" s="210">
        <v>45992</v>
      </c>
      <c r="AF21" s="210"/>
      <c r="AG21" s="210">
        <v>45945</v>
      </c>
      <c r="AH21" s="220">
        <v>1</v>
      </c>
      <c r="AI21" s="220">
        <f t="shared" ca="1" si="4"/>
        <v>1</v>
      </c>
      <c r="AJ21" s="221" t="str">
        <f t="shared" si="5"/>
        <v>Terminada</v>
      </c>
      <c r="AK21" s="207">
        <f t="shared" si="6"/>
        <v>2</v>
      </c>
      <c r="AL21" s="210"/>
      <c r="AM21" s="207" t="s">
        <v>1208</v>
      </c>
      <c r="AN21" s="207" t="s">
        <v>1188</v>
      </c>
      <c r="AO21" s="223"/>
      <c r="AP21" s="223"/>
      <c r="AQ21" s="223"/>
      <c r="AR21" s="207"/>
      <c r="AS21" s="207"/>
      <c r="AT21" s="208">
        <v>45989</v>
      </c>
      <c r="AU21" s="207"/>
      <c r="AV21" s="207"/>
      <c r="AW21" s="207"/>
      <c r="AX21" s="207" t="s">
        <v>1195</v>
      </c>
      <c r="AY21" s="207" t="s">
        <v>1189</v>
      </c>
      <c r="AZ21" s="207"/>
      <c r="BA21" s="207"/>
      <c r="BB21" s="207"/>
      <c r="BC21" s="207"/>
      <c r="BD21" s="209"/>
      <c r="BE21" s="207"/>
      <c r="BF21" s="207"/>
      <c r="BG21" s="207"/>
      <c r="BH21" s="207"/>
      <c r="BI21" s="210" t="s">
        <v>1202</v>
      </c>
      <c r="BJ21" s="193" t="s">
        <v>1209</v>
      </c>
      <c r="BK21" s="193" t="s">
        <v>396</v>
      </c>
      <c r="BL21" s="193">
        <v>0.6875</v>
      </c>
    </row>
    <row r="22" spans="1:64" s="193" customFormat="1" ht="40.5" customHeight="1">
      <c r="B22" s="211">
        <v>6</v>
      </c>
      <c r="C22" s="263" t="s">
        <v>1210</v>
      </c>
      <c r="D22" s="212" t="s">
        <v>716</v>
      </c>
      <c r="E22" s="213" t="s">
        <v>1179</v>
      </c>
      <c r="F22" s="264" t="s">
        <v>1211</v>
      </c>
      <c r="G22" s="212" t="s">
        <v>1015</v>
      </c>
      <c r="H22" s="213" t="s">
        <v>1181</v>
      </c>
      <c r="I22" s="213" t="s">
        <v>1182</v>
      </c>
      <c r="J22" s="214">
        <v>45985</v>
      </c>
      <c r="K22" s="263" t="s">
        <v>1212</v>
      </c>
      <c r="L22" s="214" t="s">
        <v>1018</v>
      </c>
      <c r="M22" s="214" t="s">
        <v>1020</v>
      </c>
      <c r="N22" s="214" t="s">
        <v>158</v>
      </c>
      <c r="O22" s="214" t="s">
        <v>158</v>
      </c>
      <c r="P22" s="214">
        <v>45986</v>
      </c>
      <c r="Q22" s="214" t="s">
        <v>158</v>
      </c>
      <c r="R22" s="214" t="s">
        <v>1022</v>
      </c>
      <c r="S22" s="208">
        <v>45978</v>
      </c>
      <c r="T22" s="208" t="s">
        <v>1023</v>
      </c>
      <c r="U22" s="208" t="s">
        <v>1193</v>
      </c>
      <c r="V22" s="212" t="s">
        <v>1185</v>
      </c>
      <c r="W22" s="212"/>
      <c r="X22" s="212"/>
      <c r="Y22" s="210">
        <v>45945</v>
      </c>
      <c r="Z22" s="210"/>
      <c r="AA22" s="210"/>
      <c r="AB22" s="210"/>
      <c r="AC22" s="218">
        <v>1</v>
      </c>
      <c r="AD22" s="219"/>
      <c r="AE22" s="210">
        <v>45992</v>
      </c>
      <c r="AF22" s="210"/>
      <c r="AG22" s="210">
        <v>45945</v>
      </c>
      <c r="AH22" s="220">
        <v>1</v>
      </c>
      <c r="AI22" s="220">
        <f t="shared" ca="1" si="4"/>
        <v>1</v>
      </c>
      <c r="AJ22" s="221" t="str">
        <f t="shared" si="5"/>
        <v>Terminada</v>
      </c>
      <c r="AK22" s="207">
        <f t="shared" si="6"/>
        <v>2</v>
      </c>
      <c r="AL22" s="210"/>
      <c r="AM22" s="207" t="s">
        <v>1208</v>
      </c>
      <c r="AN22" s="207" t="s">
        <v>1188</v>
      </c>
      <c r="AO22" s="223"/>
      <c r="AP22" s="223"/>
      <c r="AQ22" s="223"/>
      <c r="AR22" s="207"/>
      <c r="AS22" s="207"/>
      <c r="AT22" s="208">
        <v>45989</v>
      </c>
      <c r="AU22" s="207">
        <v>1843081</v>
      </c>
      <c r="AV22" s="207"/>
      <c r="AW22" s="207"/>
      <c r="AX22" s="207" t="s">
        <v>1195</v>
      </c>
      <c r="AY22" s="207" t="s">
        <v>1189</v>
      </c>
      <c r="AZ22" s="207"/>
      <c r="BA22" s="207"/>
      <c r="BB22" s="207"/>
      <c r="BC22" s="207"/>
      <c r="BD22" s="209"/>
      <c r="BE22" s="207"/>
      <c r="BF22" s="207"/>
      <c r="BG22" s="207"/>
      <c r="BH22" s="207"/>
      <c r="BI22" s="210" t="s">
        <v>1180</v>
      </c>
      <c r="BJ22" s="193" t="s">
        <v>1209</v>
      </c>
      <c r="BK22" s="193" t="s">
        <v>1213</v>
      </c>
      <c r="BL22" s="193">
        <v>0.6875</v>
      </c>
    </row>
    <row r="23" spans="1:64" s="193" customFormat="1" ht="40.5" customHeight="1">
      <c r="B23" s="211">
        <v>7</v>
      </c>
      <c r="C23" s="263" t="s">
        <v>1214</v>
      </c>
      <c r="D23" s="212" t="s">
        <v>716</v>
      </c>
      <c r="E23" s="213" t="s">
        <v>1215</v>
      </c>
      <c r="F23" s="264" t="s">
        <v>1216</v>
      </c>
      <c r="G23" s="212" t="s">
        <v>1084</v>
      </c>
      <c r="H23" s="213" t="s">
        <v>1181</v>
      </c>
      <c r="I23" s="213" t="s">
        <v>158</v>
      </c>
      <c r="J23" s="214" t="s">
        <v>1018</v>
      </c>
      <c r="K23" s="263" t="s">
        <v>1217</v>
      </c>
      <c r="L23" s="214" t="s">
        <v>1018</v>
      </c>
      <c r="M23" s="214" t="s">
        <v>1020</v>
      </c>
      <c r="N23" s="214" t="s">
        <v>158</v>
      </c>
      <c r="O23" s="214" t="s">
        <v>158</v>
      </c>
      <c r="P23" s="214">
        <v>45986</v>
      </c>
      <c r="Q23" s="214" t="s">
        <v>158</v>
      </c>
      <c r="R23" s="214" t="s">
        <v>828</v>
      </c>
      <c r="S23" s="208">
        <v>45978</v>
      </c>
      <c r="T23" s="208" t="s">
        <v>1023</v>
      </c>
      <c r="U23" s="208" t="s">
        <v>1218</v>
      </c>
      <c r="V23" s="212" t="s">
        <v>1219</v>
      </c>
      <c r="W23" s="212"/>
      <c r="X23" s="212"/>
      <c r="Y23" s="210">
        <v>45945</v>
      </c>
      <c r="Z23" s="210"/>
      <c r="AA23" s="210"/>
      <c r="AB23" s="210"/>
      <c r="AC23" s="218">
        <v>1</v>
      </c>
      <c r="AD23" s="219"/>
      <c r="AE23" s="210">
        <v>45992</v>
      </c>
      <c r="AF23" s="210"/>
      <c r="AG23" s="210">
        <v>45945</v>
      </c>
      <c r="AH23" s="220">
        <v>1</v>
      </c>
      <c r="AI23" s="220">
        <f t="shared" ca="1" si="4"/>
        <v>1</v>
      </c>
      <c r="AJ23" s="221" t="str">
        <f t="shared" si="5"/>
        <v>Terminada</v>
      </c>
      <c r="AK23" s="207">
        <f t="shared" si="6"/>
        <v>2</v>
      </c>
      <c r="AL23" s="210"/>
      <c r="AM23" s="207" t="s">
        <v>1220</v>
      </c>
      <c r="AN23" s="207" t="s">
        <v>1188</v>
      </c>
      <c r="AO23" s="223"/>
      <c r="AP23" s="223"/>
      <c r="AQ23" s="223"/>
      <c r="AR23" s="207"/>
      <c r="AS23" s="207"/>
      <c r="AT23" s="208">
        <v>45993</v>
      </c>
      <c r="AU23" s="207"/>
      <c r="AV23" s="207"/>
      <c r="AW23" s="207"/>
      <c r="AX23" s="207"/>
      <c r="AY23" s="207" t="s">
        <v>1221</v>
      </c>
      <c r="AZ23" s="207"/>
      <c r="BA23" s="207"/>
      <c r="BB23" s="207"/>
      <c r="BC23" s="207"/>
      <c r="BD23" s="209"/>
      <c r="BE23" s="207"/>
      <c r="BF23" s="207"/>
      <c r="BG23" s="207"/>
      <c r="BH23" s="207"/>
      <c r="BI23" s="210" t="s">
        <v>156</v>
      </c>
      <c r="BJ23" s="267" t="s">
        <v>1209</v>
      </c>
      <c r="BK23" s="267" t="s">
        <v>1222</v>
      </c>
      <c r="BL23" s="268">
        <v>0.66666666666666663</v>
      </c>
    </row>
    <row r="24" spans="1:64" s="193" customFormat="1" ht="40.5" customHeight="1">
      <c r="B24" s="211">
        <v>8</v>
      </c>
      <c r="C24" s="263" t="s">
        <v>1223</v>
      </c>
      <c r="D24" s="212" t="s">
        <v>716</v>
      </c>
      <c r="E24" s="213" t="s">
        <v>1215</v>
      </c>
      <c r="F24" s="264" t="s">
        <v>1224</v>
      </c>
      <c r="G24" s="212" t="s">
        <v>1198</v>
      </c>
      <c r="H24" s="213" t="s">
        <v>1181</v>
      </c>
      <c r="I24" s="213" t="s">
        <v>158</v>
      </c>
      <c r="J24" s="214" t="s">
        <v>1018</v>
      </c>
      <c r="K24" s="263" t="s">
        <v>1225</v>
      </c>
      <c r="L24" s="214" t="s">
        <v>1018</v>
      </c>
      <c r="M24" s="214" t="s">
        <v>1020</v>
      </c>
      <c r="N24" s="214" t="s">
        <v>158</v>
      </c>
      <c r="O24" s="214" t="s">
        <v>158</v>
      </c>
      <c r="P24" s="214">
        <v>45986</v>
      </c>
      <c r="Q24" s="214" t="s">
        <v>158</v>
      </c>
      <c r="R24" s="214" t="s">
        <v>1022</v>
      </c>
      <c r="S24" s="208">
        <v>45978</v>
      </c>
      <c r="T24" s="208" t="s">
        <v>1023</v>
      </c>
      <c r="U24" s="208" t="s">
        <v>1218</v>
      </c>
      <c r="V24" s="212" t="s">
        <v>1219</v>
      </c>
      <c r="W24" s="212"/>
      <c r="X24" s="212" t="s">
        <v>1186</v>
      </c>
      <c r="Y24" s="210">
        <v>45945</v>
      </c>
      <c r="Z24" s="210"/>
      <c r="AA24" s="210"/>
      <c r="AB24" s="210"/>
      <c r="AC24" s="218">
        <v>1</v>
      </c>
      <c r="AD24" s="219"/>
      <c r="AE24" s="210">
        <v>45992</v>
      </c>
      <c r="AF24" s="210"/>
      <c r="AG24" s="210">
        <v>45945</v>
      </c>
      <c r="AH24" s="220">
        <v>1</v>
      </c>
      <c r="AI24" s="220">
        <f t="shared" ca="1" si="4"/>
        <v>1</v>
      </c>
      <c r="AJ24" s="221" t="str">
        <f t="shared" si="5"/>
        <v>Terminada</v>
      </c>
      <c r="AK24" s="207">
        <f t="shared" si="6"/>
        <v>2</v>
      </c>
      <c r="AL24" s="210"/>
      <c r="AM24" s="207" t="s">
        <v>1220</v>
      </c>
      <c r="AN24" s="207" t="s">
        <v>1188</v>
      </c>
      <c r="AO24" s="223"/>
      <c r="AP24" s="223"/>
      <c r="AQ24" s="223"/>
      <c r="AR24" s="207"/>
      <c r="AS24" s="207"/>
      <c r="AT24" s="208">
        <v>45989</v>
      </c>
      <c r="AU24" s="207"/>
      <c r="AV24" s="207"/>
      <c r="AW24" s="207"/>
      <c r="AX24" s="207"/>
      <c r="AY24" s="207" t="s">
        <v>1221</v>
      </c>
      <c r="AZ24" s="207"/>
      <c r="BA24" s="207"/>
      <c r="BB24" s="207"/>
      <c r="BC24" s="207"/>
      <c r="BD24" s="209"/>
      <c r="BE24" s="207"/>
      <c r="BF24" s="207"/>
      <c r="BG24" s="207"/>
      <c r="BH24" s="207"/>
      <c r="BI24" s="210"/>
    </row>
    <row r="25" spans="1:64" s="273" customFormat="1" ht="40.5" customHeight="1">
      <c r="A25" s="193"/>
      <c r="B25" s="211">
        <v>9</v>
      </c>
      <c r="C25" s="263" t="s">
        <v>1226</v>
      </c>
      <c r="D25" s="212" t="s">
        <v>716</v>
      </c>
      <c r="E25" s="213" t="s">
        <v>1215</v>
      </c>
      <c r="F25" s="264" t="s">
        <v>1227</v>
      </c>
      <c r="G25" s="212" t="s">
        <v>1198</v>
      </c>
      <c r="H25" s="213" t="s">
        <v>1181</v>
      </c>
      <c r="I25" s="213" t="s">
        <v>158</v>
      </c>
      <c r="J25" s="214" t="s">
        <v>1018</v>
      </c>
      <c r="K25" s="264" t="s">
        <v>1228</v>
      </c>
      <c r="L25" s="214" t="s">
        <v>1018</v>
      </c>
      <c r="M25" s="214" t="s">
        <v>1020</v>
      </c>
      <c r="N25" s="214" t="s">
        <v>158</v>
      </c>
      <c r="O25" s="214" t="s">
        <v>158</v>
      </c>
      <c r="P25" s="214">
        <v>45986</v>
      </c>
      <c r="Q25" s="214" t="s">
        <v>158</v>
      </c>
      <c r="R25" s="214" t="s">
        <v>1022</v>
      </c>
      <c r="S25" s="208">
        <v>45978</v>
      </c>
      <c r="T25" s="208" t="s">
        <v>1023</v>
      </c>
      <c r="U25" s="208" t="s">
        <v>1218</v>
      </c>
      <c r="V25" s="212" t="s">
        <v>1219</v>
      </c>
      <c r="W25" s="212"/>
      <c r="X25" s="212"/>
      <c r="Y25" s="214">
        <v>45945</v>
      </c>
      <c r="Z25" s="214"/>
      <c r="AA25" s="214"/>
      <c r="AB25" s="214"/>
      <c r="AC25" s="269">
        <v>1</v>
      </c>
      <c r="AD25" s="213"/>
      <c r="AE25" s="214">
        <v>45992</v>
      </c>
      <c r="AF25" s="214"/>
      <c r="AG25" s="214">
        <v>45945</v>
      </c>
      <c r="AH25" s="270">
        <v>1</v>
      </c>
      <c r="AI25" s="270">
        <f t="shared" ca="1" si="4"/>
        <v>1</v>
      </c>
      <c r="AJ25" s="271" t="str">
        <f t="shared" si="5"/>
        <v>Terminada</v>
      </c>
      <c r="AK25" s="272">
        <f t="shared" si="6"/>
        <v>2</v>
      </c>
      <c r="AL25" s="214"/>
      <c r="AM25" s="207" t="s">
        <v>1220</v>
      </c>
      <c r="AN25" s="207" t="s">
        <v>1229</v>
      </c>
      <c r="AO25" s="223"/>
      <c r="AP25" s="223"/>
      <c r="AQ25" s="223"/>
      <c r="AR25" s="207"/>
      <c r="AS25" s="207"/>
      <c r="AT25" s="208">
        <v>45989</v>
      </c>
      <c r="AU25" s="272"/>
      <c r="AV25" s="272"/>
      <c r="AW25" s="272"/>
      <c r="AX25" s="272"/>
      <c r="AY25" s="272" t="s">
        <v>1221</v>
      </c>
      <c r="AZ25" s="272"/>
      <c r="BA25" s="272"/>
      <c r="BB25" s="272"/>
      <c r="BC25" s="272"/>
      <c r="BD25" s="191"/>
      <c r="BE25" s="272"/>
      <c r="BF25" s="272"/>
      <c r="BG25" s="272"/>
      <c r="BH25" s="272"/>
      <c r="BI25" s="210"/>
    </row>
    <row r="26" spans="1:64" s="273" customFormat="1" ht="40.5" customHeight="1">
      <c r="A26" s="193"/>
      <c r="B26" s="211">
        <v>10</v>
      </c>
      <c r="C26" s="263" t="s">
        <v>1230</v>
      </c>
      <c r="D26" s="212" t="s">
        <v>716</v>
      </c>
      <c r="E26" s="213" t="s">
        <v>1215</v>
      </c>
      <c r="F26" s="264" t="s">
        <v>1231</v>
      </c>
      <c r="G26" s="212" t="s">
        <v>1084</v>
      </c>
      <c r="H26" s="213" t="s">
        <v>1181</v>
      </c>
      <c r="I26" s="213" t="s">
        <v>158</v>
      </c>
      <c r="J26" s="214" t="s">
        <v>1018</v>
      </c>
      <c r="K26" s="263" t="s">
        <v>1232</v>
      </c>
      <c r="L26" s="214" t="s">
        <v>1018</v>
      </c>
      <c r="M26" s="214" t="s">
        <v>1020</v>
      </c>
      <c r="N26" s="214" t="s">
        <v>158</v>
      </c>
      <c r="O26" s="214" t="s">
        <v>158</v>
      </c>
      <c r="P26" s="214">
        <v>45986</v>
      </c>
      <c r="Q26" s="214" t="s">
        <v>158</v>
      </c>
      <c r="R26" s="214" t="s">
        <v>828</v>
      </c>
      <c r="S26" s="208" t="s">
        <v>1233</v>
      </c>
      <c r="T26" s="208" t="s">
        <v>1023</v>
      </c>
      <c r="U26" s="208" t="s">
        <v>1234</v>
      </c>
      <c r="V26" s="265" t="s">
        <v>1219</v>
      </c>
      <c r="W26" s="212" t="s">
        <v>1186</v>
      </c>
      <c r="X26" s="212" t="s">
        <v>1186</v>
      </c>
      <c r="Y26" s="214">
        <v>45945</v>
      </c>
      <c r="Z26" s="214"/>
      <c r="AA26" s="214"/>
      <c r="AB26" s="214"/>
      <c r="AC26" s="269">
        <v>1</v>
      </c>
      <c r="AD26" s="213"/>
      <c r="AE26" s="214">
        <v>45992</v>
      </c>
      <c r="AF26" s="214"/>
      <c r="AG26" s="214">
        <v>45945</v>
      </c>
      <c r="AH26" s="270">
        <v>1</v>
      </c>
      <c r="AI26" s="270">
        <f t="shared" ca="1" si="4"/>
        <v>1</v>
      </c>
      <c r="AJ26" s="271" t="str">
        <f t="shared" si="5"/>
        <v>Terminada</v>
      </c>
      <c r="AK26" s="272">
        <f t="shared" si="6"/>
        <v>2</v>
      </c>
      <c r="AL26" s="214"/>
      <c r="AM26" s="272" t="s">
        <v>1235</v>
      </c>
      <c r="AN26" s="207" t="s">
        <v>1236</v>
      </c>
      <c r="AO26" s="223"/>
      <c r="AP26" s="223"/>
      <c r="AQ26" s="223"/>
      <c r="AR26" s="207"/>
      <c r="AS26" s="207" t="s">
        <v>1237</v>
      </c>
      <c r="AT26" s="208">
        <v>46002</v>
      </c>
      <c r="AU26" s="272"/>
      <c r="AV26" s="272"/>
      <c r="AW26" s="272"/>
      <c r="AX26" s="272"/>
      <c r="AY26" s="272" t="s">
        <v>1221</v>
      </c>
      <c r="AZ26" s="272"/>
      <c r="BA26" s="272"/>
      <c r="BB26" s="272"/>
      <c r="BC26" s="272"/>
      <c r="BD26" s="191"/>
      <c r="BE26" s="272"/>
      <c r="BF26" s="272"/>
      <c r="BG26" s="272"/>
      <c r="BH26" s="272"/>
      <c r="BI26" s="210"/>
      <c r="BL26" s="274"/>
    </row>
    <row r="27" spans="1:64" s="273" customFormat="1" ht="40.5" customHeight="1">
      <c r="A27" s="193"/>
      <c r="B27" s="211">
        <v>11</v>
      </c>
      <c r="C27" s="263" t="s">
        <v>1238</v>
      </c>
      <c r="D27" s="212" t="s">
        <v>716</v>
      </c>
      <c r="E27" s="213" t="s">
        <v>1215</v>
      </c>
      <c r="F27" s="264" t="s">
        <v>1239</v>
      </c>
      <c r="G27" s="212" t="s">
        <v>1084</v>
      </c>
      <c r="H27" s="213" t="s">
        <v>1181</v>
      </c>
      <c r="I27" s="213" t="s">
        <v>158</v>
      </c>
      <c r="J27" s="214" t="s">
        <v>1018</v>
      </c>
      <c r="K27" s="263" t="s">
        <v>1240</v>
      </c>
      <c r="L27" s="214" t="s">
        <v>1018</v>
      </c>
      <c r="M27" s="214" t="s">
        <v>1020</v>
      </c>
      <c r="N27" s="214" t="s">
        <v>158</v>
      </c>
      <c r="O27" s="214" t="s">
        <v>158</v>
      </c>
      <c r="P27" s="214">
        <v>45986</v>
      </c>
      <c r="Q27" s="214" t="s">
        <v>158</v>
      </c>
      <c r="R27" s="214" t="s">
        <v>828</v>
      </c>
      <c r="S27" s="208">
        <v>45978</v>
      </c>
      <c r="T27" s="208" t="s">
        <v>1023</v>
      </c>
      <c r="U27" s="208" t="s">
        <v>1241</v>
      </c>
      <c r="V27" s="275" t="s">
        <v>1219</v>
      </c>
      <c r="W27" s="212" t="s">
        <v>1186</v>
      </c>
      <c r="X27" s="212" t="s">
        <v>1186</v>
      </c>
      <c r="Y27" s="214">
        <v>45945</v>
      </c>
      <c r="Z27" s="214"/>
      <c r="AA27" s="214"/>
      <c r="AB27" s="214"/>
      <c r="AC27" s="269">
        <v>1</v>
      </c>
      <c r="AD27" s="213"/>
      <c r="AE27" s="214">
        <v>45992</v>
      </c>
      <c r="AF27" s="214"/>
      <c r="AG27" s="214">
        <v>45945</v>
      </c>
      <c r="AH27" s="270">
        <v>1</v>
      </c>
      <c r="AI27" s="270">
        <f t="shared" ca="1" si="4"/>
        <v>1</v>
      </c>
      <c r="AJ27" s="271" t="str">
        <f t="shared" si="5"/>
        <v>Terminada</v>
      </c>
      <c r="AK27" s="272">
        <f t="shared" si="6"/>
        <v>2</v>
      </c>
      <c r="AL27" s="214"/>
      <c r="AM27" s="272" t="s">
        <v>1242</v>
      </c>
      <c r="AN27" s="207" t="s">
        <v>1188</v>
      </c>
      <c r="AO27" s="223"/>
      <c r="AP27" s="223"/>
      <c r="AQ27" s="223"/>
      <c r="AR27" s="207"/>
      <c r="AS27" s="207" t="s">
        <v>1243</v>
      </c>
      <c r="AT27" s="208">
        <v>45993</v>
      </c>
      <c r="AU27" s="272"/>
      <c r="AV27" s="272"/>
      <c r="AW27" s="272"/>
      <c r="AX27" s="272"/>
      <c r="AY27" s="272"/>
      <c r="AZ27" s="272"/>
      <c r="BA27" s="272"/>
      <c r="BB27" s="272"/>
      <c r="BC27" s="272"/>
      <c r="BD27" s="191"/>
      <c r="BE27" s="272"/>
      <c r="BF27" s="272"/>
      <c r="BG27" s="272"/>
      <c r="BH27" s="272"/>
      <c r="BI27" s="210" t="s">
        <v>1231</v>
      </c>
      <c r="BJ27" s="267" t="s">
        <v>1209</v>
      </c>
      <c r="BK27" s="267" t="s">
        <v>1244</v>
      </c>
      <c r="BL27" s="268">
        <v>0.70833333333333337</v>
      </c>
    </row>
    <row r="28" spans="1:64" s="273" customFormat="1" ht="40.5" customHeight="1">
      <c r="A28" s="193"/>
      <c r="B28" s="211">
        <v>12</v>
      </c>
      <c r="C28" s="263" t="s">
        <v>1245</v>
      </c>
      <c r="D28" s="212" t="s">
        <v>716</v>
      </c>
      <c r="E28" s="213" t="s">
        <v>1215</v>
      </c>
      <c r="F28" s="264" t="s">
        <v>1246</v>
      </c>
      <c r="G28" s="212" t="s">
        <v>1099</v>
      </c>
      <c r="H28" s="213" t="s">
        <v>1181</v>
      </c>
      <c r="I28" s="213" t="s">
        <v>158</v>
      </c>
      <c r="J28" s="214" t="s">
        <v>1018</v>
      </c>
      <c r="K28" s="264" t="s">
        <v>1247</v>
      </c>
      <c r="L28" s="214" t="s">
        <v>1018</v>
      </c>
      <c r="M28" s="214" t="s">
        <v>1020</v>
      </c>
      <c r="N28" s="214" t="s">
        <v>158</v>
      </c>
      <c r="O28" s="214" t="s">
        <v>158</v>
      </c>
      <c r="P28" s="214">
        <v>45986</v>
      </c>
      <c r="Q28" s="214" t="s">
        <v>158</v>
      </c>
      <c r="R28" s="214" t="s">
        <v>1022</v>
      </c>
      <c r="S28" s="208">
        <v>45978</v>
      </c>
      <c r="T28" s="208" t="s">
        <v>1023</v>
      </c>
      <c r="U28" s="208" t="s">
        <v>1218</v>
      </c>
      <c r="V28" s="212" t="s">
        <v>1219</v>
      </c>
      <c r="W28" s="212" t="s">
        <v>1186</v>
      </c>
      <c r="X28" s="212" t="s">
        <v>1186</v>
      </c>
      <c r="Y28" s="214">
        <v>45945</v>
      </c>
      <c r="Z28" s="214"/>
      <c r="AA28" s="214"/>
      <c r="AB28" s="214"/>
      <c r="AC28" s="269">
        <v>1</v>
      </c>
      <c r="AD28" s="213"/>
      <c r="AE28" s="214">
        <v>45992</v>
      </c>
      <c r="AF28" s="214"/>
      <c r="AG28" s="214">
        <v>45945</v>
      </c>
      <c r="AH28" s="270">
        <v>1</v>
      </c>
      <c r="AI28" s="270">
        <f t="shared" ca="1" si="4"/>
        <v>1</v>
      </c>
      <c r="AJ28" s="271" t="str">
        <f t="shared" si="5"/>
        <v>Terminada</v>
      </c>
      <c r="AK28" s="272">
        <f t="shared" si="6"/>
        <v>2</v>
      </c>
      <c r="AL28" s="214"/>
      <c r="AM28" s="207" t="s">
        <v>1220</v>
      </c>
      <c r="AN28" s="207" t="s">
        <v>1188</v>
      </c>
      <c r="AO28" s="223"/>
      <c r="AP28" s="223"/>
      <c r="AQ28" s="223"/>
      <c r="AR28" s="207"/>
      <c r="AS28" s="207"/>
      <c r="AT28" s="208">
        <v>45993</v>
      </c>
      <c r="AU28" s="272"/>
      <c r="AV28" s="272"/>
      <c r="AW28" s="272"/>
      <c r="AX28" s="272"/>
      <c r="AY28" s="272"/>
      <c r="AZ28" s="272"/>
      <c r="BA28" s="272"/>
      <c r="BB28" s="272"/>
      <c r="BC28" s="272"/>
      <c r="BD28" s="191"/>
      <c r="BE28" s="272"/>
      <c r="BF28" s="272"/>
      <c r="BG28" s="272"/>
      <c r="BH28" s="272"/>
      <c r="BI28" s="210"/>
    </row>
    <row r="29" spans="1:64" s="273" customFormat="1" ht="40.5" customHeight="1">
      <c r="A29" s="193"/>
      <c r="B29" s="211">
        <v>13</v>
      </c>
      <c r="C29" s="263" t="s">
        <v>1248</v>
      </c>
      <c r="D29" s="212" t="s">
        <v>716</v>
      </c>
      <c r="E29" s="213" t="s">
        <v>1215</v>
      </c>
      <c r="F29" s="264" t="s">
        <v>1249</v>
      </c>
      <c r="G29" s="212" t="s">
        <v>1099</v>
      </c>
      <c r="H29" s="213" t="s">
        <v>1181</v>
      </c>
      <c r="I29" s="213" t="s">
        <v>158</v>
      </c>
      <c r="J29" s="214" t="s">
        <v>1018</v>
      </c>
      <c r="K29" s="264" t="s">
        <v>1250</v>
      </c>
      <c r="L29" s="214" t="s">
        <v>1018</v>
      </c>
      <c r="M29" s="214" t="s">
        <v>1020</v>
      </c>
      <c r="N29" s="214" t="s">
        <v>158</v>
      </c>
      <c r="O29" s="214" t="s">
        <v>158</v>
      </c>
      <c r="P29" s="214">
        <v>45986</v>
      </c>
      <c r="Q29" s="214" t="s">
        <v>158</v>
      </c>
      <c r="R29" s="214" t="s">
        <v>1022</v>
      </c>
      <c r="S29" s="208">
        <v>45978</v>
      </c>
      <c r="T29" s="208" t="s">
        <v>1023</v>
      </c>
      <c r="U29" s="208" t="s">
        <v>1218</v>
      </c>
      <c r="V29" s="212" t="s">
        <v>1219</v>
      </c>
      <c r="W29" s="212" t="s">
        <v>1186</v>
      </c>
      <c r="X29" s="212" t="s">
        <v>1186</v>
      </c>
      <c r="Y29" s="214">
        <v>45945</v>
      </c>
      <c r="Z29" s="214"/>
      <c r="AA29" s="214"/>
      <c r="AB29" s="214"/>
      <c r="AC29" s="269">
        <v>1</v>
      </c>
      <c r="AD29" s="213"/>
      <c r="AE29" s="214">
        <v>45992</v>
      </c>
      <c r="AF29" s="214"/>
      <c r="AG29" s="214">
        <v>45945</v>
      </c>
      <c r="AH29" s="270">
        <v>1</v>
      </c>
      <c r="AI29" s="270">
        <f t="shared" ca="1" si="4"/>
        <v>1</v>
      </c>
      <c r="AJ29" s="271" t="str">
        <f t="shared" si="5"/>
        <v>Terminada</v>
      </c>
      <c r="AK29" s="272">
        <f t="shared" si="6"/>
        <v>2</v>
      </c>
      <c r="AL29" s="214"/>
      <c r="AM29" s="207" t="s">
        <v>1220</v>
      </c>
      <c r="AN29" s="207" t="s">
        <v>1188</v>
      </c>
      <c r="AO29" s="223"/>
      <c r="AP29" s="223"/>
      <c r="AQ29" s="223"/>
      <c r="AR29" s="207"/>
      <c r="AS29" s="207"/>
      <c r="AT29" s="208">
        <v>45993</v>
      </c>
      <c r="AU29" s="272"/>
      <c r="AV29" s="272"/>
      <c r="AW29" s="272"/>
      <c r="AX29" s="272"/>
      <c r="AY29" s="272"/>
      <c r="AZ29" s="272"/>
      <c r="BA29" s="272"/>
      <c r="BB29" s="272"/>
      <c r="BC29" s="272"/>
      <c r="BD29" s="191"/>
      <c r="BE29" s="272"/>
      <c r="BF29" s="272"/>
      <c r="BG29" s="272"/>
      <c r="BH29" s="272"/>
      <c r="BI29" s="210"/>
    </row>
    <row r="30" spans="1:64" s="273" customFormat="1" ht="40.5" customHeight="1">
      <c r="A30" s="193"/>
      <c r="B30" s="211">
        <v>14</v>
      </c>
      <c r="C30" s="263" t="s">
        <v>1251</v>
      </c>
      <c r="D30" s="212" t="s">
        <v>716</v>
      </c>
      <c r="E30" s="213" t="s">
        <v>1215</v>
      </c>
      <c r="F30" s="264" t="s">
        <v>1252</v>
      </c>
      <c r="G30" s="212" t="s">
        <v>1253</v>
      </c>
      <c r="H30" s="213" t="s">
        <v>1181</v>
      </c>
      <c r="I30" s="213" t="s">
        <v>158</v>
      </c>
      <c r="J30" s="214" t="s">
        <v>158</v>
      </c>
      <c r="K30" s="276" t="s">
        <v>1254</v>
      </c>
      <c r="L30" s="214" t="s">
        <v>1018</v>
      </c>
      <c r="M30" s="214" t="s">
        <v>1020</v>
      </c>
      <c r="N30" s="214" t="s">
        <v>158</v>
      </c>
      <c r="O30" s="214" t="s">
        <v>158</v>
      </c>
      <c r="P30" s="214">
        <v>45986</v>
      </c>
      <c r="Q30" s="214" t="s">
        <v>158</v>
      </c>
      <c r="R30" s="214" t="s">
        <v>1022</v>
      </c>
      <c r="S30" s="208">
        <v>45978</v>
      </c>
      <c r="T30" s="208" t="s">
        <v>1023</v>
      </c>
      <c r="U30" s="208" t="s">
        <v>1218</v>
      </c>
      <c r="V30" s="212" t="s">
        <v>1255</v>
      </c>
      <c r="W30" s="212"/>
      <c r="X30" s="212"/>
      <c r="Y30" s="214">
        <v>45945</v>
      </c>
      <c r="Z30" s="214">
        <v>45945</v>
      </c>
      <c r="AA30" s="214"/>
      <c r="AB30" s="214"/>
      <c r="AC30" s="269">
        <v>1</v>
      </c>
      <c r="AD30" s="213">
        <f>IF(AJ30="Terminada",0,+Y30-$AT$1)</f>
        <v>0</v>
      </c>
      <c r="AE30" s="214">
        <v>45992</v>
      </c>
      <c r="AF30" s="214">
        <v>45945</v>
      </c>
      <c r="AG30" s="214">
        <v>45945</v>
      </c>
      <c r="AH30" s="270">
        <v>1</v>
      </c>
      <c r="AI30" s="270">
        <f t="shared" ca="1" si="4"/>
        <v>1</v>
      </c>
      <c r="AJ30" s="271" t="str">
        <f t="shared" si="5"/>
        <v>Terminada</v>
      </c>
      <c r="AK30" s="272">
        <f t="shared" si="6"/>
        <v>2</v>
      </c>
      <c r="AL30" s="214"/>
      <c r="AM30" s="272" t="s">
        <v>1026</v>
      </c>
      <c r="AN30" s="207" t="s">
        <v>1188</v>
      </c>
      <c r="AO30" s="223"/>
      <c r="AP30" s="223"/>
      <c r="AQ30" s="223"/>
      <c r="AR30" s="207"/>
      <c r="AS30" s="207"/>
      <c r="AT30" s="208">
        <v>45993</v>
      </c>
      <c r="AU30" s="272" t="s">
        <v>1256</v>
      </c>
      <c r="AV30" s="272"/>
      <c r="AW30" s="272"/>
      <c r="AX30" s="272"/>
      <c r="AY30" s="272"/>
      <c r="AZ30" s="272"/>
      <c r="BA30" s="272"/>
      <c r="BB30" s="272"/>
      <c r="BC30" s="272"/>
      <c r="BD30" s="191"/>
      <c r="BE30" s="272"/>
      <c r="BF30" s="272"/>
      <c r="BG30" s="272"/>
      <c r="BH30" s="272"/>
      <c r="BI30" s="210"/>
    </row>
    <row r="31" spans="1:64" s="273" customFormat="1" ht="40.5" customHeight="1">
      <c r="A31" s="193"/>
      <c r="B31" s="211">
        <v>15</v>
      </c>
      <c r="C31" s="263" t="s">
        <v>1257</v>
      </c>
      <c r="D31" s="212"/>
      <c r="E31" s="213" t="s">
        <v>1215</v>
      </c>
      <c r="F31" s="264" t="s">
        <v>1258</v>
      </c>
      <c r="G31" s="212" t="s">
        <v>1259</v>
      </c>
      <c r="H31" s="213" t="s">
        <v>1181</v>
      </c>
      <c r="I31" s="213" t="s">
        <v>158</v>
      </c>
      <c r="J31" s="213" t="s">
        <v>158</v>
      </c>
      <c r="K31" s="213" t="s">
        <v>158</v>
      </c>
      <c r="L31" s="213" t="s">
        <v>158</v>
      </c>
      <c r="M31" s="213" t="s">
        <v>158</v>
      </c>
      <c r="N31" s="213" t="s">
        <v>158</v>
      </c>
      <c r="O31" s="213" t="s">
        <v>158</v>
      </c>
      <c r="P31" s="213" t="s">
        <v>158</v>
      </c>
      <c r="Q31" s="213" t="s">
        <v>158</v>
      </c>
      <c r="R31" s="214" t="s">
        <v>1022</v>
      </c>
      <c r="S31" s="213" t="s">
        <v>158</v>
      </c>
      <c r="T31" s="213" t="s">
        <v>158</v>
      </c>
      <c r="U31" s="213"/>
      <c r="V31" s="213" t="s">
        <v>158</v>
      </c>
      <c r="W31" s="213"/>
      <c r="X31" s="213"/>
      <c r="Y31" s="213" t="s">
        <v>158</v>
      </c>
      <c r="Z31" s="213" t="s">
        <v>158</v>
      </c>
      <c r="AA31" s="213" t="s">
        <v>158</v>
      </c>
      <c r="AB31" s="213" t="s">
        <v>158</v>
      </c>
      <c r="AC31" s="213" t="s">
        <v>158</v>
      </c>
      <c r="AD31" s="213" t="s">
        <v>158</v>
      </c>
      <c r="AE31" s="213" t="s">
        <v>158</v>
      </c>
      <c r="AF31" s="213" t="s">
        <v>158</v>
      </c>
      <c r="AG31" s="213" t="s">
        <v>158</v>
      </c>
      <c r="AH31" s="213" t="s">
        <v>158</v>
      </c>
      <c r="AI31" s="213" t="s">
        <v>158</v>
      </c>
      <c r="AJ31" s="213" t="s">
        <v>158</v>
      </c>
      <c r="AK31" s="213" t="s">
        <v>158</v>
      </c>
      <c r="AL31" s="213" t="s">
        <v>158</v>
      </c>
      <c r="AM31" s="213" t="s">
        <v>158</v>
      </c>
      <c r="AN31" s="213"/>
      <c r="AO31" s="277"/>
      <c r="AP31" s="277"/>
      <c r="AQ31" s="277"/>
      <c r="AR31" s="213"/>
      <c r="AS31" s="213"/>
      <c r="AT31" s="213" t="s">
        <v>158</v>
      </c>
      <c r="AU31" s="213" t="s">
        <v>158</v>
      </c>
      <c r="AV31" s="213" t="s">
        <v>158</v>
      </c>
      <c r="AW31" s="213" t="s">
        <v>158</v>
      </c>
      <c r="AX31" s="213" t="s">
        <v>158</v>
      </c>
      <c r="AY31" s="213" t="s">
        <v>158</v>
      </c>
      <c r="AZ31" s="213" t="s">
        <v>158</v>
      </c>
      <c r="BA31" s="213" t="s">
        <v>158</v>
      </c>
      <c r="BB31" s="213" t="s">
        <v>158</v>
      </c>
      <c r="BC31" s="213" t="s">
        <v>158</v>
      </c>
      <c r="BD31" s="213" t="s">
        <v>158</v>
      </c>
      <c r="BE31" s="213" t="s">
        <v>158</v>
      </c>
      <c r="BF31" s="213" t="s">
        <v>158</v>
      </c>
      <c r="BG31" s="213" t="s">
        <v>158</v>
      </c>
      <c r="BH31" s="213" t="s">
        <v>158</v>
      </c>
      <c r="BI31" s="213"/>
    </row>
    <row r="32" spans="1:64" ht="40.5" customHeight="1">
      <c r="C32" s="278"/>
      <c r="AC32" s="273"/>
    </row>
    <row r="33" spans="3:30" ht="13" customHeight="1">
      <c r="C33" s="279" t="s">
        <v>697</v>
      </c>
      <c r="F33" s="280"/>
      <c r="G33" s="280"/>
      <c r="K33" s="280"/>
      <c r="V33" s="280"/>
      <c r="W33" s="280"/>
      <c r="X33" s="280"/>
      <c r="AC33" s="281">
        <f>SUM(AC4:AC31)</f>
        <v>26</v>
      </c>
    </row>
    <row r="34" spans="3:30" ht="13" customHeight="1"/>
    <row r="35" spans="3:30" ht="13" customHeight="1"/>
    <row r="36" spans="3:30" ht="13" customHeight="1"/>
    <row r="37" spans="3:30" ht="13" customHeight="1"/>
    <row r="38" spans="3:30" ht="13" customHeight="1"/>
    <row r="39" spans="3:30" ht="13" customHeight="1"/>
    <row r="40" spans="3:30" ht="13" customHeight="1"/>
    <row r="41" spans="3:30" ht="13" customHeight="1"/>
    <row r="42" spans="3:30" ht="13" customHeight="1"/>
    <row r="43" spans="3:30" ht="13" customHeight="1"/>
    <row r="44" spans="3:30" ht="13" customHeight="1"/>
    <row r="45" spans="3:30" ht="13" customHeight="1"/>
    <row r="46" spans="3:30" ht="13" customHeight="1"/>
    <row r="47" spans="3:30" ht="14" customHeight="1">
      <c r="C47" s="282" t="s">
        <v>1260</v>
      </c>
      <c r="D47" s="283" t="s">
        <v>1261</v>
      </c>
      <c r="F47" s="284" t="s">
        <v>1262</v>
      </c>
      <c r="G47" s="284"/>
      <c r="H47" s="283" t="s">
        <v>1263</v>
      </c>
      <c r="K47" s="283"/>
      <c r="V47" s="284"/>
      <c r="W47" s="285"/>
      <c r="X47" s="285"/>
      <c r="AC47" s="283" t="s">
        <v>1264</v>
      </c>
      <c r="AD47" s="283" t="s">
        <v>1265</v>
      </c>
    </row>
    <row r="48" spans="3:30" ht="14.5" customHeight="1">
      <c r="C48" s="278" t="s">
        <v>1266</v>
      </c>
      <c r="D48" s="286" t="s">
        <v>1267</v>
      </c>
      <c r="F48" s="287" t="s">
        <v>1268</v>
      </c>
      <c r="G48" s="287"/>
      <c r="H48" s="286" t="s">
        <v>1269</v>
      </c>
      <c r="K48" s="286"/>
      <c r="V48" s="287"/>
      <c r="W48" s="288"/>
      <c r="X48" s="288"/>
      <c r="AC48" s="286" t="s">
        <v>1270</v>
      </c>
      <c r="AD48" s="286" t="s">
        <v>1271</v>
      </c>
    </row>
    <row r="49" spans="3:30" ht="14.5" customHeight="1">
      <c r="C49" s="278" t="s">
        <v>1272</v>
      </c>
      <c r="D49" s="286" t="s">
        <v>1267</v>
      </c>
      <c r="F49" s="287" t="s">
        <v>1268</v>
      </c>
      <c r="G49" s="287"/>
      <c r="H49" s="286" t="s">
        <v>1269</v>
      </c>
      <c r="K49" s="286"/>
      <c r="V49" s="287"/>
      <c r="W49" s="288"/>
      <c r="X49" s="288"/>
      <c r="AC49" s="286" t="s">
        <v>1273</v>
      </c>
      <c r="AD49" s="286" t="s">
        <v>1271</v>
      </c>
    </row>
    <row r="50" spans="3:30" ht="14.5" customHeight="1">
      <c r="C50" s="278" t="s">
        <v>1274</v>
      </c>
      <c r="D50" s="286" t="s">
        <v>1267</v>
      </c>
      <c r="F50" s="287" t="s">
        <v>1268</v>
      </c>
      <c r="G50" s="287"/>
      <c r="H50" s="286" t="s">
        <v>1269</v>
      </c>
      <c r="K50" s="286"/>
      <c r="V50" s="287"/>
      <c r="W50" s="288"/>
      <c r="X50" s="288"/>
      <c r="AC50" s="286" t="s">
        <v>1275</v>
      </c>
      <c r="AD50" s="286" t="s">
        <v>1271</v>
      </c>
    </row>
    <row r="51" spans="3:30" ht="14.5" customHeight="1">
      <c r="C51" s="278" t="s">
        <v>1276</v>
      </c>
      <c r="D51" s="286" t="s">
        <v>1267</v>
      </c>
      <c r="F51" s="287" t="s">
        <v>1268</v>
      </c>
      <c r="G51" s="287"/>
      <c r="H51" s="286" t="s">
        <v>1269</v>
      </c>
      <c r="K51" s="286"/>
      <c r="V51" s="287"/>
      <c r="W51" s="288"/>
      <c r="X51" s="288"/>
      <c r="AC51" s="286" t="s">
        <v>1277</v>
      </c>
      <c r="AD51" s="286" t="s">
        <v>1271</v>
      </c>
    </row>
    <row r="52" spans="3:30" ht="14.5" customHeight="1">
      <c r="C52" s="278" t="s">
        <v>1278</v>
      </c>
      <c r="D52" s="286" t="s">
        <v>1267</v>
      </c>
      <c r="F52" s="287" t="s">
        <v>1268</v>
      </c>
      <c r="G52" s="287"/>
      <c r="H52" s="286" t="s">
        <v>1269</v>
      </c>
      <c r="K52" s="286"/>
      <c r="V52" s="287"/>
      <c r="W52" s="288"/>
      <c r="X52" s="288"/>
      <c r="AC52" s="286" t="s">
        <v>1279</v>
      </c>
      <c r="AD52" s="286" t="s">
        <v>1271</v>
      </c>
    </row>
    <row r="53" spans="3:30" ht="14.5" customHeight="1">
      <c r="C53" s="278" t="s">
        <v>1280</v>
      </c>
      <c r="D53" s="286" t="s">
        <v>1267</v>
      </c>
      <c r="F53" s="287" t="s">
        <v>1268</v>
      </c>
      <c r="G53" s="287"/>
      <c r="H53" s="286" t="s">
        <v>1269</v>
      </c>
      <c r="K53" s="286"/>
      <c r="V53" s="287"/>
      <c r="W53" s="288"/>
      <c r="X53" s="288"/>
      <c r="AC53" s="286" t="s">
        <v>1281</v>
      </c>
      <c r="AD53" s="286" t="s">
        <v>1271</v>
      </c>
    </row>
    <row r="54" spans="3:30" ht="14.5" customHeight="1">
      <c r="C54" s="278" t="s">
        <v>1282</v>
      </c>
      <c r="D54" s="286" t="s">
        <v>1267</v>
      </c>
      <c r="F54" s="287" t="s">
        <v>1268</v>
      </c>
      <c r="G54" s="287"/>
      <c r="H54" s="286" t="s">
        <v>1283</v>
      </c>
      <c r="K54" s="286"/>
      <c r="V54" s="287"/>
      <c r="W54" s="288"/>
      <c r="X54" s="288"/>
      <c r="AC54" s="286" t="s">
        <v>1284</v>
      </c>
      <c r="AD54" s="286" t="s">
        <v>1271</v>
      </c>
    </row>
    <row r="55" spans="3:30" ht="14.5" customHeight="1">
      <c r="C55" s="278" t="s">
        <v>1285</v>
      </c>
      <c r="D55" s="286" t="s">
        <v>1267</v>
      </c>
      <c r="F55" s="287" t="s">
        <v>1268</v>
      </c>
      <c r="G55" s="287"/>
      <c r="H55" s="286" t="s">
        <v>1283</v>
      </c>
      <c r="K55" s="286"/>
      <c r="V55" s="287"/>
      <c r="W55" s="288"/>
      <c r="X55" s="288"/>
      <c r="AC55" s="286" t="s">
        <v>1286</v>
      </c>
      <c r="AD55" s="286" t="s">
        <v>1271</v>
      </c>
    </row>
    <row r="56" spans="3:30" ht="14.5" customHeight="1">
      <c r="C56" s="278" t="s">
        <v>1287</v>
      </c>
      <c r="D56" s="286" t="s">
        <v>1267</v>
      </c>
      <c r="F56" s="287" t="s">
        <v>1268</v>
      </c>
      <c r="G56" s="287"/>
      <c r="H56" s="286" t="s">
        <v>1283</v>
      </c>
      <c r="K56" s="286"/>
      <c r="V56" s="287"/>
      <c r="W56" s="288"/>
      <c r="X56" s="288"/>
      <c r="AC56" s="286" t="s">
        <v>1288</v>
      </c>
      <c r="AD56" s="286" t="s">
        <v>1271</v>
      </c>
    </row>
    <row r="57" spans="3:30" ht="14.5" customHeight="1">
      <c r="C57" s="278" t="s">
        <v>1289</v>
      </c>
      <c r="D57" s="286" t="s">
        <v>1267</v>
      </c>
      <c r="F57" s="287" t="s">
        <v>1268</v>
      </c>
      <c r="G57" s="287"/>
      <c r="H57" s="286" t="s">
        <v>1283</v>
      </c>
      <c r="K57" s="286"/>
      <c r="V57" s="287"/>
      <c r="W57" s="288"/>
      <c r="X57" s="288"/>
      <c r="AC57" s="286" t="s">
        <v>1290</v>
      </c>
      <c r="AD57" s="286" t="s">
        <v>1271</v>
      </c>
    </row>
    <row r="58" spans="3:30" ht="14.5" customHeight="1">
      <c r="C58" s="278" t="s">
        <v>1291</v>
      </c>
      <c r="D58" s="286" t="s">
        <v>1267</v>
      </c>
      <c r="F58" s="287" t="s">
        <v>1268</v>
      </c>
      <c r="G58" s="287"/>
      <c r="H58" s="286" t="s">
        <v>1283</v>
      </c>
      <c r="K58" s="286"/>
      <c r="V58" s="287"/>
      <c r="W58" s="288"/>
      <c r="X58" s="288"/>
      <c r="AC58" s="286" t="s">
        <v>1292</v>
      </c>
      <c r="AD58" s="286" t="s">
        <v>1271</v>
      </c>
    </row>
    <row r="59" spans="3:30" ht="14.5" customHeight="1">
      <c r="C59" s="278" t="s">
        <v>1293</v>
      </c>
      <c r="D59" s="286" t="s">
        <v>1267</v>
      </c>
      <c r="F59" s="287" t="s">
        <v>1268</v>
      </c>
      <c r="G59" s="287"/>
      <c r="H59" s="286" t="s">
        <v>1283</v>
      </c>
      <c r="K59" s="286"/>
      <c r="V59" s="287"/>
      <c r="W59" s="288"/>
      <c r="X59" s="288"/>
      <c r="AC59" s="286" t="s">
        <v>1294</v>
      </c>
      <c r="AD59" s="286" t="s">
        <v>1271</v>
      </c>
    </row>
    <row r="60" spans="3:30" ht="14.5" customHeight="1">
      <c r="C60" s="278" t="s">
        <v>1295</v>
      </c>
      <c r="D60" s="286" t="s">
        <v>1267</v>
      </c>
      <c r="F60" s="287" t="s">
        <v>1268</v>
      </c>
      <c r="G60" s="287"/>
      <c r="H60" s="286" t="s">
        <v>1283</v>
      </c>
      <c r="K60" s="286"/>
      <c r="V60" s="287"/>
      <c r="W60" s="288"/>
      <c r="X60" s="288"/>
      <c r="AC60" s="286" t="s">
        <v>1296</v>
      </c>
      <c r="AD60" s="286" t="s">
        <v>1271</v>
      </c>
    </row>
    <row r="61" spans="3:30" ht="14.5" customHeight="1">
      <c r="C61" s="278" t="s">
        <v>1297</v>
      </c>
      <c r="D61" s="286" t="s">
        <v>1267</v>
      </c>
      <c r="F61" s="287" t="s">
        <v>1268</v>
      </c>
      <c r="G61" s="287"/>
      <c r="H61" s="286" t="s">
        <v>1283</v>
      </c>
      <c r="K61" s="286"/>
      <c r="V61" s="287"/>
      <c r="W61" s="288"/>
      <c r="X61" s="288"/>
      <c r="AC61" s="286" t="s">
        <v>1298</v>
      </c>
      <c r="AD61" s="286" t="s">
        <v>1271</v>
      </c>
    </row>
    <row r="62" spans="3:30" ht="14.5" customHeight="1">
      <c r="C62" s="278" t="s">
        <v>1299</v>
      </c>
      <c r="D62" s="286" t="s">
        <v>1267</v>
      </c>
      <c r="F62" s="287" t="s">
        <v>1268</v>
      </c>
      <c r="G62" s="287"/>
      <c r="H62" s="286" t="s">
        <v>1283</v>
      </c>
      <c r="K62" s="286"/>
      <c r="V62" s="287"/>
      <c r="W62" s="288"/>
      <c r="X62" s="288"/>
      <c r="AC62" s="286" t="s">
        <v>1300</v>
      </c>
      <c r="AD62" s="286" t="s">
        <v>1271</v>
      </c>
    </row>
  </sheetData>
  <autoFilter ref="B3:AB31" xr:uid="{00000000-0009-0000-0000-000013000000}"/>
  <mergeCells count="1">
    <mergeCell ref="BE2:BH2"/>
  </mergeCells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136d6ab5-5b55-496f-97cb-2424247715ed}" enabled="0" method="" siteId="{136d6ab5-5b55-496f-97cb-2424247715e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</vt:i4>
      </vt:variant>
    </vt:vector>
  </HeadingPairs>
  <TitlesOfParts>
    <vt:vector size="22" baseType="lpstr">
      <vt:lpstr>Dashboard_Ejecutivo</vt:lpstr>
      <vt:lpstr>Resumen_Control_Costos</vt:lpstr>
      <vt:lpstr>Control_Presupuesto</vt:lpstr>
      <vt:lpstr>Costos_Extracontables</vt:lpstr>
      <vt:lpstr>RRHH_Control</vt:lpstr>
      <vt:lpstr>HDR_Matriz</vt:lpstr>
      <vt:lpstr>Organigrama </vt:lpstr>
      <vt:lpstr>Listas</vt:lpstr>
      <vt:lpstr>Carpeta de Arranque_STN</vt:lpstr>
      <vt:lpstr>Detalle Compromisos</vt:lpstr>
      <vt:lpstr>PlanificaciónBase</vt:lpstr>
      <vt:lpstr>PlanificaciónRev02.06</vt:lpstr>
      <vt:lpstr>Kanban</vt:lpstr>
      <vt:lpstr>Curva_S_Avance</vt:lpstr>
      <vt:lpstr>CartaGantt</vt:lpstr>
      <vt:lpstr>Equipos_y_Flota</vt:lpstr>
      <vt:lpstr>RACI</vt:lpstr>
      <vt:lpstr>Matriz de Riesgos</vt:lpstr>
      <vt:lpstr>6. Contratos Servicios</vt:lpstr>
      <vt:lpstr>EPP-Ropa</vt:lpstr>
      <vt:lpstr>Proceso Vehículos</vt:lpstr>
      <vt:lpstr>'Organigrama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Alejandro Contuliano</cp:lastModifiedBy>
  <cp:lastPrinted>2026-06-03T13:32:58Z</cp:lastPrinted>
  <dcterms:created xsi:type="dcterms:W3CDTF">2026-05-26T04:40:35Z</dcterms:created>
  <dcterms:modified xsi:type="dcterms:W3CDTF">2026-06-22T22:07:03Z</dcterms:modified>
</cp:coreProperties>
</file>