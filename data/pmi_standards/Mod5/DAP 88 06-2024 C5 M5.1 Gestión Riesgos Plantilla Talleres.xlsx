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edgar\OneDrive\Documentos\A PM, Risk &amp; SI\A Universidad Catolica\A DAP 2024\DAP-88 (06-2024)\DAP 88 Módulo 5.1 Gestión de Riesgos\"/>
    </mc:Choice>
  </mc:AlternateContent>
  <xr:revisionPtr revIDLastSave="0" documentId="13_ncr:1_{0CC37910-A7B4-470A-86ED-320FE76116AF}" xr6:coauthVersionLast="47" xr6:coauthVersionMax="47" xr10:uidLastSave="{00000000-0000-0000-0000-000000000000}"/>
  <bookViews>
    <workbookView xWindow="22932" yWindow="-4224" windowWidth="19416" windowHeight="10296" tabRatio="746" xr2:uid="{00000000-000D-0000-FFFF-FFFF00000000}"/>
  </bookViews>
  <sheets>
    <sheet name="Portada y Rúbrica Talleres" sheetId="15" r:id="rId1"/>
    <sheet name="T1-T2-T4 Matriz Riesgos " sheetId="19" r:id="rId2"/>
    <sheet name="T1 RBS (adaptar)" sheetId="20" r:id="rId3"/>
    <sheet name="Listas Desplegables (LD)" sheetId="23" r:id="rId4"/>
    <sheet name="T2 Escalas PO" sheetId="17" r:id="rId5"/>
    <sheet name="T2 Escalas Impacto" sheetId="24" r:id="rId6"/>
    <sheet name="T2-T4 Mapas Riesgo (Auto)" sheetId="25" r:id="rId7"/>
    <sheet name="T2-T4 Mapas (manual)" sheetId="22" r:id="rId8"/>
    <sheet name="T3 Modelo Valor Esperado y PERT" sheetId="26" r:id="rId9"/>
  </sheets>
  <definedNames>
    <definedName name="_xlnm.Print_Area" localSheetId="0">'Portada y Rúbrica Talleres'!$B$1:$L$16</definedName>
    <definedName name="_xlnm.Print_Area" localSheetId="1">'T1-T2-T4 Matriz Riesgos '!$A$2:$AM$58</definedName>
    <definedName name="Respuesta">'T1-T2-T4 Matriz Riesgos '!$D$138:$D$143</definedName>
    <definedName name="Riesgo">'T1-T2-T4 Matriz Riesgos '!$B$138:$B$142</definedName>
    <definedName name="_xlnm.Print_Titles" localSheetId="1">'T1-T2-T4 Matriz Riesgos '!$2:$10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1" i="26" l="1"/>
  <c r="E47" i="15" l="1"/>
  <c r="D47" i="15"/>
  <c r="E40" i="15"/>
  <c r="D40" i="15"/>
  <c r="E33" i="15"/>
  <c r="D33" i="15"/>
  <c r="E27" i="15"/>
  <c r="E48" i="15" s="1"/>
  <c r="D27" i="15"/>
  <c r="K11" i="19"/>
  <c r="C4" i="25" l="1"/>
  <c r="T59" i="19"/>
  <c r="W4" i="19" s="1"/>
  <c r="Y4" i="19" s="1"/>
  <c r="F16" i="25"/>
  <c r="F15" i="25"/>
  <c r="F8" i="25"/>
  <c r="H27" i="25"/>
  <c r="H26" i="25"/>
  <c r="H25" i="25"/>
  <c r="H24" i="25"/>
  <c r="H23" i="25"/>
  <c r="H22" i="25"/>
  <c r="H21" i="25"/>
  <c r="H20" i="25"/>
  <c r="H19" i="25"/>
  <c r="H18" i="25"/>
  <c r="H17" i="25"/>
  <c r="H16" i="25"/>
  <c r="H15" i="25"/>
  <c r="H14" i="25"/>
  <c r="H13" i="25"/>
  <c r="H12" i="25"/>
  <c r="H11" i="25"/>
  <c r="H10" i="25"/>
  <c r="H9" i="25"/>
  <c r="H8" i="25"/>
  <c r="H7" i="25"/>
  <c r="H6" i="25"/>
  <c r="H5" i="25"/>
  <c r="H4" i="25"/>
  <c r="D27" i="25"/>
  <c r="D26" i="25"/>
  <c r="D25" i="25"/>
  <c r="D24" i="25"/>
  <c r="D23" i="25"/>
  <c r="D22" i="25"/>
  <c r="D21" i="25"/>
  <c r="D20" i="25"/>
  <c r="D19" i="25"/>
  <c r="D18" i="25"/>
  <c r="D17" i="25"/>
  <c r="D16" i="25"/>
  <c r="D15" i="25"/>
  <c r="D14" i="25"/>
  <c r="D13" i="25"/>
  <c r="D12" i="25"/>
  <c r="D11" i="25"/>
  <c r="D10" i="25"/>
  <c r="D9" i="25"/>
  <c r="D8" i="25"/>
  <c r="D7" i="25"/>
  <c r="D6" i="25"/>
  <c r="D5" i="25"/>
  <c r="D4" i="25"/>
  <c r="B27" i="25"/>
  <c r="F27" i="25" s="1"/>
  <c r="B26" i="25"/>
  <c r="F26" i="25" s="1"/>
  <c r="B25" i="25"/>
  <c r="F25" i="25" s="1"/>
  <c r="B24" i="25"/>
  <c r="F24" i="25" s="1"/>
  <c r="B23" i="25"/>
  <c r="F23" i="25" s="1"/>
  <c r="B22" i="25"/>
  <c r="F22" i="25" s="1"/>
  <c r="B21" i="25"/>
  <c r="F21" i="25" s="1"/>
  <c r="B20" i="25"/>
  <c r="F20" i="25" s="1"/>
  <c r="B19" i="25"/>
  <c r="F19" i="25" s="1"/>
  <c r="B18" i="25"/>
  <c r="F18" i="25" s="1"/>
  <c r="B17" i="25"/>
  <c r="F17" i="25" s="1"/>
  <c r="B16" i="25"/>
  <c r="B15" i="25"/>
  <c r="B14" i="25"/>
  <c r="F14" i="25" s="1"/>
  <c r="B13" i="25"/>
  <c r="F13" i="25" s="1"/>
  <c r="B12" i="25"/>
  <c r="F12" i="25" s="1"/>
  <c r="B11" i="25"/>
  <c r="F11" i="25" s="1"/>
  <c r="B10" i="25"/>
  <c r="F10" i="25" s="1"/>
  <c r="B9" i="25"/>
  <c r="F9" i="25" s="1"/>
  <c r="B8" i="25"/>
  <c r="B7" i="25"/>
  <c r="F7" i="25" s="1"/>
  <c r="B6" i="25"/>
  <c r="F6" i="25" s="1"/>
  <c r="B5" i="25"/>
  <c r="F5" i="25" s="1"/>
  <c r="B4" i="25"/>
  <c r="F4" i="25" s="1"/>
  <c r="Z57" i="19"/>
  <c r="AB57" i="19" s="1"/>
  <c r="AC57" i="19" s="1"/>
  <c r="S57" i="19"/>
  <c r="V58" i="19" s="1"/>
  <c r="K57" i="19"/>
  <c r="C27" i="25" s="1"/>
  <c r="Z55" i="19"/>
  <c r="AB55" i="19" s="1"/>
  <c r="AC55" i="19" s="1"/>
  <c r="S55" i="19"/>
  <c r="V56" i="19" s="1"/>
  <c r="K55" i="19"/>
  <c r="M55" i="19" s="1"/>
  <c r="N55" i="19" s="1"/>
  <c r="Z53" i="19"/>
  <c r="AB53" i="19" s="1"/>
  <c r="AC53" i="19" s="1"/>
  <c r="S53" i="19"/>
  <c r="V54" i="19" s="1"/>
  <c r="K53" i="19"/>
  <c r="C25" i="25" s="1"/>
  <c r="Z51" i="19"/>
  <c r="AB51" i="19" s="1"/>
  <c r="AC51" i="19" s="1"/>
  <c r="S51" i="19"/>
  <c r="V52" i="19" s="1"/>
  <c r="K51" i="19"/>
  <c r="M51" i="19" s="1"/>
  <c r="N51" i="19" s="1"/>
  <c r="Z49" i="19"/>
  <c r="AB49" i="19" s="1"/>
  <c r="AC49" i="19" s="1"/>
  <c r="S49" i="19"/>
  <c r="V50" i="19" s="1"/>
  <c r="M49" i="19"/>
  <c r="N49" i="19" s="1"/>
  <c r="K49" i="19"/>
  <c r="C23" i="25" s="1"/>
  <c r="Z47" i="19"/>
  <c r="AB47" i="19" s="1"/>
  <c r="AC47" i="19" s="1"/>
  <c r="S47" i="19"/>
  <c r="V48" i="19" s="1"/>
  <c r="K47" i="19"/>
  <c r="M47" i="19" s="1"/>
  <c r="N47" i="19" s="1"/>
  <c r="AB45" i="19"/>
  <c r="AC45" i="19" s="1"/>
  <c r="Z45" i="19"/>
  <c r="G21" i="25" s="1"/>
  <c r="S45" i="19"/>
  <c r="V45" i="19" s="1"/>
  <c r="K45" i="19"/>
  <c r="M45" i="19" s="1"/>
  <c r="N45" i="19" s="1"/>
  <c r="Z43" i="19"/>
  <c r="AB43" i="19" s="1"/>
  <c r="AC43" i="19" s="1"/>
  <c r="S43" i="19"/>
  <c r="V44" i="19" s="1"/>
  <c r="K43" i="19"/>
  <c r="M43" i="19" s="1"/>
  <c r="N43" i="19" s="1"/>
  <c r="Z41" i="19"/>
  <c r="AB41" i="19" s="1"/>
  <c r="AC41" i="19" s="1"/>
  <c r="S41" i="19"/>
  <c r="V41" i="19" s="1"/>
  <c r="K41" i="19"/>
  <c r="M41" i="19" s="1"/>
  <c r="N41" i="19" s="1"/>
  <c r="Z39" i="19"/>
  <c r="AB39" i="19" s="1"/>
  <c r="AC39" i="19" s="1"/>
  <c r="S39" i="19"/>
  <c r="V40" i="19" s="1"/>
  <c r="K39" i="19"/>
  <c r="M39" i="19" s="1"/>
  <c r="N39" i="19" s="1"/>
  <c r="Z37" i="19"/>
  <c r="AB37" i="19" s="1"/>
  <c r="AC37" i="19" s="1"/>
  <c r="S37" i="19"/>
  <c r="V37" i="19" s="1"/>
  <c r="K37" i="19"/>
  <c r="M37" i="19" s="1"/>
  <c r="N37" i="19" s="1"/>
  <c r="AB35" i="19"/>
  <c r="AC35" i="19" s="1"/>
  <c r="Z35" i="19"/>
  <c r="G16" i="25" s="1"/>
  <c r="S35" i="19"/>
  <c r="V36" i="19" s="1"/>
  <c r="K35" i="19"/>
  <c r="M35" i="19" s="1"/>
  <c r="N35" i="19" s="1"/>
  <c r="Z23" i="19"/>
  <c r="AB23" i="19" s="1"/>
  <c r="AC23" i="19" s="1"/>
  <c r="K23" i="19"/>
  <c r="M23" i="19" s="1"/>
  <c r="N23" i="19" s="1"/>
  <c r="Z33" i="19"/>
  <c r="AB33" i="19" s="1"/>
  <c r="AC33" i="19" s="1"/>
  <c r="S33" i="19"/>
  <c r="V34" i="19" s="1"/>
  <c r="K33" i="19"/>
  <c r="M33" i="19" s="1"/>
  <c r="N33" i="19" s="1"/>
  <c r="Z31" i="19"/>
  <c r="AB31" i="19" s="1"/>
  <c r="AC31" i="19" s="1"/>
  <c r="S31" i="19"/>
  <c r="V32" i="19" s="1"/>
  <c r="K31" i="19"/>
  <c r="M31" i="19" s="1"/>
  <c r="N31" i="19" s="1"/>
  <c r="Z29" i="19"/>
  <c r="AB29" i="19" s="1"/>
  <c r="AC29" i="19" s="1"/>
  <c r="S29" i="19"/>
  <c r="V30" i="19" s="1"/>
  <c r="K29" i="19"/>
  <c r="M29" i="19" s="1"/>
  <c r="N29" i="19" s="1"/>
  <c r="Z27" i="19"/>
  <c r="AB27" i="19" s="1"/>
  <c r="AC27" i="19" s="1"/>
  <c r="S27" i="19"/>
  <c r="V28" i="19" s="1"/>
  <c r="K27" i="19"/>
  <c r="M27" i="19" s="1"/>
  <c r="N27" i="19" s="1"/>
  <c r="Z25" i="19"/>
  <c r="AB25" i="19" s="1"/>
  <c r="AC25" i="19" s="1"/>
  <c r="S25" i="19"/>
  <c r="K25" i="19"/>
  <c r="M25" i="19" s="1"/>
  <c r="N25" i="19" s="1"/>
  <c r="S23" i="19"/>
  <c r="Z21" i="19"/>
  <c r="AB21" i="19" s="1"/>
  <c r="AC21" i="19" s="1"/>
  <c r="S21" i="19"/>
  <c r="K21" i="19"/>
  <c r="M21" i="19" s="1"/>
  <c r="N21" i="19" s="1"/>
  <c r="Z19" i="19"/>
  <c r="AB19" i="19" s="1"/>
  <c r="AC19" i="19" s="1"/>
  <c r="S19" i="19"/>
  <c r="K19" i="19"/>
  <c r="M19" i="19" s="1"/>
  <c r="N19" i="19" s="1"/>
  <c r="Z17" i="19"/>
  <c r="AB17" i="19" s="1"/>
  <c r="AC17" i="19" s="1"/>
  <c r="S17" i="19"/>
  <c r="K17" i="19"/>
  <c r="M17" i="19" s="1"/>
  <c r="N17" i="19" s="1"/>
  <c r="Z15" i="19"/>
  <c r="AB15" i="19" s="1"/>
  <c r="AC15" i="19" s="1"/>
  <c r="Z13" i="19"/>
  <c r="AB13" i="19" s="1"/>
  <c r="AC13" i="19" s="1"/>
  <c r="S15" i="19"/>
  <c r="K15" i="19"/>
  <c r="M15" i="19" s="1"/>
  <c r="N15" i="19" s="1"/>
  <c r="S13" i="19"/>
  <c r="K13" i="19"/>
  <c r="M13" i="19" s="1"/>
  <c r="N13" i="19" s="1"/>
  <c r="S11" i="19"/>
  <c r="M11" i="19" l="1"/>
  <c r="C11" i="25"/>
  <c r="C20" i="25"/>
  <c r="G10" i="25"/>
  <c r="G14" i="25"/>
  <c r="G18" i="25"/>
  <c r="G22" i="25"/>
  <c r="G26" i="25"/>
  <c r="V39" i="19"/>
  <c r="V46" i="19"/>
  <c r="C12" i="25"/>
  <c r="C21" i="25"/>
  <c r="M57" i="19"/>
  <c r="N57" i="19" s="1"/>
  <c r="C14" i="25"/>
  <c r="C22" i="25"/>
  <c r="G11" i="25"/>
  <c r="G15" i="25"/>
  <c r="G19" i="25"/>
  <c r="G23" i="25"/>
  <c r="G27" i="25"/>
  <c r="V43" i="19"/>
  <c r="V49" i="19"/>
  <c r="M53" i="19"/>
  <c r="N53" i="19" s="1"/>
  <c r="C15" i="25"/>
  <c r="C16" i="25"/>
  <c r="C24" i="25"/>
  <c r="G8" i="25"/>
  <c r="G12" i="25"/>
  <c r="G20" i="25"/>
  <c r="G24" i="25"/>
  <c r="C8" i="25"/>
  <c r="C17" i="25"/>
  <c r="V38" i="19"/>
  <c r="C9" i="25"/>
  <c r="C18" i="25"/>
  <c r="C26" i="25"/>
  <c r="G9" i="25"/>
  <c r="G13" i="25"/>
  <c r="G17" i="25"/>
  <c r="G25" i="25"/>
  <c r="V42" i="19"/>
  <c r="C10" i="25"/>
  <c r="C19" i="25"/>
  <c r="C7" i="25"/>
  <c r="G7" i="25"/>
  <c r="G5" i="25"/>
  <c r="C5" i="25"/>
  <c r="G6" i="25"/>
  <c r="C6" i="25"/>
  <c r="C13" i="25"/>
  <c r="V55" i="19"/>
  <c r="V53" i="19"/>
  <c r="V57" i="19"/>
  <c r="V47" i="19"/>
  <c r="V51" i="19"/>
  <c r="V35" i="19"/>
  <c r="V31" i="19"/>
  <c r="V29" i="19"/>
  <c r="V33" i="19"/>
  <c r="V27" i="19"/>
  <c r="V59" i="19" l="1"/>
  <c r="W5" i="19" s="1"/>
  <c r="Z11" i="19"/>
  <c r="G4" i="25" s="1"/>
  <c r="N11" i="19" l="1"/>
  <c r="Y5" i="19"/>
  <c r="AB11" i="19"/>
  <c r="AC11" i="19" s="1"/>
  <c r="W6" i="19" l="1"/>
  <c r="Y6"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Paula A. Perez Cruz</author>
    <author>Cristóbal Arévalo</author>
  </authors>
  <commentList>
    <comment ref="T4" authorId="0" shapeId="0" xr:uid="{F9AE1347-6B58-4665-80D4-09284B981559}">
      <text>
        <r>
          <rPr>
            <sz val="9"/>
            <color indexed="81"/>
            <rFont val="Tahoma"/>
            <family val="2"/>
          </rPr>
          <t>Se considera como CAPEX base estimado el costo total del proyecto (sin costo de tratamiento del riesgo)</t>
        </r>
      </text>
    </comment>
    <comment ref="K9" authorId="1" shapeId="0" xr:uid="{501DB6FF-FA5F-4EA3-990F-B31ED2ABD11B}">
      <text>
        <r>
          <rPr>
            <b/>
            <sz val="11"/>
            <color indexed="81"/>
            <rFont val="Tahoma"/>
            <family val="2"/>
          </rPr>
          <t>Cristóbal Arévalo:</t>
        </r>
        <r>
          <rPr>
            <sz val="11"/>
            <color indexed="81"/>
            <rFont val="Tahoma"/>
            <family val="2"/>
          </rPr>
          <t xml:space="preserve">
1=Casi Seguro
2=Probable
3=Posible
4=Improbable
5=Raro</t>
        </r>
      </text>
    </comment>
    <comment ref="L9" authorId="1" shapeId="0" xr:uid="{113DD0F7-EF49-48B8-9E77-945887BECD1F}">
      <text>
        <r>
          <rPr>
            <b/>
            <sz val="12"/>
            <color indexed="81"/>
            <rFont val="Tahoma"/>
            <family val="2"/>
          </rPr>
          <t>Cristóbal Arévalo:</t>
        </r>
        <r>
          <rPr>
            <sz val="12"/>
            <color indexed="81"/>
            <rFont val="Tahoma"/>
            <family val="2"/>
          </rPr>
          <t xml:space="preserve">
1=Menor
2=Moderado
3=Importante
4=Grave
5=Catastrofíco</t>
        </r>
      </text>
    </comment>
    <comment ref="Q9" authorId="1" shapeId="0" xr:uid="{06096158-AE8D-4877-BBEA-8A570A0AAD24}">
      <text>
        <r>
          <rPr>
            <b/>
            <sz val="9"/>
            <color indexed="81"/>
            <rFont val="Tahoma"/>
            <family val="2"/>
          </rPr>
          <t>Cristóbal Arévalo:</t>
        </r>
        <r>
          <rPr>
            <sz val="9"/>
            <color indexed="81"/>
            <rFont val="Tahoma"/>
            <family val="2"/>
          </rPr>
          <t xml:space="preserve">
</t>
        </r>
        <r>
          <rPr>
            <sz val="12"/>
            <color indexed="81"/>
            <rFont val="Tahoma"/>
            <family val="2"/>
          </rPr>
          <t>Transferir / Compartir (Seguros)
Mitigar (Impacto)
Reducir (Probabilidad)
Aceptar (Provisión de reservas)
Eliminar / Evitar (Causa o Amenaza)
Postergar (Retrasar respuesta)
Anticipar (Adelantar respuesta)</t>
        </r>
      </text>
    </comment>
    <comment ref="AA9" authorId="1" shapeId="0" xr:uid="{B23C31C5-6819-4E57-A61D-E2AC640CF77E}">
      <text>
        <r>
          <rPr>
            <b/>
            <sz val="12"/>
            <color indexed="81"/>
            <rFont val="Tahoma"/>
            <family val="2"/>
          </rPr>
          <t>Cristóbal Arévalo:</t>
        </r>
        <r>
          <rPr>
            <sz val="12"/>
            <color indexed="81"/>
            <rFont val="Tahoma"/>
            <family val="2"/>
          </rPr>
          <t xml:space="preserve">
1=Menor
2=Moderado
3=Importante
4=Grave
5=Catastrofíco</t>
        </r>
      </text>
    </comment>
    <comment ref="AH9" authorId="1" shapeId="0" xr:uid="{AE52B58C-F35B-4AB6-B2DE-486FFF1860B9}">
      <text>
        <r>
          <rPr>
            <b/>
            <sz val="9"/>
            <color indexed="81"/>
            <rFont val="Tahoma"/>
            <family val="2"/>
          </rPr>
          <t>Cristóbal Arévalo:</t>
        </r>
        <r>
          <rPr>
            <sz val="9"/>
            <color indexed="81"/>
            <rFont val="Tahoma"/>
            <family val="2"/>
          </rPr>
          <t xml:space="preserve">
</t>
        </r>
        <r>
          <rPr>
            <sz val="11"/>
            <color indexed="81"/>
            <rFont val="Tahoma"/>
            <family val="2"/>
          </rPr>
          <t>1-5</t>
        </r>
      </text>
    </comment>
    <comment ref="AI9" authorId="1" shapeId="0" xr:uid="{C21C3B76-A42D-45B4-9C61-AC7492B4817B}">
      <text>
        <r>
          <rPr>
            <b/>
            <sz val="9"/>
            <color indexed="81"/>
            <rFont val="Tahoma"/>
            <family val="2"/>
          </rPr>
          <t>Cristóbal Arévalo:</t>
        </r>
        <r>
          <rPr>
            <sz val="9"/>
            <color indexed="81"/>
            <rFont val="Tahoma"/>
            <family val="2"/>
          </rPr>
          <t xml:space="preserve">
</t>
        </r>
        <r>
          <rPr>
            <sz val="11"/>
            <color indexed="81"/>
            <rFont val="Tahoma"/>
            <family val="2"/>
          </rPr>
          <t>Optimo=5
Bueno=4
Moderado=3
Regular=2
Deficiente=1
No Existe=0</t>
        </r>
      </text>
    </comment>
    <comment ref="AL9" authorId="1" shapeId="0" xr:uid="{AFA73C8C-BB9D-41D2-B6C9-97655B853E3B}">
      <text>
        <r>
          <rPr>
            <b/>
            <sz val="11"/>
            <color indexed="81"/>
            <rFont val="Tahoma"/>
            <family val="2"/>
          </rPr>
          <t>Cristóbal Arévalo:</t>
        </r>
        <r>
          <rPr>
            <sz val="11"/>
            <color indexed="81"/>
            <rFont val="Tahoma"/>
            <family val="2"/>
          </rPr>
          <t xml:space="preserve">
8-25=No Aceptable
4-7.99= Mayor
3-3.99=Medio
0.2-2.99=Menor</t>
        </r>
      </text>
    </comment>
    <comment ref="AM9" authorId="1" shapeId="0" xr:uid="{11B00012-420D-4818-A92E-5BC60F83A422}">
      <text>
        <r>
          <rPr>
            <b/>
            <sz val="11"/>
            <color indexed="81"/>
            <rFont val="Tahoma"/>
            <family val="2"/>
          </rPr>
          <t>Cristóbal Arévalo:</t>
        </r>
        <r>
          <rPr>
            <sz val="11"/>
            <color indexed="81"/>
            <rFont val="Tahoma"/>
            <family val="2"/>
          </rPr>
          <t xml:space="preserve">
8-25=No Aceptable
4-7.99= Mayor
3-3.99=Medio
0.2-2.99=Menor</t>
        </r>
      </text>
    </comment>
    <comment ref="N10" authorId="1" shapeId="0" xr:uid="{4323AE2A-67A3-4764-9395-2DAEAF78DF8D}">
      <text>
        <r>
          <rPr>
            <b/>
            <sz val="9"/>
            <color indexed="81"/>
            <rFont val="Tahoma"/>
            <family val="2"/>
          </rPr>
          <t>Cristóbal Arévalo:</t>
        </r>
        <r>
          <rPr>
            <sz val="9"/>
            <color indexed="81"/>
            <rFont val="Tahoma"/>
            <family val="2"/>
          </rPr>
          <t xml:space="preserve">
</t>
        </r>
        <r>
          <rPr>
            <sz val="11"/>
            <color indexed="81"/>
            <rFont val="Tahoma"/>
            <family val="2"/>
          </rPr>
          <t>I=Bajo
II=Moderado
III=Alto
IV=Extremo</t>
        </r>
      </text>
    </comment>
    <comment ref="O10" authorId="1" shapeId="0" xr:uid="{65F90343-5C5B-4A7D-A6DC-6773F2331CC1}">
      <text>
        <r>
          <rPr>
            <b/>
            <sz val="9"/>
            <color indexed="81"/>
            <rFont val="Tahoma"/>
            <family val="2"/>
          </rPr>
          <t>Cristóbal Arévalo:</t>
        </r>
        <r>
          <rPr>
            <sz val="9"/>
            <color indexed="81"/>
            <rFont val="Tahoma"/>
            <family val="2"/>
          </rPr>
          <t xml:space="preserve">
</t>
        </r>
        <r>
          <rPr>
            <sz val="11"/>
            <color indexed="81"/>
            <rFont val="Tahoma"/>
            <family val="2"/>
          </rPr>
          <t>1=Alta
2=Media
3=Baja</t>
        </r>
        <r>
          <rPr>
            <sz val="9"/>
            <color indexed="81"/>
            <rFont val="Tahoma"/>
            <family val="2"/>
          </rPr>
          <t xml:space="preserve">
</t>
        </r>
        <r>
          <rPr>
            <sz val="11"/>
            <color indexed="81"/>
            <rFont val="Tahoma"/>
            <family val="2"/>
          </rPr>
          <t xml:space="preserve">Criterios Jerarquicos para definir:
Clasificación
Cuando Ocurrirá
Severidad
Impacto
Tipo de Riesgo
</t>
        </r>
      </text>
    </comment>
    <comment ref="AE10" authorId="1" shapeId="0" xr:uid="{9B990390-71E0-4895-865A-1EE3D7298EAF}">
      <text>
        <r>
          <rPr>
            <b/>
            <sz val="9"/>
            <color indexed="81"/>
            <rFont val="Tahoma"/>
            <family val="2"/>
          </rPr>
          <t>Cristóbal Arévalo:</t>
        </r>
        <r>
          <rPr>
            <sz val="9"/>
            <color indexed="81"/>
            <rFont val="Tahoma"/>
            <family val="2"/>
          </rPr>
          <t xml:space="preserve">
</t>
        </r>
        <r>
          <rPr>
            <sz val="11"/>
            <color indexed="81"/>
            <rFont val="Tahoma"/>
            <family val="2"/>
          </rPr>
          <t>Permanente=3
Periódico=2
Ocasional=1
No Existe=0</t>
        </r>
      </text>
    </comment>
    <comment ref="AF10" authorId="1" shapeId="0" xr:uid="{50C67EB6-A9DE-4F7E-8EEF-FEB87E26F2F7}">
      <text>
        <r>
          <rPr>
            <b/>
            <sz val="11"/>
            <color indexed="81"/>
            <rFont val="Tahoma"/>
            <family val="2"/>
          </rPr>
          <t>Cristóbal Arévalo:</t>
        </r>
        <r>
          <rPr>
            <sz val="11"/>
            <color indexed="81"/>
            <rFont val="Tahoma"/>
            <family val="2"/>
          </rPr>
          <t xml:space="preserve">
Preventivo=3
Correctivo=2
Detectivo=1</t>
        </r>
        <r>
          <rPr>
            <sz val="9"/>
            <color indexed="81"/>
            <rFont val="Tahoma"/>
            <family val="2"/>
          </rPr>
          <t xml:space="preserve">
</t>
        </r>
        <r>
          <rPr>
            <sz val="11"/>
            <color indexed="81"/>
            <rFont val="Tahoma"/>
            <family val="2"/>
          </rPr>
          <t>No Existe=0</t>
        </r>
      </text>
    </comment>
    <comment ref="AG10" authorId="1" shapeId="0" xr:uid="{B9E54A1A-B8BF-4380-9557-A1A44D89288B}">
      <text>
        <r>
          <rPr>
            <b/>
            <sz val="9"/>
            <color indexed="81"/>
            <rFont val="Tahoma"/>
            <family val="2"/>
          </rPr>
          <t>Cristóbal Arévalo:</t>
        </r>
        <r>
          <rPr>
            <sz val="9"/>
            <color indexed="81"/>
            <rFont val="Tahoma"/>
            <family val="2"/>
          </rPr>
          <t xml:space="preserve">
</t>
        </r>
        <r>
          <rPr>
            <sz val="11"/>
            <color indexed="81"/>
            <rFont val="Tahoma"/>
            <family val="2"/>
          </rPr>
          <t>Automatizado=3
Semi-Automatizado=2
Manual=1
No Existe=0</t>
        </r>
      </text>
    </comment>
  </commentList>
</comments>
</file>

<file path=xl/sharedStrings.xml><?xml version="1.0" encoding="utf-8"?>
<sst xmlns="http://schemas.openxmlformats.org/spreadsheetml/2006/main" count="576" uniqueCount="442">
  <si>
    <t>Identificación del Riesgo</t>
  </si>
  <si>
    <t>Riesgos Residual</t>
  </si>
  <si>
    <t>Nro.</t>
  </si>
  <si>
    <t>Causas</t>
  </si>
  <si>
    <t>Impactos o Consecuencias</t>
  </si>
  <si>
    <t>Probabilidad de Ocurrencia ( P )</t>
  </si>
  <si>
    <t>Jerarquía</t>
  </si>
  <si>
    <t>Acción Nro.</t>
  </si>
  <si>
    <t>Responsable</t>
  </si>
  <si>
    <t>Proyecto:</t>
  </si>
  <si>
    <t>Riesgo Inherente</t>
  </si>
  <si>
    <t>Prioridad</t>
  </si>
  <si>
    <t>Oportutnidad (O)</t>
  </si>
  <si>
    <t>Periocidad (PD)</t>
  </si>
  <si>
    <t>Automatización (A)</t>
  </si>
  <si>
    <t>Valor del Control</t>
  </si>
  <si>
    <t>Indicador de Exposición al Riesgo Inherente</t>
  </si>
  <si>
    <t>Indicador de Exposición al Riesgo Residual</t>
  </si>
  <si>
    <t>Nivel de Exposición al Riesgo Inherente</t>
  </si>
  <si>
    <t>Porcentaje de la Probabilidad</t>
  </si>
  <si>
    <t>Severidad (P x I)</t>
  </si>
  <si>
    <t>Exposición al Riesgo (Seguimiento y Control)</t>
  </si>
  <si>
    <t>Calidad del Control</t>
  </si>
  <si>
    <t>Impacto ( I )</t>
  </si>
  <si>
    <t>Porcentaje
de la Probabilidad</t>
  </si>
  <si>
    <t>Probabilidad de Ocurrencia (P)</t>
  </si>
  <si>
    <t>Severidad
(P x I)</t>
  </si>
  <si>
    <t>Características 
del Control</t>
  </si>
  <si>
    <t xml:space="preserve">Plantilla para trabajo de Talleres </t>
  </si>
  <si>
    <t>Integrantes del Grupo de Trabajo:</t>
  </si>
  <si>
    <t>1.</t>
  </si>
  <si>
    <t>2.</t>
  </si>
  <si>
    <t>3.</t>
  </si>
  <si>
    <t>4.</t>
  </si>
  <si>
    <t>Responsable del Proceso:</t>
  </si>
  <si>
    <t>Responsable de emisión:</t>
  </si>
  <si>
    <t>E. del Desglose de Riesgo</t>
  </si>
  <si>
    <t>Fecha Próximo Control (o plazo de la acción)</t>
  </si>
  <si>
    <t>5.</t>
  </si>
  <si>
    <t>Estrategia de Respuesta (Genérica)</t>
  </si>
  <si>
    <t>Probabilidad de ocurrencia (1%-99%)
RIESGO INHERENTE (Repetir celda J)</t>
  </si>
  <si>
    <t>Fondo de Contingencia (Provisión ded PO x Impacto o costo de corrección para respuestas condicionadas a ocurrencia de evento) (Resultado de celda SxU)</t>
  </si>
  <si>
    <t>Plan de Tratamiento al Riesgo</t>
  </si>
  <si>
    <t>ID del Proyecto</t>
  </si>
  <si>
    <t>Monto Total de la Gestiòn del Riesgo</t>
  </si>
  <si>
    <t>º</t>
  </si>
  <si>
    <t>Nivel de Exposición al Riesgo Residual (Colores)</t>
  </si>
  <si>
    <t>Clasificación   (Colores)</t>
  </si>
  <si>
    <t>Clasificación (Colores)</t>
  </si>
  <si>
    <t>Fecha actualización:</t>
  </si>
  <si>
    <t>Revisión N°:</t>
  </si>
  <si>
    <t>6.</t>
  </si>
  <si>
    <t>Equipo de Trabajo N°</t>
  </si>
  <si>
    <t>CAPEX BASE ESTIMADO (CBE):</t>
  </si>
  <si>
    <t>Transferir/compartir</t>
  </si>
  <si>
    <t>Oportunidad</t>
  </si>
  <si>
    <t>Mitigar Probabilidad</t>
  </si>
  <si>
    <t>Amenaza</t>
  </si>
  <si>
    <t>Mitigar Impacto</t>
  </si>
  <si>
    <t xml:space="preserve">Aceptar </t>
  </si>
  <si>
    <t>Eliminar</t>
  </si>
  <si>
    <t>Postergar</t>
  </si>
  <si>
    <t>Mapa de Riesgo Inherente</t>
  </si>
  <si>
    <t>Mapa de Riesgo Residual</t>
  </si>
  <si>
    <t>Impacto</t>
  </si>
  <si>
    <t>1
Menor</t>
  </si>
  <si>
    <t>2
Moderado</t>
  </si>
  <si>
    <t>3
Importante</t>
  </si>
  <si>
    <t>4
Grave</t>
  </si>
  <si>
    <t>5
Catastrófico</t>
  </si>
  <si>
    <t>Probabilidad</t>
  </si>
  <si>
    <t>5
Casi seguro</t>
  </si>
  <si>
    <t>Medio
(II)</t>
  </si>
  <si>
    <t>Alto
(III)</t>
  </si>
  <si>
    <t>Extremo
(IV)</t>
  </si>
  <si>
    <t>4
Probable</t>
  </si>
  <si>
    <t>3
Posible</t>
  </si>
  <si>
    <t>Bajo
(I)</t>
  </si>
  <si>
    <t>2
Improbable</t>
  </si>
  <si>
    <t>1
Raro</t>
  </si>
  <si>
    <t>Nivel 1 RBS</t>
  </si>
  <si>
    <t>Nivel 0 RBS</t>
  </si>
  <si>
    <t>Nivel 2 RBS</t>
  </si>
  <si>
    <t>1.1 Definición de Alcance</t>
  </si>
  <si>
    <t>1.2 Definición de requisitos</t>
  </si>
  <si>
    <t>1.3 Estimaciones, supuestos y restricciones</t>
  </si>
  <si>
    <t>1.4 Procesos Técnicos</t>
  </si>
  <si>
    <t>1.5 Tecnología</t>
  </si>
  <si>
    <t>1.6 Interfases técnicas</t>
  </si>
  <si>
    <t>1.7 Otros riesgos técnicos</t>
  </si>
  <si>
    <t>1. Riesgos Técnicos</t>
  </si>
  <si>
    <t>2.1 Dirección de proyectos</t>
  </si>
  <si>
    <t>2.2 Dirección de Programa/Portafolio</t>
  </si>
  <si>
    <t>2.3 Gestión de Operaciones</t>
  </si>
  <si>
    <t>2.4 Organización</t>
  </si>
  <si>
    <t>2.5 Dotación de Recursos</t>
  </si>
  <si>
    <t>2.6 Comunicaciones</t>
  </si>
  <si>
    <t>2.7 Otros riesgos de gestión</t>
  </si>
  <si>
    <t>2. Riesgos de Gestión</t>
  </si>
  <si>
    <t>3.1 Términos y condiciones contractuales</t>
  </si>
  <si>
    <t>3.3 Proveedores y vendedores</t>
  </si>
  <si>
    <t xml:space="preserve">3.2 Contratación interna </t>
  </si>
  <si>
    <t>3.4 Subcontratos</t>
  </si>
  <si>
    <t>3.5 Estabilidad de los clientes</t>
  </si>
  <si>
    <t>3.6 Asociaciones y empresas conjuntas</t>
  </si>
  <si>
    <t>3.7 Otros riesgos comerciales</t>
  </si>
  <si>
    <t>3. Riesgos Comerciales</t>
  </si>
  <si>
    <t>4.1 Legislación</t>
  </si>
  <si>
    <t>4.2 Tasa de cambio</t>
  </si>
  <si>
    <t>4.4 Ambiental y Clima</t>
  </si>
  <si>
    <t>4.5 Competencia</t>
  </si>
  <si>
    <t>4.6 Normativo y regulatorio</t>
  </si>
  <si>
    <t>4.3 Sustentabilidad y comunidades</t>
  </si>
  <si>
    <t>4.7 Otros riesgos externos</t>
  </si>
  <si>
    <t>4. Riesgos Externos</t>
  </si>
  <si>
    <t>0. Tipos de Riesgos desde distintas fuentes</t>
  </si>
  <si>
    <t>RBS Propuesta por PMI en PMBOK 7 (ver gráfico 11-4)</t>
  </si>
  <si>
    <t>Descripción del Evento (en neutro, sin expresar causas o impactos)</t>
  </si>
  <si>
    <t>Controles existentes (debe ser verificable su existencia en PEP)</t>
  </si>
  <si>
    <t>Fase / Actividad del Proyecto (WBS) - LD</t>
  </si>
  <si>
    <t>Contexto del Riesgo (Interno o Externo) LD</t>
  </si>
  <si>
    <t>Tipo de Riesgo (RBS) LD</t>
  </si>
  <si>
    <t>Influencia
del Riesgo LD</t>
  </si>
  <si>
    <t>Nombre de tarea</t>
  </si>
  <si>
    <t>DNA-CAP.</t>
  </si>
  <si>
    <t>DNA-CAP.LAB</t>
  </si>
  <si>
    <t>DNA-CAP.LAB.1</t>
  </si>
  <si>
    <t>DNA-CAP.LAB.2</t>
  </si>
  <si>
    <t>DNA-CAP.LAB.3</t>
  </si>
  <si>
    <t>DNA-CAP.LAB.3.1</t>
  </si>
  <si>
    <t>DNA-CAP.LAB.3.2</t>
  </si>
  <si>
    <t>DNA-CAP.LAB.3.3</t>
  </si>
  <si>
    <t>DNA-CAP.LAB.3.4</t>
  </si>
  <si>
    <t>DNA-CAP.LAB.4</t>
  </si>
  <si>
    <t>DNA-CAP.LAB.4.1</t>
  </si>
  <si>
    <t>DNA-CAP.LAB.4.2</t>
  </si>
  <si>
    <t>DNA-CAP.LAB.4.3</t>
  </si>
  <si>
    <t>DNA-CAP.LAB.5</t>
  </si>
  <si>
    <t>DNA-CAP.LAB.5.1</t>
  </si>
  <si>
    <t>DNA-CAP.LAB.5.2</t>
  </si>
  <si>
    <t>DNA-CAP.LAB.5.3</t>
  </si>
  <si>
    <t>DNA-CAP.LAB.5.4</t>
  </si>
  <si>
    <t>DNA-CAP.LAB.5.5</t>
  </si>
  <si>
    <t>DNA-CAP.SPG</t>
  </si>
  <si>
    <t>DNA-CAP.SPG.1</t>
  </si>
  <si>
    <t>DNA-CAP.SPG.2</t>
  </si>
  <si>
    <t>DNA-CAP.SPG.3</t>
  </si>
  <si>
    <t>DNA-CAP.SPG.4</t>
  </si>
  <si>
    <t>DNA-CAP.PGS</t>
  </si>
  <si>
    <t>DNA-CAP.PGS.1</t>
  </si>
  <si>
    <t>DNA-CAP.PGS.2</t>
  </si>
  <si>
    <t>DNA-CAP.PGS.3</t>
  </si>
  <si>
    <t>DNA-CAP.AP</t>
  </si>
  <si>
    <t>WBS del proyecto (Ejemplo a adaptar para cada proyecto) - copiada directamente de MS Project</t>
  </si>
  <si>
    <t>Código EDT</t>
  </si>
  <si>
    <t>Criterios para elaboración de Listas Desplegables en Matriz de Riesgos (Debe revisarse y adaptarse)</t>
  </si>
  <si>
    <t>Columna B</t>
  </si>
  <si>
    <t>Columna G</t>
  </si>
  <si>
    <t>Columna H</t>
  </si>
  <si>
    <t>Columna I</t>
  </si>
  <si>
    <t>Contexto Interno</t>
  </si>
  <si>
    <t>Contexto Externo</t>
  </si>
  <si>
    <t>Considerar listado directamente desde Hoja de Cálculo con RBS</t>
  </si>
  <si>
    <t>PO del Riesgo</t>
  </si>
  <si>
    <t>Impacto Riesgo</t>
  </si>
  <si>
    <t>Columna K</t>
  </si>
  <si>
    <t>Columna L</t>
  </si>
  <si>
    <t>Columna Q</t>
  </si>
  <si>
    <t>Escalar</t>
  </si>
  <si>
    <t>Riesgo Transversal</t>
  </si>
  <si>
    <t>Clasificación</t>
  </si>
  <si>
    <t>Valor Matriz 5x5</t>
  </si>
  <si>
    <t>Descripción de la Probabilidad y Frecuencia Indicativa</t>
  </si>
  <si>
    <t>Probabilidad Indicativa</t>
  </si>
  <si>
    <t>Casi Seguro</t>
  </si>
  <si>
    <t>Probable</t>
  </si>
  <si>
    <t>Posible</t>
  </si>
  <si>
    <t>Improbable</t>
  </si>
  <si>
    <t>Raro</t>
  </si>
  <si>
    <t>&lt; 0,02</t>
  </si>
  <si>
    <r>
      <t xml:space="preserve">Prácticamente seguro: </t>
    </r>
    <r>
      <rPr>
        <sz val="11"/>
        <color rgb="FF000000"/>
        <rFont val="Calibri"/>
        <family val="2"/>
        <scheme val="minor"/>
      </rPr>
      <t xml:space="preserve">muy alta probabilidad de que ocurra, </t>
    </r>
    <r>
      <rPr>
        <b/>
        <u/>
        <sz val="11"/>
        <color rgb="FFFF0000"/>
        <rFont val="Calibri"/>
        <family val="2"/>
        <scheme val="minor"/>
      </rPr>
      <t>varias veces durante el año</t>
    </r>
    <r>
      <rPr>
        <sz val="11"/>
        <color rgb="FF000000"/>
        <rFont val="Calibri"/>
        <family val="2"/>
        <scheme val="minor"/>
      </rPr>
      <t>. Ha ocurrido en diversas ocasiones en proyectos de similar naturaleza en esta ubicación.</t>
    </r>
  </si>
  <si>
    <r>
      <t xml:space="preserve">Probable: </t>
    </r>
    <r>
      <rPr>
        <sz val="11"/>
        <color rgb="FF000000"/>
        <rFont val="Calibri"/>
        <family val="2"/>
        <scheme val="minor"/>
      </rPr>
      <t xml:space="preserve">Alta probabilidad, es posible que ocurra </t>
    </r>
    <r>
      <rPr>
        <b/>
        <u/>
        <sz val="11"/>
        <color rgb="FFFF0000"/>
        <rFont val="Calibri"/>
        <family val="2"/>
        <scheme val="minor"/>
      </rPr>
      <t>una vez al año</t>
    </r>
    <r>
      <rPr>
        <sz val="11"/>
        <color rgb="FF000000"/>
        <rFont val="Calibri"/>
        <family val="2"/>
        <scheme val="minor"/>
      </rPr>
      <t>, aproximadamente. Un evento similar tuvo lugar en diversas oportunidades durante el año, en proyectos de similar índole, para esta organización.</t>
    </r>
  </si>
  <si>
    <r>
      <t>Posible:</t>
    </r>
    <r>
      <rPr>
        <sz val="11"/>
        <color rgb="FF000000"/>
        <rFont val="Calibri"/>
        <family val="2"/>
        <scheme val="minor"/>
      </rPr>
      <t xml:space="preserve"> probabilidad razonable de que pueda ocurrir </t>
    </r>
    <r>
      <rPr>
        <b/>
        <u/>
        <sz val="11"/>
        <color rgb="FFFF0000"/>
        <rFont val="Calibri"/>
        <family val="2"/>
        <scheme val="minor"/>
      </rPr>
      <t xml:space="preserve">por lo menos una vez </t>
    </r>
    <r>
      <rPr>
        <sz val="11"/>
        <color rgb="FF000000"/>
        <rFont val="Calibri"/>
        <family val="2"/>
        <scheme val="minor"/>
      </rPr>
      <t xml:space="preserve">en un período de </t>
    </r>
    <r>
      <rPr>
        <b/>
        <u/>
        <sz val="11"/>
        <color rgb="FFFF0000"/>
        <rFont val="Calibri"/>
        <family val="2"/>
        <scheme val="minor"/>
      </rPr>
      <t>1 a 10 años</t>
    </r>
    <r>
      <rPr>
        <sz val="11"/>
        <color rgb="FF000000"/>
        <rFont val="Calibri"/>
        <family val="2"/>
        <scheme val="minor"/>
      </rPr>
      <t>. Un evento similar tuvo lugar una vez en otros proyectos similares, para esta organización.</t>
    </r>
  </si>
  <si>
    <r>
      <t xml:space="preserve">Improbable: </t>
    </r>
    <r>
      <rPr>
        <sz val="11"/>
        <color rgb="FF000000"/>
        <rFont val="Calibri"/>
        <family val="2"/>
        <scheme val="minor"/>
      </rPr>
      <t xml:space="preserve">Admisible, es improbable que ocurra durante el proyecto, aunque podría ocurrir durante los próximos </t>
    </r>
    <r>
      <rPr>
        <b/>
        <u/>
        <sz val="11"/>
        <color rgb="FFFF0000"/>
        <rFont val="Calibri"/>
        <family val="2"/>
        <scheme val="minor"/>
      </rPr>
      <t>10 a 40 años</t>
    </r>
    <r>
      <rPr>
        <sz val="11"/>
        <color rgb="FF000000"/>
        <rFont val="Calibri"/>
        <family val="2"/>
        <scheme val="minor"/>
      </rPr>
      <t>. Un evento similar ocurrió en otros proyectos similares en esta industria.</t>
    </r>
  </si>
  <si>
    <r>
      <t>Raro o Infrecuente</t>
    </r>
    <r>
      <rPr>
        <sz val="11"/>
        <color rgb="FF000000"/>
        <rFont val="Calibri"/>
        <family val="2"/>
        <scheme val="minor"/>
      </rPr>
      <t xml:space="preserve">: muy baja probabilidad de que ocurra, aunque no imposible, es improbable que se produzca durante los próximos 40 años. Un evento similar </t>
    </r>
    <r>
      <rPr>
        <b/>
        <u/>
        <sz val="11"/>
        <color rgb="FFFF0000"/>
        <rFont val="Calibri"/>
        <family val="2"/>
        <scheme val="minor"/>
      </rPr>
      <t>ocurrió en otro lugar del mundo en esta industria</t>
    </r>
    <r>
      <rPr>
        <sz val="11"/>
        <color rgb="FF000000"/>
        <rFont val="Calibri"/>
        <family val="2"/>
        <scheme val="minor"/>
      </rPr>
      <t>.</t>
    </r>
  </si>
  <si>
    <t>Nota: la escala señalada más arriba puede personalizarse, según se requiera, a fin de adecuarse al análisis y período de exposición escogido para el análisis. En la mayoría de los proyectos de gran envergadura, se escoge un período de exposición de 10 años, puesto que, en general, cualquier impacto sobre el costo del proyecto o flujos de caja afectará el VAN dentro de este período de tiempo.</t>
  </si>
  <si>
    <t>Medio ambiente</t>
  </si>
  <si>
    <t>Legales y regulaciones</t>
  </si>
  <si>
    <t>Reputación</t>
  </si>
  <si>
    <t>Catastrófico</t>
  </si>
  <si>
    <t>•Más del 30% de exceso de gastos</t>
  </si>
  <si>
    <t>•Más del 50% de atraso en el término del proyecto</t>
  </si>
  <si>
    <t>•Fatalidades múltiples</t>
  </si>
  <si>
    <t>•Daño a medio ambiente a largo plazo, 5 años o más, con exigencia &gt; US$5,0MM para compensar, estudios y/o penas.</t>
  </si>
  <si>
    <t>•Multas y juicios muy importantes</t>
  </si>
  <si>
    <t>•Múltiples litigios</t>
  </si>
  <si>
    <t>•Desfavorable cobertura de los medios mundiales</t>
  </si>
  <si>
    <t>•Investigación del Gobierno</t>
  </si>
  <si>
    <t>•Gran interés público</t>
  </si>
  <si>
    <t>•Gran pérdida de apoyo de accionistas</t>
  </si>
  <si>
    <t>Grave</t>
  </si>
  <si>
    <t>•16% a 30% de exceso de gastos</t>
  </si>
  <si>
    <t>•17% a 50% de atraso en el término del proyecto</t>
  </si>
  <si>
    <t>•Fatalidad</t>
  </si>
  <si>
    <t>•Lesión vinculada a una invalidez permanente</t>
  </si>
  <si>
    <t>•Daño a medio ambiente a mediano plazo &gt;1 año &lt; 5 años, con exigencia de US$1,0MM a US$5,0MM para compensar, estudios y/o penas.</t>
  </si>
  <si>
    <t>•Multas y juicios importantes</t>
  </si>
  <si>
    <t>•Litigios muy graves, incluyendo la acción popular</t>
  </si>
  <si>
    <t>•Desfavorable cobertura de los medios nacionales</t>
  </si>
  <si>
    <t>•Participación de algún miembro del Gobierno</t>
  </si>
  <si>
    <t>•Cambio en Gerencia Senior</t>
  </si>
  <si>
    <t>•Pérdida importante de apoyo de accionistas</t>
  </si>
  <si>
    <t>Importante</t>
  </si>
  <si>
    <t>•6% a 16% de exceso de gastos</t>
  </si>
  <si>
    <t>•8% a 17% de atraso en el término del proyecto</t>
  </si>
  <si>
    <t>•Lesiones graves</t>
  </si>
  <si>
    <t>•Largo tiempo perdido</t>
  </si>
  <si>
    <t>•Daño a medio ambiente a corto plazo &lt; 1 año, con exigencia de hasta US$1,0MM para compensar, estudios y/o penas.</t>
  </si>
  <si>
    <t>•Participación del Directorio</t>
  </si>
  <si>
    <t>Moderado</t>
  </si>
  <si>
    <t>•0,5% a 6% de exceso de gastos</t>
  </si>
  <si>
    <t>•3% a 8% de atraso en el término del proyecto</t>
  </si>
  <si>
    <t>•Lesiones importante</t>
  </si>
  <si>
    <t>•Tiempo perdido reducido</t>
  </si>
  <si>
    <t>•Daño medio ambiente con exigencia de hasta US$0,25MM para compensar, estudios y/o penas.</t>
  </si>
  <si>
    <t>•Grave violación de la regulación con investigación o informe a autoridades con posibles juicios y/o multas moderadas.</t>
  </si>
  <si>
    <t>•Desfavorable cobertura de los medios locales</t>
  </si>
  <si>
    <t>•Informe al Directorio</t>
  </si>
  <si>
    <t>•Preocupación de accionistas</t>
  </si>
  <si>
    <t>Menor</t>
  </si>
  <si>
    <t>•menos de 0,5% de exceso de gastos, dentro de presupuesto</t>
  </si>
  <si>
    <t>•menos 3% de atraso en el término del proyecto</t>
  </si>
  <si>
    <t>•Lesiones menores o cuasiaccidentes</t>
  </si>
  <si>
    <t>•Insignificante impacto ambiental, manejado dentro de presupuesto</t>
  </si>
  <si>
    <t>•Asunto de bajo nivel legal o de autorización.</t>
  </si>
  <si>
    <t>•Sin atención de los medios</t>
  </si>
  <si>
    <t>•Problema planteado por los trabajadores.</t>
  </si>
  <si>
    <t>Presupuesto Proyecto</t>
  </si>
  <si>
    <t>Cronograma Proyecto</t>
  </si>
  <si>
    <t>Desempeño Técnico Entregables</t>
  </si>
  <si>
    <t xml:space="preserve">Seguridad y Salud Ocupacional (SSO) </t>
  </si>
  <si>
    <t>•Aumentaría Costos Operacionales (OPEX) &gt;10% y &lt;20% del estimado</t>
  </si>
  <si>
    <t>•No se lograría el 60% de capacidad de diseño de entregables en eatpa de operaciones</t>
  </si>
  <si>
    <t>•No se lograría 80% capacidad diseño (&gt;60%) sin incurrir en importantes inversiones (CAPEX) (&gt;10% LBC)</t>
  </si>
  <si>
    <t>•Aumentaría Costos Operacionales (OPEX) &gt; 30% del estimado</t>
  </si>
  <si>
    <t>•Aumentaría Costos Operacionales (OPEX) &gt;20% y &lt;30% del estimado</t>
  </si>
  <si>
    <t>•Desfavorable cobertura de los medios locales y RRSS</t>
  </si>
  <si>
    <t>•No se lograría 100% capacidad diseño sin incurrir en importantes inversiones (CAPEX) (&gt;10% LBC)</t>
  </si>
  <si>
    <t>•Aumentaría Costos Operacionales (OPEX) &gt;2% y &lt;10% del estimado</t>
  </si>
  <si>
    <t>•Litigios grave, sin acción popular</t>
  </si>
  <si>
    <t>•No se lograría 100% capacidad diseño sin incurrir en inversiones menores  (CAPEX) (&gt;5 y &lt;10%% LBC)</t>
  </si>
  <si>
    <t>•Se lograría 100% capacidad diseño, pero incurriendo en inversiones menores (CAPEX) (&lt;2% LBC)</t>
  </si>
  <si>
    <t>•Pérdida de apoyo de accionistas</t>
  </si>
  <si>
    <t>•Violación menor de la regulación con investigación o informe a autoridades con  multas moderadas.</t>
  </si>
  <si>
    <t>Nota: la escala señalada más arriba debe adapatarse a la tolerancia al riesgo de los principales interesados del proyecto.</t>
  </si>
  <si>
    <t>Matriz de Riesgos del Proyecto</t>
  </si>
  <si>
    <t>Puntaje Matriz 5x5</t>
  </si>
  <si>
    <t>Probabilidad Indicativa (límite superior rango)</t>
  </si>
  <si>
    <t>0,02 - 0,10</t>
  </si>
  <si>
    <t>0,11 - 0,50</t>
  </si>
  <si>
    <t>0,51 - 0,80</t>
  </si>
  <si>
    <t>&gt; 0,80</t>
  </si>
  <si>
    <t>Evento</t>
  </si>
  <si>
    <t>Tabla Resumen de Matriz de Riesgos Inherentes</t>
  </si>
  <si>
    <t>Tabla Resumen de Matriz de Riesgos Residual</t>
  </si>
  <si>
    <r>
      <t>Escala de Medidión de Impacto o Consecuencia</t>
    </r>
    <r>
      <rPr>
        <b/>
        <sz val="11"/>
        <color rgb="FFFF0000"/>
        <rFont val="Calibri"/>
        <family val="2"/>
        <scheme val="minor"/>
      </rPr>
      <t xml:space="preserve"> (debe revisarse y adpatarse a industria o proyecto y según definiciones del sponsor)</t>
    </r>
  </si>
  <si>
    <r>
      <t xml:space="preserve">Escala de Probabilidad de Ocurrencia </t>
    </r>
    <r>
      <rPr>
        <b/>
        <sz val="12"/>
        <color rgb="FFFF0000"/>
        <rFont val="Calibri"/>
        <family val="2"/>
        <scheme val="minor"/>
      </rPr>
      <t>(debe revisarse y adpatarse a industria o proyecto)</t>
    </r>
  </si>
  <si>
    <t>C1:</t>
  </si>
  <si>
    <t>C2:</t>
  </si>
  <si>
    <t>C3:</t>
  </si>
  <si>
    <t>I1:</t>
  </si>
  <si>
    <t>I2:</t>
  </si>
  <si>
    <t>I3:</t>
  </si>
  <si>
    <t>Costo inevitable</t>
  </si>
  <si>
    <t>Costo evitable</t>
  </si>
  <si>
    <t>R1a</t>
  </si>
  <si>
    <t>R1b</t>
  </si>
  <si>
    <t>R1c</t>
  </si>
  <si>
    <t>CE1:</t>
  </si>
  <si>
    <t>CE2:</t>
  </si>
  <si>
    <t>CE3:</t>
  </si>
  <si>
    <t>Costo inevitable de Mitigación al Riesgo</t>
  </si>
  <si>
    <t>Control a Realizar (Nueva Medida de Mitigación)</t>
  </si>
  <si>
    <t>R2a</t>
  </si>
  <si>
    <t>R2b</t>
  </si>
  <si>
    <t>R2c</t>
  </si>
  <si>
    <t>R3a</t>
  </si>
  <si>
    <t>R3b</t>
  </si>
  <si>
    <t>R3c</t>
  </si>
  <si>
    <t>R4a</t>
  </si>
  <si>
    <t>R4b</t>
  </si>
  <si>
    <t>R4c</t>
  </si>
  <si>
    <t>R5a</t>
  </si>
  <si>
    <t>R5b</t>
  </si>
  <si>
    <t>R5c</t>
  </si>
  <si>
    <t>Moneda del Proyecto</t>
  </si>
  <si>
    <t>US$</t>
  </si>
  <si>
    <t>Monto (en moneda Proyecto)</t>
  </si>
  <si>
    <t>Clase estimación (AACEI)</t>
  </si>
  <si>
    <t>Clase 1</t>
  </si>
  <si>
    <t>Monto del Fondo de Contingencia (evitable)</t>
  </si>
  <si>
    <t>DNA-CAP.Proyecto Habilitación Salas Capacitación DNA 2021</t>
  </si>
  <si>
    <t>DNA-CAP.LAB   Fase 1 Montaje de Laboratorios</t>
  </si>
  <si>
    <t>DNA-CAP.LAB.1      Trabajos Obras Civiles y modificaciones</t>
  </si>
  <si>
    <t>DNA-CAP.LAB.2      Instalaciones de Electricidad</t>
  </si>
  <si>
    <t>DNA-CAP.LAB.3      Montaje de la red</t>
  </si>
  <si>
    <t>DNA-CAP.LAB.3.1         Instalar canaletas</t>
  </si>
  <si>
    <t>DNA-CAP.LAB.3.2         Instalar cables</t>
  </si>
  <si>
    <t>DNA-CAP.LAB.3.3         Instalar tomas de red</t>
  </si>
  <si>
    <t>DNA-CAP.LAB.3.4         Realización de Pruebas de Red</t>
  </si>
  <si>
    <t>DNA-CAP.LAB.4      Montaje de mobiliario</t>
  </si>
  <si>
    <t xml:space="preserve">DNA-CAP.LAB.4.1         Montaje de puestos interactivos </t>
  </si>
  <si>
    <t>DNA-CAP.LAB.4.2         Montaje de puestos profesor</t>
  </si>
  <si>
    <t>DNA-CAP.LAB.4.3         Fin de Obras Laboratorios</t>
  </si>
  <si>
    <t>DNA-CAP.LAB.5      Instalación Equipos Informáticos</t>
  </si>
  <si>
    <t>DNA-CAP.LAB.5.1         Montaje servidores</t>
  </si>
  <si>
    <t>DNA-CAP.LAB.5.2         Montajes PC´s interactivos</t>
  </si>
  <si>
    <t>DNA-CAP.LAB.5.3         Montaje equipamiento videoconferencia</t>
  </si>
  <si>
    <t>DNA-CAP.LAB.5.4         Montaje Proyector Data Show</t>
  </si>
  <si>
    <t>DNA-CAP.LAB.5.5         Fin de Instalación Laboratorios</t>
  </si>
  <si>
    <t>DNA-CAP.SPG   Fase 2 Instalación Software Propósito General</t>
  </si>
  <si>
    <t>DNA-CAP.SPG.1      Instalación Sistema Operativo Servidor</t>
  </si>
  <si>
    <t>DNA-CAP.SPG.2      Instalación Sistema Operativo PC´s</t>
  </si>
  <si>
    <t>DNA-CAP.SPG.3      Instalación Software Videoconferencia</t>
  </si>
  <si>
    <t>DNA-CAP.SPG.4      Prueba Instalación Software Propósito General</t>
  </si>
  <si>
    <t>DNA-CAP.PGS   Fase 3: Prueba Global del Sistema</t>
  </si>
  <si>
    <t>DNA-CAP.PGS.1      Prueba Global del Sistema</t>
  </si>
  <si>
    <t xml:space="preserve">DNA-CAP.PGS.2      Entrega Final a DNA - Recepción del Cliente </t>
  </si>
  <si>
    <t>DNA-CAP.PGS.3      Cierre de Contrato</t>
  </si>
  <si>
    <t>DNA-CAP.AP   Administración del Proyecto</t>
  </si>
  <si>
    <t>Costo de mitigación inevitable/ Costo de Corrección. (Respuesta al Riesgo que corrige presupuesto Base) (Ocurra o no el riesgo)</t>
  </si>
  <si>
    <t>Costo de mitigación evitable / Costo de Corrección. (Respuesta al Riesgo que se implementa sólo en caso de que ocurra)</t>
  </si>
  <si>
    <t>%</t>
  </si>
  <si>
    <t>R6a</t>
  </si>
  <si>
    <t>R6b</t>
  </si>
  <si>
    <t>R6c</t>
  </si>
  <si>
    <t>R7a</t>
  </si>
  <si>
    <t>R7b</t>
  </si>
  <si>
    <t>R7c</t>
  </si>
  <si>
    <t>R8a</t>
  </si>
  <si>
    <t>R8b</t>
  </si>
  <si>
    <t>R8c</t>
  </si>
  <si>
    <t>No tocar estas celdas</t>
  </si>
  <si>
    <t>7.</t>
  </si>
  <si>
    <t>Taller N° 3 Aplicación del modelo de valor esperado</t>
  </si>
  <si>
    <t xml:space="preserve">Descripción </t>
  </si>
  <si>
    <t xml:space="preserve">En la malla siguiente se muestra la secuencia de actividades de un proyecto de mantenimiento de 8 paquetes de trabajo:  </t>
  </si>
  <si>
    <t>TAREA S
3 semanas</t>
  </si>
  <si>
    <t>TAREA T
5 semanas</t>
  </si>
  <si>
    <t xml:space="preserve">TAREA U
7 semanas </t>
  </si>
  <si>
    <t>TAREA L
9 semanas</t>
  </si>
  <si>
    <t>INICIO</t>
  </si>
  <si>
    <t>FIN</t>
  </si>
  <si>
    <t>TAREA V
8 semanas</t>
  </si>
  <si>
    <t>TAREA J
3 semanas</t>
  </si>
  <si>
    <t xml:space="preserve">TAREA C
6 semanas </t>
  </si>
  <si>
    <t xml:space="preserve">TAREA R
4 semanas </t>
  </si>
  <si>
    <t>La tabla siguiente muestra los valores del costo base (CBE) y estimación de tiempos inicial (TBE),</t>
  </si>
  <si>
    <t>CCE = CBE + (CC * P)</t>
  </si>
  <si>
    <t xml:space="preserve">como también el costo de correción (CC) y tiempo de correción (TC) </t>
  </si>
  <si>
    <t xml:space="preserve">estimados y la probabilidad </t>
  </si>
  <si>
    <t>TCE = TBE + (TC * P)</t>
  </si>
  <si>
    <t>de ocurrencia  (P) del evento riesgo asociado a cada paquete de trabajo del proyecto.</t>
  </si>
  <si>
    <t>Costos expresados en dólares, tiempo expresado en semanas.</t>
  </si>
  <si>
    <t>Pregunta 1, 2 y 3</t>
  </si>
  <si>
    <t>Pregunta 4</t>
  </si>
  <si>
    <t>Pregunta 5</t>
  </si>
  <si>
    <t xml:space="preserve">Paquete de trabajo según WBS </t>
  </si>
  <si>
    <t>Costo base estimado (CBE)</t>
  </si>
  <si>
    <t>Tiempo Base estimado (TBE)</t>
  </si>
  <si>
    <t>Costo de corrección (CC)</t>
  </si>
  <si>
    <t>Tiempo de corrección (TC)</t>
  </si>
  <si>
    <t>Probabilidad (P)</t>
  </si>
  <si>
    <t>Riesgo de Costo (RC)</t>
  </si>
  <si>
    <t>Riesgo de Tiempo (RT)</t>
  </si>
  <si>
    <t>Tareas no criticas que deben ser monitoreadas</t>
  </si>
  <si>
    <t xml:space="preserve">Costo de completación (CCE) </t>
  </si>
  <si>
    <t>Tiempo de completación (TCE)</t>
  </si>
  <si>
    <t>L</t>
  </si>
  <si>
    <t>V</t>
  </si>
  <si>
    <t>T</t>
  </si>
  <si>
    <t>U</t>
  </si>
  <si>
    <t>S</t>
  </si>
  <si>
    <t>J</t>
  </si>
  <si>
    <t>R</t>
  </si>
  <si>
    <t>C</t>
  </si>
  <si>
    <t>Totales</t>
  </si>
  <si>
    <t xml:space="preserve">RIESGO DE COSTO </t>
  </si>
  <si>
    <t xml:space="preserve">RIESGO DE TIEMPO </t>
  </si>
  <si>
    <t xml:space="preserve">Preguntas: </t>
  </si>
  <si>
    <t>1.- Determinar el riesgo de tiempo y riesgo de costo del proyecto</t>
  </si>
  <si>
    <t xml:space="preserve">El riesgo de tiempo del proceso crítico es: </t>
  </si>
  <si>
    <t>El riesgo de costo del proceso crítico es:</t>
  </si>
  <si>
    <t>2.- De acuerdo a la tabla de Impacto y Consecuencia vista en clases ¿Cuál es la magnitud del RT y RC?</t>
  </si>
  <si>
    <t>La Magnitud del RT (Concepto y %)</t>
  </si>
  <si>
    <t>La Magnitud del RC (Concepto y %)</t>
  </si>
  <si>
    <t>3.- Determinar el Fondo de Contingencia y su porcentaje respecto al CBE</t>
  </si>
  <si>
    <t>El fondo de Contingencia es:</t>
  </si>
  <si>
    <t>explicar</t>
  </si>
  <si>
    <t>El porcentaje con respecto al CBE es:</t>
  </si>
  <si>
    <t xml:space="preserve">4.- Considere los riesgos de tiempo de las tareas no críticas. ¿Qué tareas y rutas de la malla deberían ser </t>
  </si>
  <si>
    <t>monitoreados cuidadosamente por significar los riesgos más altos?</t>
  </si>
  <si>
    <t>Tareas No críticas a monitorear son:</t>
  </si>
  <si>
    <t xml:space="preserve">5.- ¿Cuáles son el costo de completación (CCE) y tiempo de completación (TCE) estimados del proyecto? </t>
  </si>
  <si>
    <t xml:space="preserve">El costo de completación (CCE) es: </t>
  </si>
  <si>
    <t xml:space="preserve">El tiempo de completación (TCE) es: </t>
  </si>
  <si>
    <t>X</t>
  </si>
  <si>
    <t>Concepto evaluado</t>
  </si>
  <si>
    <t xml:space="preserve">Puntaje </t>
  </si>
  <si>
    <t>Puntaje obtenido</t>
  </si>
  <si>
    <t>OBSERVACIONES</t>
  </si>
  <si>
    <t>Taller 1.Identificación y Registro de Riesgos del Proyecto (Matriz de Riesgos de Proyecto)</t>
  </si>
  <si>
    <t>Completa recuadros superiores de la Matriz de Riesgos (identificación del proyecto con todos sus aspectos, CAPEX, clase de estimación y moneda)</t>
  </si>
  <si>
    <t>Diseñar una RBS . Considerando en ella  los tipos de riesgos (no los eventos) posibles de ocurrir en el proyecto</t>
  </si>
  <si>
    <t>En la Matriz , identificar y caracterizar 8 riesgos relevantes de distinta categoría (en función de RBS anterior) en base a WBS del Proyecto (debe incluirse en listas desplegables) y en relación al caso de estudio de cada proyecto de todas las fases . Para el taller integral deberan definirse 16 riesgos.</t>
  </si>
  <si>
    <t>Consideración de Causas de diversa naturaleza y distintos tipos de impactos.</t>
  </si>
  <si>
    <t>Definir controles existentes en WBS y PEP del proyecto</t>
  </si>
  <si>
    <t>Nota Taller 1  20%</t>
  </si>
  <si>
    <t>Taller 2. Análisis Cualitativo del Risgo del Proyecto (Riesgo Inherente en matriz de riesgos del Proyecto Taller Integral)</t>
  </si>
  <si>
    <t>Diseñar y adaptar las escalas de valoración de probabilidad e impacto, en base a la industria de cada proyecto</t>
  </si>
  <si>
    <t>Utilizar el modelo de 5X5 que mejor se ajuste a la realidad de su proyecto y en función de las escalas determinadas. Hago todos los supuestos que le dicte el "Sentido Común" (EMCDLS)</t>
  </si>
  <si>
    <t>En base a las escalas anteriores, construir en la Matriz de Riesgos la zona de "Riesgo Inherente" considerando la probabilidad de ocurrencia de cada causa, la categorización y el color respectivo para cada combinación de probabilidad e impacto</t>
  </si>
  <si>
    <t>Elaborar el Mapa de Riesgos Inherente</t>
  </si>
  <si>
    <t>Nota Taller 2. 20%</t>
  </si>
  <si>
    <t>Taller 3 Aplicación del Valor Esperado (Análisis Cualitativo-PERT)</t>
  </si>
  <si>
    <t>Determinar el riesgo de tiempo y riesgo de costo del proyecto. (Requiere definir y graficar Ruta Crítica)</t>
  </si>
  <si>
    <t>De acuerdo a la tabla de Impacto o Consecuencia (PMI), ¿Cuál es la magnitud del RT y RC)?</t>
  </si>
  <si>
    <t>Determinar el Fondo de Contingencia y su porcentaje respecto al CBE</t>
  </si>
  <si>
    <t>Considere los riesgos de tiempo de las tareas no críticas. ¿Qué tareas y rutas de la malla debieran ser monitoreadas cuidadosamente por significar los riesgos más altos?</t>
  </si>
  <si>
    <t>¿Cuáles son el costo de completación (CCE) y tiempo de compeltación (TCE) estimados del proyecto?</t>
  </si>
  <si>
    <t>Nota Taller 3. 20%</t>
  </si>
  <si>
    <t>Taller 4. Estrategia de Respuesta al Riesgo (Plan de Contingencia y Riesgo en Matriz de Riesgos de Proyecto Taller Integral)</t>
  </si>
  <si>
    <t>Diseñar el plan de Mitigación o Tratamiento al Riesgo, utilizando la Matriz de Riesgos . Al menos 7 riesgos deberán tener tratamiento explícito (no aceptables)</t>
  </si>
  <si>
    <t>Utilizar el modelo 5X5 que mejor se ajuste a la realidad de su proyecto y en función de las escalas determinadas. Haga todos los supuestos que le dicte el sentido común.</t>
  </si>
  <si>
    <t>Construir la Matriz de Riesgos de la zona de "Riesgo Residual".</t>
  </si>
  <si>
    <t>Constuir el Mapa de Riesgo Residual con análisis crítico de resultados obtenidos.</t>
  </si>
  <si>
    <t>Definir el Costo de los Mecanismos de Respuesta y del Fondo de Contingencia.</t>
  </si>
  <si>
    <t>Nota Taller 4. 40%</t>
  </si>
  <si>
    <t>NOTA FINAL</t>
  </si>
  <si>
    <t>Cada taller cuenta con un punto base para la nota</t>
  </si>
  <si>
    <t>La nota final esta en función al porcentaje que representa cada taller</t>
  </si>
  <si>
    <t>Rúbrica Talleres Módulo 5.1: Gestión de Riesgos en Proyectos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</si>
</sst>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 &quot;$&quot;* #,##0_ ;_ &quot;$&quot;* \-#,##0_ ;_ &quot;$&quot;* &quot;-&quot;_ ;_ @_ "/>
    <numFmt numFmtId="41" formatCode="_ * #,##0_ ;_ * \-#,##0_ ;_ * &quot;-&quot;_ ;_ @_ "/>
    <numFmt numFmtId="164" formatCode="_-&quot;$&quot;\ * #,##0.00_-;\-&quot;$&quot;\ * #,##0.00_-;_-&quot;$&quot;\ * &quot;-&quot;??_-;_-@_-"/>
    <numFmt numFmtId="165" formatCode="_-&quot;$&quot;\ * #,##0_-;\-&quot;$&quot;\ * #,##0_-;_-&quot;$&quot;\ * &quot;-&quot;??_-;_-@_-"/>
    <numFmt numFmtId="166" formatCode="&quot;$&quot;\ #,##0"/>
    <numFmt numFmtId="167" formatCode="_-&quot;US&quot;&quot;$&quot;\ * #,##0_-;\-&quot;$&quot;\ * #,##0_-;_-&quot;$&quot;\ * &quot;-&quot;??_-;_-@_-"/>
    <numFmt numFmtId="168" formatCode="&quot;$&quot;#,##0"/>
    <numFmt numFmtId="169" formatCode="_-* #,##0.00_-;\-* #,##0.00_-;_-* &quot;-&quot;??_-;_-@_-"/>
    <numFmt numFmtId="170" formatCode="0.0"/>
    <numFmt numFmtId="171" formatCode="&quot;$&quot;\ #,##0;[Red]\-&quot;$&quot;\ #,##0"/>
    <numFmt numFmtId="172" formatCode="0.0%"/>
    <numFmt numFmtId="173" formatCode="#,##0.0\ &quot;Sem&quot;"/>
    <numFmt numFmtId="174" formatCode="&quot;US&quot;&quot;$&quot;\ #,##0"/>
  </numFmts>
  <fonts count="55" x14ac:knownFonts="1">
    <font>
      <sz val="11"/>
      <color theme="1"/>
      <name val="Calibri"/>
      <family val="2"/>
      <scheme val="minor"/>
    </font>
    <font>
      <sz val="11"/>
      <color theme="1"/>
      <name val="Calibri"/>
      <family val="2"/>
      <scheme val="minor"/>
    </font>
    <font>
      <b/>
      <sz val="11"/>
      <color rgb="FFFF0000"/>
      <name val="Calibri"/>
      <family val="2"/>
      <scheme val="minor"/>
    </font>
    <font>
      <sz val="11"/>
      <name val="Calibri"/>
      <family val="2"/>
      <scheme val="minor"/>
    </font>
    <font>
      <b/>
      <sz val="11"/>
      <color theme="1"/>
      <name val="Calibri"/>
      <family val="2"/>
      <scheme val="minor"/>
    </font>
    <font>
      <b/>
      <sz val="11"/>
      <name val="Calibri"/>
      <family val="2"/>
      <scheme val="minor"/>
    </font>
    <font>
      <b/>
      <sz val="11"/>
      <color theme="0"/>
      <name val="Calibri"/>
      <family val="2"/>
      <scheme val="minor"/>
    </font>
    <font>
      <sz val="11"/>
      <color theme="1"/>
      <name val="Arial"/>
      <family val="2"/>
    </font>
    <font>
      <b/>
      <sz val="11"/>
      <color theme="1"/>
      <name val="Arial"/>
      <family val="2"/>
    </font>
    <font>
      <b/>
      <sz val="24"/>
      <name val="Arial"/>
      <family val="2"/>
    </font>
    <font>
      <b/>
      <sz val="14"/>
      <name val="Arial"/>
      <family val="2"/>
    </font>
    <font>
      <sz val="11"/>
      <name val="Arial"/>
      <family val="2"/>
    </font>
    <font>
      <b/>
      <sz val="11"/>
      <color theme="0"/>
      <name val="Arial"/>
      <family val="2"/>
    </font>
    <font>
      <sz val="11"/>
      <color theme="0"/>
      <name val="Arial"/>
      <family val="2"/>
    </font>
    <font>
      <b/>
      <sz val="11"/>
      <name val="Arial"/>
      <family val="2"/>
    </font>
    <font>
      <sz val="11"/>
      <color theme="0"/>
      <name val="Calibri"/>
      <family val="2"/>
      <scheme val="minor"/>
    </font>
    <font>
      <b/>
      <sz val="9"/>
      <color indexed="81"/>
      <name val="Tahoma"/>
      <family val="2"/>
    </font>
    <font>
      <sz val="9"/>
      <color indexed="81"/>
      <name val="Tahoma"/>
      <family val="2"/>
    </font>
    <font>
      <sz val="11"/>
      <color indexed="81"/>
      <name val="Tahoma"/>
      <family val="2"/>
    </font>
    <font>
      <b/>
      <sz val="11"/>
      <color indexed="81"/>
      <name val="Tahoma"/>
      <family val="2"/>
    </font>
    <font>
      <b/>
      <sz val="12"/>
      <color indexed="81"/>
      <name val="Tahoma"/>
      <family val="2"/>
    </font>
    <font>
      <sz val="12"/>
      <color indexed="81"/>
      <name val="Tahoma"/>
      <family val="2"/>
    </font>
    <font>
      <b/>
      <sz val="11"/>
      <color theme="3"/>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
      <b/>
      <sz val="11"/>
      <color rgb="FFFFC000"/>
      <name val="Calibri"/>
      <family val="2"/>
      <scheme val="minor"/>
    </font>
    <font>
      <b/>
      <sz val="8"/>
      <color theme="0"/>
      <name val="Arial"/>
      <family val="2"/>
    </font>
    <font>
      <b/>
      <sz val="11"/>
      <color theme="3" tint="-0.249977111117893"/>
      <name val="Calibri"/>
      <family val="2"/>
      <scheme val="minor"/>
    </font>
    <font>
      <b/>
      <sz val="11"/>
      <color rgb="FFC00000"/>
      <name val="Calibri"/>
      <family val="2"/>
      <scheme val="minor"/>
    </font>
    <font>
      <sz val="11"/>
      <color rgb="FF000000"/>
      <name val="Calibri"/>
      <family val="2"/>
      <scheme val="minor"/>
    </font>
    <font>
      <b/>
      <sz val="11"/>
      <color rgb="FF000000"/>
      <name val="Calibri"/>
      <family val="2"/>
      <scheme val="minor"/>
    </font>
    <font>
      <b/>
      <u/>
      <sz val="11"/>
      <color rgb="FFFF0000"/>
      <name val="Calibri"/>
      <family val="2"/>
      <scheme val="minor"/>
    </font>
    <font>
      <b/>
      <sz val="11"/>
      <color theme="4" tint="-0.249977111117893"/>
      <name val="Calibri"/>
      <family val="2"/>
      <scheme val="minor"/>
    </font>
    <font>
      <b/>
      <sz val="14"/>
      <color rgb="FF000000"/>
      <name val="Calibri"/>
      <family val="2"/>
      <scheme val="minor"/>
    </font>
    <font>
      <b/>
      <sz val="14"/>
      <color rgb="FFFF0000"/>
      <name val="Calibri"/>
      <family val="2"/>
      <scheme val="minor"/>
    </font>
    <font>
      <sz val="9"/>
      <color rgb="FF000000"/>
      <name val="Calibri"/>
      <family val="2"/>
      <scheme val="minor"/>
    </font>
    <font>
      <b/>
      <sz val="14"/>
      <name val="Calibri"/>
      <family val="2"/>
      <scheme val="minor"/>
    </font>
    <font>
      <sz val="14"/>
      <name val="Calibri"/>
      <family val="2"/>
      <scheme val="minor"/>
    </font>
    <font>
      <sz val="11"/>
      <color rgb="FFFF0000"/>
      <name val="Calibri"/>
      <family val="2"/>
      <scheme val="minor"/>
    </font>
    <font>
      <b/>
      <sz val="10"/>
      <color rgb="FFFF0000"/>
      <name val="Arial"/>
      <family val="2"/>
    </font>
    <font>
      <b/>
      <sz val="8"/>
      <color rgb="FFFF0000"/>
      <name val="Arial"/>
      <family val="2"/>
    </font>
    <font>
      <sz val="8"/>
      <color rgb="FFFF0000"/>
      <name val="Arial"/>
      <family val="2"/>
    </font>
    <font>
      <b/>
      <sz val="12"/>
      <color theme="3"/>
      <name val="Calibri"/>
      <family val="2"/>
      <scheme val="minor"/>
    </font>
    <font>
      <b/>
      <sz val="12"/>
      <color rgb="FFFF0000"/>
      <name val="Calibri"/>
      <family val="2"/>
      <scheme val="minor"/>
    </font>
    <font>
      <sz val="14"/>
      <color theme="0"/>
      <name val="Calibri"/>
      <family val="2"/>
      <scheme val="minor"/>
    </font>
    <font>
      <b/>
      <sz val="14"/>
      <color theme="0"/>
      <name val="Arial"/>
      <family val="2"/>
    </font>
    <font>
      <sz val="11"/>
      <color theme="4"/>
      <name val="Calibri"/>
      <family val="2"/>
      <scheme val="minor"/>
    </font>
    <font>
      <b/>
      <sz val="14"/>
      <color theme="1"/>
      <name val="Calibri"/>
      <family val="2"/>
      <scheme val="minor"/>
    </font>
    <font>
      <b/>
      <sz val="11"/>
      <color rgb="FF00B050"/>
      <name val="Calibri"/>
      <family val="2"/>
      <scheme val="minor"/>
    </font>
    <font>
      <b/>
      <sz val="11"/>
      <color theme="0"/>
      <name val="Calibri"/>
      <family val="2"/>
    </font>
    <font>
      <sz val="11"/>
      <color theme="0"/>
      <name val="Calibri"/>
      <family val="2"/>
    </font>
    <font>
      <b/>
      <sz val="11"/>
      <color rgb="FF000000"/>
      <name val="Calibri"/>
      <family val="2"/>
    </font>
    <font>
      <sz val="11"/>
      <color theme="1"/>
      <name val="Calibri"/>
      <family val="2"/>
    </font>
    <font>
      <b/>
      <i/>
      <sz val="11"/>
      <color rgb="FF000000"/>
      <name val="Calibri"/>
      <family val="2"/>
    </font>
  </fonts>
  <fills count="33">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5"/>
        <bgColor indexed="64"/>
      </patternFill>
    </fill>
    <fill>
      <patternFill patternType="solid">
        <fgColor theme="2" tint="-0.499984740745262"/>
        <bgColor indexed="64"/>
      </patternFill>
    </fill>
    <fill>
      <patternFill patternType="solid">
        <fgColor rgb="FFFFC000"/>
        <bgColor indexed="64"/>
      </patternFill>
    </fill>
    <fill>
      <patternFill patternType="solid">
        <fgColor rgb="FF0070C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FFFFF"/>
        <bgColor indexed="64"/>
      </patternFill>
    </fill>
    <fill>
      <patternFill patternType="solid">
        <fgColor rgb="FFFFFF99"/>
        <bgColor indexed="64"/>
      </patternFill>
    </fill>
    <fill>
      <patternFill patternType="solid">
        <fgColor rgb="FFE2EFD9"/>
        <bgColor indexed="64"/>
      </patternFill>
    </fill>
    <fill>
      <patternFill patternType="solid">
        <fgColor rgb="FFF2F2F2"/>
        <bgColor indexed="64"/>
      </patternFill>
    </fill>
    <fill>
      <patternFill patternType="solid">
        <fgColor rgb="FFC00000"/>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505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9" tint="-0.499984740745262"/>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theme="0"/>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Dashed">
        <color rgb="FFFF0000"/>
      </left>
      <right style="thin">
        <color indexed="64"/>
      </right>
      <top style="thin">
        <color indexed="64"/>
      </top>
      <bottom/>
      <diagonal/>
    </border>
    <border>
      <left style="thin">
        <color indexed="64"/>
      </left>
      <right/>
      <top style="mediumDashed">
        <color rgb="FFFF0000"/>
      </top>
      <bottom style="thin">
        <color indexed="64"/>
      </bottom>
      <diagonal/>
    </border>
    <border>
      <left style="mediumDashed">
        <color rgb="FFFF0000"/>
      </left>
      <right style="thin">
        <color indexed="64"/>
      </right>
      <top style="thin">
        <color indexed="64"/>
      </top>
      <bottom style="thin">
        <color indexed="64"/>
      </bottom>
      <diagonal/>
    </border>
    <border>
      <left style="mediumDashed">
        <color rgb="FFFF0000"/>
      </left>
      <right style="thin">
        <color indexed="64"/>
      </right>
      <top style="thin">
        <color indexed="64"/>
      </top>
      <bottom style="mediumDashed">
        <color rgb="FFFF0000"/>
      </bottom>
      <diagonal/>
    </border>
    <border>
      <left style="thin">
        <color rgb="FFB1BBCC"/>
      </left>
      <right style="thin">
        <color rgb="FFB1BBCC"/>
      </right>
      <top style="thin">
        <color rgb="FFB1BBCC"/>
      </top>
      <bottom style="thin">
        <color rgb="FFB1BBCC"/>
      </bottom>
      <diagonal/>
    </border>
    <border>
      <left style="thin">
        <color rgb="FFB1BBCC"/>
      </left>
      <right style="thin">
        <color rgb="FFB1BBCC"/>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top/>
      <bottom/>
      <diagonal/>
    </border>
    <border>
      <left style="medium">
        <color rgb="FFFFFFFF"/>
      </left>
      <right/>
      <top/>
      <bottom style="medium">
        <color rgb="FFFFFFFF"/>
      </bottom>
      <diagonal/>
    </border>
    <border>
      <left/>
      <right style="thin">
        <color theme="0"/>
      </right>
      <top style="thin">
        <color theme="0"/>
      </top>
      <bottom style="thin">
        <color theme="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7" tint="0.39997558519241921"/>
      </left>
      <right/>
      <top style="thin">
        <color theme="7" tint="0.39997558519241921"/>
      </top>
      <bottom/>
      <diagonal/>
    </border>
    <border>
      <left/>
      <right/>
      <top style="thin">
        <color theme="7" tint="0.39997558519241921"/>
      </top>
      <bottom/>
      <diagonal/>
    </border>
    <border>
      <left/>
      <right/>
      <top/>
      <bottom style="thin">
        <color theme="7" tint="0.39997558519241921"/>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s>
  <cellStyleXfs count="8">
    <xf numFmtId="0" fontId="0"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42" fontId="1" fillId="0" borderId="0" applyFont="0" applyFill="0" applyBorder="0" applyAlignment="0" applyProtection="0"/>
    <xf numFmtId="0" fontId="1" fillId="0" borderId="0"/>
    <xf numFmtId="41" fontId="1" fillId="0" borderId="0" applyFont="0" applyFill="0" applyBorder="0" applyAlignment="0" applyProtection="0"/>
    <xf numFmtId="169" fontId="1" fillId="0" borderId="0" applyFont="0" applyFill="0" applyBorder="0" applyAlignment="0" applyProtection="0"/>
  </cellStyleXfs>
  <cellXfs count="425">
    <xf numFmtId="0" fontId="0" fillId="0" borderId="0" xfId="0"/>
    <xf numFmtId="0" fontId="0" fillId="0" borderId="0" xfId="0" applyAlignment="1">
      <alignment horizontal="center"/>
    </xf>
    <xf numFmtId="0" fontId="0" fillId="4" borderId="0" xfId="0" applyFill="1" applyAlignment="1">
      <alignment horizontal="center"/>
    </xf>
    <xf numFmtId="0" fontId="0" fillId="4" borderId="0" xfId="0" applyFill="1"/>
    <xf numFmtId="0" fontId="4" fillId="4" borderId="0" xfId="0" applyFont="1" applyFill="1"/>
    <xf numFmtId="0" fontId="0" fillId="4" borderId="0" xfId="0" applyFill="1" applyAlignment="1">
      <alignment horizontal="center" vertical="center"/>
    </xf>
    <xf numFmtId="0" fontId="7" fillId="0" borderId="0" xfId="0" applyFont="1"/>
    <xf numFmtId="0" fontId="7" fillId="0" borderId="0" xfId="0" applyFont="1" applyAlignment="1">
      <alignment horizontal="center"/>
    </xf>
    <xf numFmtId="0" fontId="8" fillId="0" borderId="0" xfId="0" applyFont="1" applyAlignment="1">
      <alignment horizontal="center"/>
    </xf>
    <xf numFmtId="0" fontId="7" fillId="0" borderId="0" xfId="0" applyFont="1" applyAlignment="1">
      <alignment horizontal="center" vertical="center"/>
    </xf>
    <xf numFmtId="0" fontId="8" fillId="0" borderId="0" xfId="0" applyFont="1"/>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horizontal="center" vertical="center" wrapText="1"/>
    </xf>
    <xf numFmtId="0" fontId="8" fillId="0" borderId="0" xfId="0" applyFont="1" applyAlignment="1">
      <alignment horizontal="center" vertical="center"/>
    </xf>
    <xf numFmtId="167" fontId="7" fillId="0" borderId="0" xfId="0" applyNumberFormat="1" applyFont="1"/>
    <xf numFmtId="166" fontId="7" fillId="0" borderId="0" xfId="0" applyNumberFormat="1" applyFont="1"/>
    <xf numFmtId="0" fontId="7" fillId="0" borderId="0" xfId="0" applyFont="1" applyAlignment="1">
      <alignment horizontal="left"/>
    </xf>
    <xf numFmtId="0" fontId="4" fillId="0" borderId="0" xfId="0" applyFont="1"/>
    <xf numFmtId="0" fontId="23" fillId="0" borderId="0" xfId="0" applyFont="1"/>
    <xf numFmtId="0" fontId="23" fillId="0" borderId="0" xfId="0" applyFont="1" applyAlignment="1">
      <alignment horizontal="center"/>
    </xf>
    <xf numFmtId="0" fontId="24" fillId="0" borderId="1" xfId="0" applyFont="1" applyBorder="1" applyAlignment="1">
      <alignment horizontal="center" wrapText="1"/>
    </xf>
    <xf numFmtId="0" fontId="4" fillId="3" borderId="6" xfId="0" applyFont="1" applyFill="1" applyBorder="1" applyAlignment="1">
      <alignment horizontal="center" wrapText="1"/>
    </xf>
    <xf numFmtId="0" fontId="6" fillId="15" borderId="41" xfId="0" applyFont="1" applyFill="1" applyBorder="1" applyAlignment="1">
      <alignment horizontal="center" wrapText="1"/>
    </xf>
    <xf numFmtId="0" fontId="6" fillId="15" borderId="1" xfId="0" applyFont="1" applyFill="1" applyBorder="1" applyAlignment="1">
      <alignment horizontal="center" wrapText="1"/>
    </xf>
    <xf numFmtId="0" fontId="6" fillId="6" borderId="1" xfId="0" applyFont="1" applyFill="1" applyBorder="1" applyAlignment="1">
      <alignment horizontal="center" wrapText="1"/>
    </xf>
    <xf numFmtId="0" fontId="4" fillId="3" borderId="1" xfId="0" applyFont="1" applyFill="1" applyBorder="1" applyAlignment="1">
      <alignment horizontal="center" wrapText="1"/>
    </xf>
    <xf numFmtId="0" fontId="4" fillId="3" borderId="42" xfId="0" applyFont="1" applyFill="1" applyBorder="1" applyAlignment="1">
      <alignment horizontal="center" wrapText="1"/>
    </xf>
    <xf numFmtId="0" fontId="6" fillId="15" borderId="43" xfId="0" applyFont="1" applyFill="1" applyBorder="1" applyAlignment="1">
      <alignment horizontal="center" wrapText="1"/>
    </xf>
    <xf numFmtId="0" fontId="4" fillId="2" borderId="1" xfId="0" applyFont="1" applyFill="1" applyBorder="1" applyAlignment="1">
      <alignment horizontal="center" wrapText="1"/>
    </xf>
    <xf numFmtId="0" fontId="6" fillId="15" borderId="44" xfId="0" applyFont="1" applyFill="1" applyBorder="1" applyAlignment="1">
      <alignment horizontal="center" wrapText="1"/>
    </xf>
    <xf numFmtId="0" fontId="6" fillId="15" borderId="40" xfId="0" applyFont="1" applyFill="1" applyBorder="1" applyAlignment="1">
      <alignment horizontal="center" wrapText="1"/>
    </xf>
    <xf numFmtId="0" fontId="4" fillId="3" borderId="39" xfId="0" applyFont="1" applyFill="1" applyBorder="1" applyAlignment="1">
      <alignment horizontal="center" wrapText="1"/>
    </xf>
    <xf numFmtId="0" fontId="26" fillId="16" borderId="0" xfId="0" applyFont="1" applyFill="1" applyAlignment="1">
      <alignment horizontal="center"/>
    </xf>
    <xf numFmtId="0" fontId="5" fillId="17" borderId="0" xfId="0" applyFont="1" applyFill="1"/>
    <xf numFmtId="0" fontId="4" fillId="18" borderId="0" xfId="0" applyFont="1" applyFill="1"/>
    <xf numFmtId="0" fontId="6" fillId="11" borderId="0" xfId="0" applyFont="1" applyFill="1"/>
    <xf numFmtId="0" fontId="6" fillId="19" borderId="0" xfId="0" applyFont="1" applyFill="1"/>
    <xf numFmtId="0" fontId="27" fillId="19" borderId="45" xfId="0" applyFont="1" applyFill="1" applyBorder="1" applyAlignment="1">
      <alignment horizontal="center" vertical="center" wrapText="1"/>
    </xf>
    <xf numFmtId="0" fontId="28" fillId="0" borderId="0" xfId="0" applyFont="1"/>
    <xf numFmtId="0" fontId="29" fillId="0" borderId="0" xfId="0" applyFont="1"/>
    <xf numFmtId="0" fontId="27" fillId="19" borderId="45" xfId="0" applyFont="1" applyFill="1" applyBorder="1" applyAlignment="1">
      <alignment horizontal="center" vertical="center"/>
    </xf>
    <xf numFmtId="0" fontId="29" fillId="0" borderId="0" xfId="0" applyFont="1" applyAlignment="1">
      <alignment horizontal="center"/>
    </xf>
    <xf numFmtId="0" fontId="30" fillId="23" borderId="47" xfId="0" applyFont="1" applyFill="1" applyBorder="1" applyAlignment="1">
      <alignment horizontal="center" vertical="center" wrapText="1" readingOrder="1"/>
    </xf>
    <xf numFmtId="0" fontId="2" fillId="23" borderId="47" xfId="0" applyFont="1" applyFill="1" applyBorder="1" applyAlignment="1">
      <alignment horizontal="center" vertical="center" wrapText="1" readingOrder="1"/>
    </xf>
    <xf numFmtId="0" fontId="31" fillId="23" borderId="47" xfId="0" applyFont="1" applyFill="1" applyBorder="1" applyAlignment="1">
      <alignment horizontal="left" vertical="center" wrapText="1" readingOrder="1"/>
    </xf>
    <xf numFmtId="0" fontId="33" fillId="15" borderId="47" xfId="0" applyFont="1" applyFill="1" applyBorder="1" applyAlignment="1">
      <alignment horizontal="center" vertical="center" wrapText="1" readingOrder="1"/>
    </xf>
    <xf numFmtId="0" fontId="36" fillId="23" borderId="48" xfId="0" applyFont="1" applyFill="1" applyBorder="1" applyAlignment="1">
      <alignment horizontal="center" vertical="center" wrapText="1" readingOrder="1"/>
    </xf>
    <xf numFmtId="0" fontId="36" fillId="23" borderId="49" xfId="0" applyFont="1" applyFill="1" applyBorder="1" applyAlignment="1">
      <alignment horizontal="center" vertical="center" wrapText="1" readingOrder="1"/>
    </xf>
    <xf numFmtId="0" fontId="36" fillId="23" borderId="50" xfId="0" applyFont="1" applyFill="1" applyBorder="1" applyAlignment="1">
      <alignment horizontal="center" vertical="center" wrapText="1" readingOrder="1"/>
    </xf>
    <xf numFmtId="0" fontId="8" fillId="0" borderId="0" xfId="0" applyFont="1" applyAlignment="1">
      <alignment horizontal="center" vertical="top"/>
    </xf>
    <xf numFmtId="0" fontId="15" fillId="7" borderId="40" xfId="0" applyFont="1" applyFill="1" applyBorder="1" applyAlignment="1">
      <alignment horizontal="center" vertical="center" textRotation="90" wrapText="1"/>
    </xf>
    <xf numFmtId="0" fontId="12" fillId="24" borderId="1" xfId="0" applyFont="1" applyFill="1" applyBorder="1" applyAlignment="1">
      <alignment horizontal="center" vertical="center" wrapText="1"/>
    </xf>
    <xf numFmtId="9" fontId="7" fillId="0" borderId="1" xfId="2" applyFont="1" applyBorder="1" applyAlignment="1">
      <alignment horizontal="center" vertical="center"/>
    </xf>
    <xf numFmtId="0" fontId="7" fillId="0" borderId="1" xfId="0" applyFont="1" applyBorder="1" applyAlignment="1">
      <alignment horizontal="center" vertical="center"/>
    </xf>
    <xf numFmtId="10" fontId="7" fillId="0" borderId="1" xfId="2" applyNumberFormat="1" applyFont="1" applyBorder="1" applyAlignment="1">
      <alignment horizontal="center" vertical="center"/>
    </xf>
    <xf numFmtId="0" fontId="6" fillId="25" borderId="56" xfId="5" applyFont="1" applyFill="1" applyBorder="1" applyAlignment="1">
      <alignment horizontal="center" vertical="center"/>
    </xf>
    <xf numFmtId="0" fontId="6" fillId="25" borderId="57" xfId="5" applyFont="1" applyFill="1" applyBorder="1" applyAlignment="1">
      <alignment horizontal="center" vertical="center"/>
    </xf>
    <xf numFmtId="0" fontId="40" fillId="20" borderId="45" xfId="0" applyFont="1" applyFill="1" applyBorder="1" applyAlignment="1">
      <alignment vertical="center" wrapText="1"/>
    </xf>
    <xf numFmtId="0" fontId="41" fillId="21" borderId="45" xfId="0" applyFont="1" applyFill="1" applyBorder="1" applyAlignment="1">
      <alignment vertical="center" wrapText="1"/>
    </xf>
    <xf numFmtId="0" fontId="42" fillId="20" borderId="45" xfId="0" applyFont="1" applyFill="1" applyBorder="1" applyAlignment="1">
      <alignment vertical="center" wrapText="1"/>
    </xf>
    <xf numFmtId="0" fontId="42" fillId="22" borderId="45" xfId="0" applyFont="1" applyFill="1" applyBorder="1" applyAlignment="1">
      <alignment vertical="center" wrapText="1"/>
    </xf>
    <xf numFmtId="0" fontId="39" fillId="0" borderId="0" xfId="0" applyFont="1"/>
    <xf numFmtId="0" fontId="42" fillId="20" borderId="46" xfId="0" applyFont="1" applyFill="1" applyBorder="1" applyAlignment="1">
      <alignment vertical="center" wrapText="1"/>
    </xf>
    <xf numFmtId="0" fontId="22" fillId="0" borderId="0" xfId="0" applyFont="1"/>
    <xf numFmtId="0" fontId="43" fillId="0" borderId="0" xfId="0" applyFont="1"/>
    <xf numFmtId="0" fontId="15" fillId="7" borderId="59" xfId="0" applyFont="1" applyFill="1" applyBorder="1" applyAlignment="1">
      <alignment horizontal="center" vertical="center" textRotation="90" wrapText="1"/>
    </xf>
    <xf numFmtId="0" fontId="15" fillId="7" borderId="60" xfId="0" applyFont="1" applyFill="1" applyBorder="1" applyAlignment="1">
      <alignment horizontal="center" vertical="center" textRotation="90" wrapText="1"/>
    </xf>
    <xf numFmtId="0" fontId="9" fillId="0" borderId="0" xfId="0" applyFont="1" applyAlignment="1">
      <alignment horizontal="center" vertical="top"/>
    </xf>
    <xf numFmtId="49" fontId="7" fillId="17" borderId="12" xfId="0" applyNumberFormat="1" applyFont="1" applyFill="1" applyBorder="1" applyAlignment="1">
      <alignment horizontal="left" vertical="center" wrapText="1"/>
    </xf>
    <xf numFmtId="0" fontId="7" fillId="17" borderId="12" xfId="0" applyFont="1" applyFill="1" applyBorder="1" applyAlignment="1">
      <alignment horizontal="center" vertical="center"/>
    </xf>
    <xf numFmtId="0" fontId="14" fillId="17" borderId="12" xfId="0" applyFont="1" applyFill="1" applyBorder="1" applyAlignment="1">
      <alignment horizontal="center" vertical="center" wrapText="1"/>
    </xf>
    <xf numFmtId="0" fontId="11" fillId="17" borderId="12" xfId="0" applyFont="1" applyFill="1" applyBorder="1" applyAlignment="1">
      <alignment horizontal="center" vertical="center" wrapText="1"/>
    </xf>
    <xf numFmtId="165" fontId="11" fillId="17" borderId="12" xfId="3" applyNumberFormat="1" applyFont="1" applyFill="1" applyBorder="1" applyAlignment="1">
      <alignment horizontal="center" vertical="center" wrapText="1"/>
    </xf>
    <xf numFmtId="0" fontId="7" fillId="17" borderId="13" xfId="0" applyFont="1" applyFill="1" applyBorder="1" applyAlignment="1">
      <alignment horizontal="center" vertical="center"/>
    </xf>
    <xf numFmtId="0" fontId="7" fillId="17" borderId="19" xfId="0" applyFont="1" applyFill="1" applyBorder="1" applyAlignment="1">
      <alignment horizontal="center" vertical="center"/>
    </xf>
    <xf numFmtId="1" fontId="8" fillId="17" borderId="12" xfId="0" applyNumberFormat="1" applyFont="1" applyFill="1" applyBorder="1" applyAlignment="1">
      <alignment horizontal="center" vertical="center"/>
    </xf>
    <xf numFmtId="2" fontId="8" fillId="17" borderId="12" xfId="0" applyNumberFormat="1" applyFont="1" applyFill="1" applyBorder="1" applyAlignment="1">
      <alignment horizontal="center" vertical="center"/>
    </xf>
    <xf numFmtId="0" fontId="7" fillId="17" borderId="12" xfId="0" applyFont="1" applyFill="1" applyBorder="1" applyAlignment="1">
      <alignment horizontal="center" vertical="center" wrapText="1"/>
    </xf>
    <xf numFmtId="0" fontId="7" fillId="17" borderId="24" xfId="0" applyFont="1" applyFill="1" applyBorder="1" applyAlignment="1">
      <alignment horizontal="center" vertical="center" wrapText="1"/>
    </xf>
    <xf numFmtId="49" fontId="7" fillId="17" borderId="1" xfId="0" applyNumberFormat="1" applyFont="1" applyFill="1" applyBorder="1" applyAlignment="1">
      <alignment horizontal="left" vertical="center" wrapText="1"/>
    </xf>
    <xf numFmtId="0" fontId="7" fillId="17" borderId="1" xfId="0" applyFont="1" applyFill="1" applyBorder="1" applyAlignment="1">
      <alignment horizontal="center" vertical="center"/>
    </xf>
    <xf numFmtId="0" fontId="1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165" fontId="11" fillId="17" borderId="1" xfId="3" applyNumberFormat="1" applyFont="1" applyFill="1" applyBorder="1" applyAlignment="1">
      <alignment horizontal="center" vertical="center" wrapText="1"/>
    </xf>
    <xf numFmtId="0" fontId="7" fillId="17" borderId="15" xfId="0" applyFont="1" applyFill="1" applyBorder="1" applyAlignment="1">
      <alignment horizontal="center" vertical="center"/>
    </xf>
    <xf numFmtId="49" fontId="7" fillId="27" borderId="1" xfId="0" applyNumberFormat="1" applyFont="1" applyFill="1" applyBorder="1" applyAlignment="1">
      <alignment horizontal="left" vertical="center" wrapText="1"/>
    </xf>
    <xf numFmtId="0" fontId="7" fillId="27" borderId="1" xfId="0" applyFont="1" applyFill="1" applyBorder="1" applyAlignment="1">
      <alignment horizontal="center" vertical="center"/>
    </xf>
    <xf numFmtId="0" fontId="14" fillId="27" borderId="1" xfId="0" applyFont="1" applyFill="1" applyBorder="1" applyAlignment="1">
      <alignment horizontal="center" vertical="center" wrapText="1"/>
    </xf>
    <xf numFmtId="0" fontId="11" fillId="27" borderId="1" xfId="0" applyFont="1" applyFill="1" applyBorder="1" applyAlignment="1">
      <alignment horizontal="center" vertical="center" wrapText="1"/>
    </xf>
    <xf numFmtId="165" fontId="11" fillId="27" borderId="1" xfId="3" applyNumberFormat="1" applyFont="1" applyFill="1" applyBorder="1" applyAlignment="1">
      <alignment horizontal="center" vertical="center" wrapText="1"/>
    </xf>
    <xf numFmtId="0" fontId="7" fillId="27" borderId="15" xfId="0" applyFont="1" applyFill="1" applyBorder="1" applyAlignment="1">
      <alignment horizontal="center" vertical="center"/>
    </xf>
    <xf numFmtId="0" fontId="7" fillId="27" borderId="19" xfId="0" applyFont="1" applyFill="1" applyBorder="1" applyAlignment="1">
      <alignment horizontal="center" vertical="center"/>
    </xf>
    <xf numFmtId="0" fontId="7" fillId="27" borderId="12" xfId="0" applyFont="1" applyFill="1" applyBorder="1" applyAlignment="1">
      <alignment horizontal="center" vertical="center"/>
    </xf>
    <xf numFmtId="1" fontId="8" fillId="27" borderId="12" xfId="0" applyNumberFormat="1" applyFont="1" applyFill="1" applyBorder="1" applyAlignment="1">
      <alignment horizontal="center" vertical="center"/>
    </xf>
    <xf numFmtId="2" fontId="8" fillId="27" borderId="12" xfId="0" applyNumberFormat="1" applyFont="1" applyFill="1" applyBorder="1" applyAlignment="1">
      <alignment horizontal="center" vertical="center"/>
    </xf>
    <xf numFmtId="0" fontId="7" fillId="27" borderId="12" xfId="0" applyFont="1" applyFill="1" applyBorder="1" applyAlignment="1">
      <alignment horizontal="center" vertical="center" wrapText="1"/>
    </xf>
    <xf numFmtId="0" fontId="7" fillId="27" borderId="24" xfId="0" applyFont="1" applyFill="1" applyBorder="1" applyAlignment="1">
      <alignment horizontal="center" vertical="center" wrapText="1"/>
    </xf>
    <xf numFmtId="49" fontId="7" fillId="28" borderId="1" xfId="0" applyNumberFormat="1" applyFont="1" applyFill="1" applyBorder="1" applyAlignment="1">
      <alignment horizontal="left" vertical="center" wrapText="1"/>
    </xf>
    <xf numFmtId="0" fontId="7" fillId="28" borderId="1" xfId="0" applyFont="1" applyFill="1" applyBorder="1" applyAlignment="1">
      <alignment horizontal="center" vertical="center"/>
    </xf>
    <xf numFmtId="0" fontId="14" fillId="28" borderId="1" xfId="0" applyFont="1" applyFill="1" applyBorder="1" applyAlignment="1">
      <alignment horizontal="center" vertical="center" wrapText="1"/>
    </xf>
    <xf numFmtId="0" fontId="11" fillId="28" borderId="1" xfId="0" applyFont="1" applyFill="1" applyBorder="1" applyAlignment="1">
      <alignment horizontal="center" vertical="center" wrapText="1"/>
    </xf>
    <xf numFmtId="165" fontId="11" fillId="28" borderId="1" xfId="3" applyNumberFormat="1" applyFont="1" applyFill="1" applyBorder="1" applyAlignment="1">
      <alignment horizontal="center" vertical="center" wrapText="1"/>
    </xf>
    <xf numFmtId="0" fontId="7" fillId="28" borderId="15" xfId="0" applyFont="1" applyFill="1" applyBorder="1" applyAlignment="1">
      <alignment horizontal="center" vertical="center"/>
    </xf>
    <xf numFmtId="0" fontId="7" fillId="28" borderId="19" xfId="0" applyFont="1" applyFill="1" applyBorder="1" applyAlignment="1">
      <alignment horizontal="center" vertical="center"/>
    </xf>
    <xf numFmtId="0" fontId="7" fillId="28" borderId="12" xfId="0" applyFont="1" applyFill="1" applyBorder="1" applyAlignment="1">
      <alignment horizontal="center" vertical="center"/>
    </xf>
    <xf numFmtId="1" fontId="8" fillId="28" borderId="12" xfId="0" applyNumberFormat="1" applyFont="1" applyFill="1" applyBorder="1" applyAlignment="1">
      <alignment horizontal="center" vertical="center"/>
    </xf>
    <xf numFmtId="2" fontId="8" fillId="28" borderId="12" xfId="0" applyNumberFormat="1" applyFont="1" applyFill="1" applyBorder="1" applyAlignment="1">
      <alignment horizontal="center" vertical="center"/>
    </xf>
    <xf numFmtId="0" fontId="7" fillId="28" borderId="12" xfId="0" applyFont="1" applyFill="1" applyBorder="1" applyAlignment="1">
      <alignment horizontal="center" vertical="center" wrapText="1"/>
    </xf>
    <xf numFmtId="0" fontId="7" fillId="28" borderId="24" xfId="0" applyFont="1" applyFill="1" applyBorder="1" applyAlignment="1">
      <alignment horizontal="center" vertical="center" wrapText="1"/>
    </xf>
    <xf numFmtId="49" fontId="7" fillId="28" borderId="17" xfId="0" applyNumberFormat="1" applyFont="1" applyFill="1" applyBorder="1" applyAlignment="1">
      <alignment horizontal="left" vertical="center" wrapText="1"/>
    </xf>
    <xf numFmtId="0" fontId="7" fillId="28" borderId="17" xfId="0" applyFont="1" applyFill="1" applyBorder="1" applyAlignment="1">
      <alignment horizontal="center" vertical="center"/>
    </xf>
    <xf numFmtId="0" fontId="14" fillId="28" borderId="17" xfId="0" applyFont="1" applyFill="1" applyBorder="1" applyAlignment="1">
      <alignment horizontal="center" vertical="center" wrapText="1"/>
    </xf>
    <xf numFmtId="0" fontId="11" fillId="28" borderId="17" xfId="0" applyFont="1" applyFill="1" applyBorder="1" applyAlignment="1">
      <alignment horizontal="center" vertical="center" wrapText="1"/>
    </xf>
    <xf numFmtId="165" fontId="11" fillId="28" borderId="17" xfId="3" applyNumberFormat="1" applyFont="1" applyFill="1" applyBorder="1" applyAlignment="1">
      <alignment horizontal="center" vertical="center" wrapText="1"/>
    </xf>
    <xf numFmtId="0" fontId="7" fillId="28" borderId="18" xfId="0" applyFont="1" applyFill="1" applyBorder="1" applyAlignment="1">
      <alignment horizontal="center" vertical="center"/>
    </xf>
    <xf numFmtId="0" fontId="7" fillId="28" borderId="62" xfId="0" applyFont="1" applyFill="1" applyBorder="1" applyAlignment="1">
      <alignment horizontal="center" vertical="center"/>
    </xf>
    <xf numFmtId="0" fontId="7" fillId="28" borderId="26" xfId="0" applyFont="1" applyFill="1" applyBorder="1" applyAlignment="1">
      <alignment horizontal="center" vertical="center"/>
    </xf>
    <xf numFmtId="1" fontId="8" fillId="28" borderId="26" xfId="0" applyNumberFormat="1" applyFont="1" applyFill="1" applyBorder="1" applyAlignment="1">
      <alignment horizontal="center" vertical="center"/>
    </xf>
    <xf numFmtId="2" fontId="8" fillId="28" borderId="26" xfId="0" applyNumberFormat="1" applyFont="1" applyFill="1" applyBorder="1" applyAlignment="1">
      <alignment horizontal="center" vertical="center"/>
    </xf>
    <xf numFmtId="0" fontId="7" fillId="28" borderId="26" xfId="0" applyFont="1" applyFill="1" applyBorder="1" applyAlignment="1">
      <alignment horizontal="center" vertical="center" wrapText="1"/>
    </xf>
    <xf numFmtId="0" fontId="7" fillId="28" borderId="63" xfId="0" applyFont="1" applyFill="1" applyBorder="1" applyAlignment="1">
      <alignment horizontal="center" vertical="center" wrapText="1"/>
    </xf>
    <xf numFmtId="0" fontId="7" fillId="4" borderId="0" xfId="0" applyFont="1" applyFill="1"/>
    <xf numFmtId="0" fontId="7" fillId="4" borderId="0" xfId="0" applyFont="1" applyFill="1" applyAlignment="1">
      <alignment vertical="top"/>
    </xf>
    <xf numFmtId="0" fontId="7" fillId="4" borderId="0" xfId="0" applyFont="1" applyFill="1" applyAlignment="1">
      <alignment vertical="center" wrapText="1"/>
    </xf>
    <xf numFmtId="0" fontId="7" fillId="4" borderId="0" xfId="0" applyFont="1" applyFill="1" applyAlignment="1">
      <alignment wrapText="1"/>
    </xf>
    <xf numFmtId="0" fontId="7" fillId="4" borderId="0" xfId="0" applyFont="1" applyFill="1" applyAlignment="1">
      <alignment horizontal="center" vertical="center" wrapText="1"/>
    </xf>
    <xf numFmtId="9" fontId="10" fillId="5" borderId="24" xfId="2" applyFont="1" applyFill="1" applyBorder="1" applyAlignment="1">
      <alignment horizontal="center" vertical="center" wrapText="1"/>
    </xf>
    <xf numFmtId="9" fontId="10" fillId="5" borderId="2" xfId="2" applyFont="1" applyFill="1" applyBorder="1" applyAlignment="1">
      <alignment horizontal="center" vertical="center" wrapText="1"/>
    </xf>
    <xf numFmtId="168" fontId="10" fillId="5" borderId="2" xfId="0" applyNumberFormat="1" applyFont="1" applyFill="1" applyBorder="1" applyAlignment="1">
      <alignment horizontal="center" vertical="center" wrapText="1"/>
    </xf>
    <xf numFmtId="168" fontId="46" fillId="29" borderId="19" xfId="0" applyNumberFormat="1" applyFont="1" applyFill="1" applyBorder="1" applyAlignment="1">
      <alignment horizontal="center" vertical="center" wrapText="1"/>
    </xf>
    <xf numFmtId="0" fontId="9" fillId="0" borderId="0" xfId="0" applyFont="1" applyAlignment="1">
      <alignment horizontal="center" vertical="top" wrapText="1"/>
    </xf>
    <xf numFmtId="14" fontId="11" fillId="17" borderId="12" xfId="0" applyNumberFormat="1" applyFont="1" applyFill="1" applyBorder="1" applyAlignment="1">
      <alignment horizontal="center" vertical="center" wrapText="1"/>
    </xf>
    <xf numFmtId="14" fontId="11" fillId="17" borderId="1" xfId="0" applyNumberFormat="1" applyFont="1" applyFill="1" applyBorder="1" applyAlignment="1">
      <alignment horizontal="center" vertical="center" wrapText="1"/>
    </xf>
    <xf numFmtId="14" fontId="11" fillId="27" borderId="1" xfId="0" applyNumberFormat="1" applyFont="1" applyFill="1" applyBorder="1" applyAlignment="1">
      <alignment horizontal="center" vertical="center" wrapText="1"/>
    </xf>
    <xf numFmtId="14" fontId="11" fillId="28" borderId="1" xfId="0" applyNumberFormat="1" applyFont="1" applyFill="1" applyBorder="1" applyAlignment="1">
      <alignment horizontal="center" vertical="center" wrapText="1"/>
    </xf>
    <xf numFmtId="0" fontId="0" fillId="26" borderId="56" xfId="5" applyFont="1" applyFill="1" applyBorder="1" applyAlignment="1">
      <alignment horizontal="center"/>
    </xf>
    <xf numFmtId="0" fontId="15" fillId="0" borderId="0" xfId="0" applyFont="1"/>
    <xf numFmtId="0" fontId="47" fillId="0" borderId="0" xfId="0" applyFont="1"/>
    <xf numFmtId="165" fontId="7" fillId="0" borderId="0" xfId="0" applyNumberFormat="1" applyFont="1"/>
    <xf numFmtId="0" fontId="48" fillId="0" borderId="0" xfId="0" applyFont="1"/>
    <xf numFmtId="9" fontId="48" fillId="0" borderId="0" xfId="2" applyFont="1"/>
    <xf numFmtId="9" fontId="0" fillId="0" borderId="0" xfId="2" applyFont="1"/>
    <xf numFmtId="0" fontId="2" fillId="0" borderId="0" xfId="0" applyFont="1" applyAlignment="1">
      <alignment horizontal="center" vertical="center"/>
    </xf>
    <xf numFmtId="0" fontId="0" fillId="0" borderId="2" xfId="0" applyBorder="1" applyAlignment="1">
      <alignment horizontal="center"/>
    </xf>
    <xf numFmtId="0" fontId="0" fillId="0" borderId="0" xfId="0" applyAlignment="1">
      <alignment horizontal="center" vertical="center"/>
    </xf>
    <xf numFmtId="0" fontId="49" fillId="0" borderId="0" xfId="0" applyFont="1"/>
    <xf numFmtId="9" fontId="0" fillId="0" borderId="0" xfId="2" applyFont="1" applyAlignment="1">
      <alignment horizontal="center"/>
    </xf>
    <xf numFmtId="3" fontId="3" fillId="0" borderId="12" xfId="0" applyNumberFormat="1" applyFont="1" applyBorder="1" applyAlignment="1">
      <alignment horizontal="center"/>
    </xf>
    <xf numFmtId="9" fontId="3" fillId="0" borderId="12" xfId="2" applyFont="1" applyFill="1" applyBorder="1" applyAlignment="1">
      <alignment horizontal="center"/>
    </xf>
    <xf numFmtId="4" fontId="3" fillId="0" borderId="1" xfId="7" applyNumberFormat="1" applyFont="1" applyFill="1" applyBorder="1" applyAlignment="1">
      <alignment horizontal="center"/>
    </xf>
    <xf numFmtId="0" fontId="3" fillId="0" borderId="1" xfId="0" applyFont="1" applyBorder="1" applyAlignment="1">
      <alignment horizontal="center"/>
    </xf>
    <xf numFmtId="3" fontId="3" fillId="0" borderId="1" xfId="7" applyNumberFormat="1" applyFont="1" applyBorder="1" applyAlignment="1">
      <alignment horizontal="center"/>
    </xf>
    <xf numFmtId="170" fontId="3" fillId="0" borderId="1" xfId="0" applyNumberFormat="1" applyFont="1" applyBorder="1" applyAlignment="1">
      <alignment horizontal="center"/>
    </xf>
    <xf numFmtId="3" fontId="3" fillId="0" borderId="1" xfId="0" applyNumberFormat="1" applyFont="1" applyBorder="1" applyAlignment="1">
      <alignment horizontal="center"/>
    </xf>
    <xf numFmtId="9" fontId="3" fillId="0" borderId="1" xfId="2" applyFont="1" applyFill="1" applyBorder="1" applyAlignment="1">
      <alignment horizontal="center"/>
    </xf>
    <xf numFmtId="9" fontId="4" fillId="0" borderId="0" xfId="2" applyFont="1" applyAlignment="1">
      <alignment horizontal="center"/>
    </xf>
    <xf numFmtId="0" fontId="4" fillId="0" borderId="0" xfId="0" applyFont="1" applyAlignment="1">
      <alignment horizontal="center"/>
    </xf>
    <xf numFmtId="169" fontId="0" fillId="0" borderId="0" xfId="7" applyFont="1" applyAlignment="1">
      <alignment horizontal="center"/>
    </xf>
    <xf numFmtId="3" fontId="3" fillId="0" borderId="17" xfId="0" applyNumberFormat="1" applyFont="1" applyBorder="1" applyAlignment="1">
      <alignment horizontal="center"/>
    </xf>
    <xf numFmtId="9" fontId="3" fillId="0" borderId="17" xfId="2" applyFont="1" applyFill="1" applyBorder="1" applyAlignment="1">
      <alignment horizontal="center"/>
    </xf>
    <xf numFmtId="0" fontId="4" fillId="8" borderId="25" xfId="0" applyFont="1" applyFill="1" applyBorder="1" applyAlignment="1">
      <alignment horizontal="center"/>
    </xf>
    <xf numFmtId="41" fontId="4" fillId="8" borderId="27" xfId="6" applyFont="1" applyFill="1" applyBorder="1" applyAlignment="1">
      <alignment horizontal="center"/>
    </xf>
    <xf numFmtId="4" fontId="5" fillId="8" borderId="26" xfId="7" applyNumberFormat="1" applyFont="1" applyFill="1" applyBorder="1" applyAlignment="1">
      <alignment horizontal="center"/>
    </xf>
    <xf numFmtId="3" fontId="4" fillId="8" borderId="26" xfId="0" applyNumberFormat="1" applyFont="1" applyFill="1" applyBorder="1" applyAlignment="1">
      <alignment horizontal="center"/>
    </xf>
    <xf numFmtId="0" fontId="4" fillId="8" borderId="26" xfId="0" applyFont="1" applyFill="1" applyBorder="1" applyAlignment="1">
      <alignment horizontal="center"/>
    </xf>
    <xf numFmtId="3" fontId="5" fillId="8" borderId="67" xfId="7" applyNumberFormat="1" applyFont="1" applyFill="1" applyBorder="1" applyAlignment="1">
      <alignment horizontal="center"/>
    </xf>
    <xf numFmtId="171" fontId="0" fillId="4" borderId="0" xfId="0" applyNumberFormat="1" applyFill="1"/>
    <xf numFmtId="172" fontId="0" fillId="4" borderId="68" xfId="2" applyNumberFormat="1" applyFont="1" applyFill="1" applyBorder="1" applyAlignment="1">
      <alignment horizontal="center"/>
    </xf>
    <xf numFmtId="172" fontId="0" fillId="4" borderId="66" xfId="2" applyNumberFormat="1" applyFont="1" applyFill="1" applyBorder="1" applyAlignment="1">
      <alignment horizontal="center"/>
    </xf>
    <xf numFmtId="170" fontId="0" fillId="4" borderId="0" xfId="0" applyNumberFormat="1" applyFill="1"/>
    <xf numFmtId="169" fontId="0" fillId="0" borderId="0" xfId="7" applyFont="1"/>
    <xf numFmtId="0" fontId="0" fillId="3" borderId="2" xfId="0" applyFill="1" applyBorder="1" applyAlignment="1">
      <alignment horizontal="center" vertical="center" wrapText="1"/>
    </xf>
    <xf numFmtId="9" fontId="0" fillId="0" borderId="0" xfId="0" applyNumberFormat="1"/>
    <xf numFmtId="3" fontId="0" fillId="0" borderId="0" xfId="0" applyNumberFormat="1"/>
    <xf numFmtId="173" fontId="0" fillId="0" borderId="64" xfId="0" applyNumberFormat="1" applyBorder="1" applyAlignment="1">
      <alignment horizontal="right"/>
    </xf>
    <xf numFmtId="174" fontId="0" fillId="0" borderId="2" xfId="0" applyNumberFormat="1" applyBorder="1" applyAlignment="1">
      <alignment horizontal="right"/>
    </xf>
    <xf numFmtId="172" fontId="0" fillId="0" borderId="64" xfId="0" applyNumberFormat="1" applyBorder="1" applyAlignment="1">
      <alignment horizontal="right"/>
    </xf>
    <xf numFmtId="172" fontId="0" fillId="0" borderId="2" xfId="0" applyNumberFormat="1" applyBorder="1" applyAlignment="1">
      <alignment horizontal="right"/>
    </xf>
    <xf numFmtId="174" fontId="0" fillId="31" borderId="2" xfId="0" applyNumberFormat="1" applyFill="1" applyBorder="1" applyAlignment="1">
      <alignment horizontal="right"/>
    </xf>
    <xf numFmtId="173" fontId="0" fillId="0" borderId="2" xfId="0" applyNumberFormat="1" applyBorder="1" applyAlignment="1">
      <alignment horizontal="right"/>
    </xf>
    <xf numFmtId="0" fontId="3" fillId="0" borderId="14" xfId="0" applyFont="1" applyBorder="1" applyAlignment="1">
      <alignment horizontal="center"/>
    </xf>
    <xf numFmtId="0" fontId="6" fillId="6" borderId="0" xfId="0" applyFont="1" applyFill="1" applyAlignment="1">
      <alignment horizontal="center" vertical="center"/>
    </xf>
    <xf numFmtId="0" fontId="50" fillId="10" borderId="0" xfId="1" applyFont="1" applyFill="1" applyAlignment="1">
      <alignment vertical="center"/>
    </xf>
    <xf numFmtId="0" fontId="51" fillId="10" borderId="0" xfId="1" applyFont="1" applyFill="1" applyAlignment="1">
      <alignment vertical="center"/>
    </xf>
    <xf numFmtId="0" fontId="1" fillId="0" borderId="0" xfId="1" applyAlignment="1">
      <alignment vertical="center"/>
    </xf>
    <xf numFmtId="0" fontId="50" fillId="29" borderId="1" xfId="1" applyFont="1" applyFill="1" applyBorder="1" applyAlignment="1">
      <alignment horizontal="center" vertical="center"/>
    </xf>
    <xf numFmtId="0" fontId="53" fillId="0" borderId="0" xfId="0" applyFont="1" applyAlignment="1">
      <alignment vertical="center"/>
    </xf>
    <xf numFmtId="0" fontId="50" fillId="29" borderId="1" xfId="1" applyFont="1" applyFill="1" applyBorder="1" applyAlignment="1">
      <alignment vertical="center"/>
    </xf>
    <xf numFmtId="9" fontId="50" fillId="29" borderId="1" xfId="1" applyNumberFormat="1" applyFont="1" applyFill="1" applyBorder="1" applyAlignment="1">
      <alignment horizontal="center" vertical="center" wrapText="1"/>
    </xf>
    <xf numFmtId="0" fontId="1" fillId="0" borderId="14" xfId="1" applyBorder="1" applyAlignment="1">
      <alignment horizontal="right" vertical="center" wrapText="1"/>
    </xf>
    <xf numFmtId="0" fontId="52" fillId="0" borderId="38" xfId="1" applyFont="1" applyBorder="1" applyAlignment="1">
      <alignment horizontal="center" vertical="center" wrapText="1"/>
    </xf>
    <xf numFmtId="0" fontId="1" fillId="0" borderId="1" xfId="1" applyBorder="1" applyAlignment="1">
      <alignment horizontal="center" vertical="center" wrapText="1"/>
    </xf>
    <xf numFmtId="0" fontId="1" fillId="0" borderId="15" xfId="1" applyBorder="1" applyAlignment="1">
      <alignment vertical="center" wrapText="1"/>
    </xf>
    <xf numFmtId="0" fontId="1" fillId="0" borderId="54" xfId="1" applyBorder="1" applyAlignment="1">
      <alignment horizontal="right" vertical="center" wrapText="1"/>
    </xf>
    <xf numFmtId="0" fontId="52" fillId="0" borderId="72" xfId="1" applyFont="1" applyBorder="1" applyAlignment="1">
      <alignment horizontal="center" vertical="center" wrapText="1"/>
    </xf>
    <xf numFmtId="0" fontId="1" fillId="0" borderId="40" xfId="1" applyBorder="1" applyAlignment="1">
      <alignment horizontal="center" vertical="center" wrapText="1"/>
    </xf>
    <xf numFmtId="0" fontId="1" fillId="0" borderId="55" xfId="1" applyBorder="1" applyAlignment="1">
      <alignment vertical="center" wrapText="1"/>
    </xf>
    <xf numFmtId="0" fontId="52" fillId="0" borderId="16" xfId="1" applyFont="1" applyBorder="1" applyAlignment="1">
      <alignment horizontal="right" vertical="center" wrapText="1"/>
    </xf>
    <xf numFmtId="0" fontId="52" fillId="0" borderId="17" xfId="1" applyFont="1" applyBorder="1" applyAlignment="1">
      <alignment horizontal="center" vertical="center" wrapText="1"/>
    </xf>
    <xf numFmtId="0" fontId="1" fillId="0" borderId="18" xfId="1" applyBorder="1" applyAlignment="1">
      <alignment vertical="center" wrapText="1"/>
    </xf>
    <xf numFmtId="0" fontId="1" fillId="0" borderId="11" xfId="1" applyBorder="1" applyAlignment="1">
      <alignment horizontal="right" vertical="center" wrapText="1"/>
    </xf>
    <xf numFmtId="0" fontId="52" fillId="0" borderId="19" xfId="1" applyFont="1" applyBorder="1" applyAlignment="1">
      <alignment horizontal="center" vertical="center" wrapText="1"/>
    </xf>
    <xf numFmtId="0" fontId="1" fillId="0" borderId="12" xfId="1" applyBorder="1" applyAlignment="1">
      <alignment horizontal="center" vertical="center" wrapText="1"/>
    </xf>
    <xf numFmtId="0" fontId="1" fillId="0" borderId="13" xfId="1" applyBorder="1" applyAlignment="1">
      <alignment vertical="center" wrapText="1"/>
    </xf>
    <xf numFmtId="0" fontId="1" fillId="0" borderId="73" xfId="1" applyBorder="1" applyAlignment="1">
      <alignment horizontal="right" vertical="center" wrapText="1"/>
    </xf>
    <xf numFmtId="0" fontId="52" fillId="0" borderId="74" xfId="1" applyFont="1" applyBorder="1" applyAlignment="1">
      <alignment horizontal="center" vertical="center" wrapText="1"/>
    </xf>
    <xf numFmtId="0" fontId="1" fillId="0" borderId="39" xfId="1" applyBorder="1" applyAlignment="1">
      <alignment horizontal="center" vertical="center" wrapText="1"/>
    </xf>
    <xf numFmtId="0" fontId="1" fillId="0" borderId="75" xfId="1" applyBorder="1" applyAlignment="1">
      <alignment vertical="center" wrapText="1"/>
    </xf>
    <xf numFmtId="0" fontId="1" fillId="0" borderId="76" xfId="1" applyBorder="1" applyAlignment="1">
      <alignment horizontal="center" vertical="center" wrapText="1"/>
    </xf>
    <xf numFmtId="0" fontId="1" fillId="0" borderId="13" xfId="1" applyBorder="1" applyAlignment="1">
      <alignment horizontal="left" vertical="center" wrapText="1"/>
    </xf>
    <xf numFmtId="0" fontId="1" fillId="0" borderId="15" xfId="1" applyBorder="1" applyAlignment="1">
      <alignment horizontal="left" vertical="center" wrapText="1"/>
    </xf>
    <xf numFmtId="0" fontId="1" fillId="0" borderId="75" xfId="1" applyBorder="1" applyAlignment="1">
      <alignment horizontal="left" vertical="center" wrapText="1"/>
    </xf>
    <xf numFmtId="0" fontId="52" fillId="0" borderId="77" xfId="1" applyFont="1" applyBorder="1" applyAlignment="1">
      <alignment horizontal="right" vertical="center" wrapText="1"/>
    </xf>
    <xf numFmtId="0" fontId="52" fillId="0" borderId="67" xfId="1" applyFont="1" applyBorder="1" applyAlignment="1">
      <alignment horizontal="center" vertical="center" wrapText="1"/>
    </xf>
    <xf numFmtId="0" fontId="1" fillId="0" borderId="30" xfId="1" applyBorder="1" applyAlignment="1">
      <alignment vertical="center" wrapText="1"/>
    </xf>
    <xf numFmtId="0" fontId="50" fillId="10" borderId="77" xfId="1" applyFont="1" applyFill="1" applyBorder="1" applyAlignment="1">
      <alignment horizontal="right" vertical="center" wrapText="1"/>
    </xf>
    <xf numFmtId="0" fontId="52" fillId="0" borderId="0" xfId="1" applyFont="1" applyAlignment="1">
      <alignment horizontal="right" vertical="center"/>
    </xf>
    <xf numFmtId="0" fontId="54" fillId="0" borderId="0" xfId="1" applyFont="1" applyAlignment="1">
      <alignment vertical="center"/>
    </xf>
    <xf numFmtId="0" fontId="4" fillId="4" borderId="0" xfId="0" applyFont="1" applyFill="1" applyAlignment="1">
      <alignment horizontal="right"/>
    </xf>
    <xf numFmtId="0" fontId="15" fillId="10" borderId="64"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5" fillId="29" borderId="9" xfId="0" applyFont="1" applyFill="1" applyBorder="1" applyAlignment="1">
      <alignment horizontal="center" vertical="center" wrapText="1"/>
    </xf>
    <xf numFmtId="0" fontId="15" fillId="29" borderId="64" xfId="0" applyFont="1" applyFill="1" applyBorder="1" applyAlignment="1">
      <alignment horizontal="center" vertical="center" wrapText="1"/>
    </xf>
    <xf numFmtId="0" fontId="15" fillId="12" borderId="26" xfId="0" applyFont="1" applyFill="1" applyBorder="1" applyAlignment="1">
      <alignment horizontal="center"/>
    </xf>
    <xf numFmtId="0" fontId="15" fillId="12" borderId="64" xfId="0" applyFont="1" applyFill="1" applyBorder="1" applyAlignment="1">
      <alignment horizontal="center" vertical="center" wrapText="1"/>
    </xf>
    <xf numFmtId="0" fontId="15" fillId="32" borderId="64" xfId="0" applyFont="1" applyFill="1" applyBorder="1" applyAlignment="1">
      <alignment horizontal="center" vertical="center" wrapText="1"/>
    </xf>
    <xf numFmtId="0" fontId="15" fillId="32" borderId="9" xfId="0" applyFont="1" applyFill="1" applyBorder="1" applyAlignment="1">
      <alignment horizontal="center" vertical="center" wrapText="1"/>
    </xf>
    <xf numFmtId="0" fontId="15" fillId="29" borderId="0" xfId="0" applyFont="1" applyFill="1" applyAlignment="1">
      <alignment horizontal="left"/>
    </xf>
    <xf numFmtId="0" fontId="15" fillId="29" borderId="0" xfId="0" applyFont="1" applyFill="1"/>
    <xf numFmtId="0" fontId="39" fillId="0" borderId="11" xfId="0" applyFont="1" applyBorder="1" applyAlignment="1">
      <alignment horizontal="center"/>
    </xf>
    <xf numFmtId="0" fontId="39" fillId="0" borderId="14" xfId="0" applyFont="1" applyBorder="1" applyAlignment="1">
      <alignment horizontal="center"/>
    </xf>
    <xf numFmtId="3" fontId="3" fillId="0" borderId="1" xfId="7" applyNumberFormat="1" applyFont="1" applyFill="1" applyBorder="1" applyAlignment="1">
      <alignment horizontal="center"/>
    </xf>
    <xf numFmtId="41" fontId="4" fillId="8" borderId="27" xfId="6" applyFont="1" applyFill="1" applyBorder="1" applyAlignment="1">
      <alignment horizontal="center" vertical="center"/>
    </xf>
    <xf numFmtId="0" fontId="49" fillId="4" borderId="0" xfId="0" applyFont="1" applyFill="1" applyAlignment="1">
      <alignment horizontal="center" vertical="center"/>
    </xf>
    <xf numFmtId="0" fontId="2" fillId="4" borderId="0" xfId="0" applyFont="1" applyFill="1" applyAlignment="1">
      <alignment horizontal="center" vertical="center"/>
    </xf>
    <xf numFmtId="0" fontId="49" fillId="4" borderId="0" xfId="0" applyFont="1" applyFill="1"/>
    <xf numFmtId="0" fontId="2" fillId="4" borderId="0" xfId="0" applyFont="1" applyFill="1"/>
    <xf numFmtId="0" fontId="50" fillId="10" borderId="69" xfId="1" applyFont="1" applyFill="1" applyBorder="1" applyAlignment="1">
      <alignment horizontal="center" vertical="center"/>
    </xf>
    <xf numFmtId="0" fontId="50" fillId="10" borderId="70" xfId="1" applyFont="1" applyFill="1" applyBorder="1" applyAlignment="1">
      <alignment horizontal="center" vertical="center"/>
    </xf>
    <xf numFmtId="0" fontId="50" fillId="10" borderId="71" xfId="1" applyFont="1" applyFill="1" applyBorder="1" applyAlignment="1">
      <alignment horizontal="center" vertical="center"/>
    </xf>
    <xf numFmtId="0" fontId="50" fillId="10" borderId="3" xfId="1" applyFont="1" applyFill="1" applyBorder="1" applyAlignment="1">
      <alignment horizontal="center" vertical="center" wrapText="1"/>
    </xf>
    <xf numFmtId="0" fontId="50" fillId="10" borderId="5" xfId="1" applyFont="1" applyFill="1" applyBorder="1" applyAlignment="1">
      <alignment horizontal="center" vertical="center" wrapText="1"/>
    </xf>
    <xf numFmtId="0" fontId="50" fillId="10" borderId="4" xfId="1" applyFont="1" applyFill="1" applyBorder="1" applyAlignment="1">
      <alignment horizontal="center" vertical="center" wrapText="1"/>
    </xf>
    <xf numFmtId="0" fontId="2" fillId="4" borderId="0" xfId="0" applyFont="1" applyFill="1" applyAlignment="1">
      <alignment horizontal="left"/>
    </xf>
    <xf numFmtId="0" fontId="0" fillId="4" borderId="0" xfId="0" applyFill="1" applyAlignment="1">
      <alignment horizontal="left" vertical="center" wrapText="1"/>
    </xf>
    <xf numFmtId="0" fontId="0" fillId="4" borderId="0" xfId="0" applyFill="1" applyAlignment="1">
      <alignment horizontal="left" vertical="center"/>
    </xf>
    <xf numFmtId="0" fontId="8" fillId="28" borderId="1" xfId="0" applyFont="1" applyFill="1" applyBorder="1" applyAlignment="1">
      <alignment horizontal="center" vertical="center"/>
    </xf>
    <xf numFmtId="0" fontId="8" fillId="28" borderId="17" xfId="0" applyFont="1" applyFill="1" applyBorder="1" applyAlignment="1">
      <alignment horizontal="center" vertical="center"/>
    </xf>
    <xf numFmtId="0" fontId="7" fillId="28" borderId="1" xfId="0" applyFont="1" applyFill="1" applyBorder="1" applyAlignment="1">
      <alignment horizontal="center" vertical="center"/>
    </xf>
    <xf numFmtId="0" fontId="7" fillId="28" borderId="17" xfId="0" applyFont="1" applyFill="1" applyBorder="1" applyAlignment="1">
      <alignment horizontal="center" vertical="center"/>
    </xf>
    <xf numFmtId="9" fontId="7" fillId="28" borderId="1" xfId="0" applyNumberFormat="1" applyFont="1" applyFill="1" applyBorder="1" applyAlignment="1">
      <alignment horizontal="center" vertical="center" wrapText="1"/>
    </xf>
    <xf numFmtId="9" fontId="7" fillId="28" borderId="17" xfId="0" applyNumberFormat="1" applyFont="1" applyFill="1" applyBorder="1" applyAlignment="1">
      <alignment horizontal="center" vertical="center" wrapText="1"/>
    </xf>
    <xf numFmtId="1" fontId="7" fillId="28" borderId="1" xfId="2" applyNumberFormat="1" applyFont="1" applyFill="1" applyBorder="1" applyAlignment="1">
      <alignment horizontal="center" vertical="center"/>
    </xf>
    <xf numFmtId="1" fontId="7" fillId="28" borderId="17" xfId="2" applyNumberFormat="1" applyFont="1" applyFill="1" applyBorder="1" applyAlignment="1">
      <alignment horizontal="center" vertical="center"/>
    </xf>
    <xf numFmtId="0" fontId="8" fillId="17" borderId="12" xfId="0" applyFont="1" applyFill="1" applyBorder="1" applyAlignment="1">
      <alignment horizontal="center" vertical="center"/>
    </xf>
    <xf numFmtId="0" fontId="8" fillId="17" borderId="1" xfId="0" applyFont="1" applyFill="1" applyBorder="1" applyAlignment="1">
      <alignment horizontal="center" vertical="center"/>
    </xf>
    <xf numFmtId="0" fontId="7" fillId="17" borderId="12" xfId="0" applyFont="1" applyFill="1" applyBorder="1" applyAlignment="1">
      <alignment horizontal="center" vertical="center"/>
    </xf>
    <xf numFmtId="0" fontId="7" fillId="17" borderId="1" xfId="0" applyFont="1" applyFill="1" applyBorder="1" applyAlignment="1">
      <alignment horizontal="center" vertical="center"/>
    </xf>
    <xf numFmtId="0" fontId="8" fillId="27" borderId="14" xfId="0" applyFont="1" applyFill="1" applyBorder="1" applyAlignment="1">
      <alignment horizontal="center" vertical="center"/>
    </xf>
    <xf numFmtId="0" fontId="7" fillId="27" borderId="1" xfId="0" applyFont="1" applyFill="1" applyBorder="1" applyAlignment="1">
      <alignment horizontal="left" vertical="center" wrapText="1"/>
    </xf>
    <xf numFmtId="49" fontId="7" fillId="27" borderId="1" xfId="0" applyNumberFormat="1" applyFont="1" applyFill="1" applyBorder="1" applyAlignment="1">
      <alignment horizontal="left" vertical="center" wrapText="1"/>
    </xf>
    <xf numFmtId="9" fontId="7" fillId="27" borderId="1" xfId="0" applyNumberFormat="1" applyFont="1" applyFill="1" applyBorder="1" applyAlignment="1">
      <alignment horizontal="center" vertical="center" wrapText="1"/>
    </xf>
    <xf numFmtId="1" fontId="7" fillId="27" borderId="1" xfId="2" applyNumberFormat="1" applyFont="1" applyFill="1" applyBorder="1" applyAlignment="1">
      <alignment horizontal="center" vertical="center"/>
    </xf>
    <xf numFmtId="0" fontId="8" fillId="27" borderId="1" xfId="0" applyFont="1" applyFill="1" applyBorder="1" applyAlignment="1">
      <alignment horizontal="center" vertical="center"/>
    </xf>
    <xf numFmtId="0" fontId="7" fillId="27" borderId="1" xfId="0" applyFont="1" applyFill="1" applyBorder="1" applyAlignment="1">
      <alignment horizontal="center" vertical="center"/>
    </xf>
    <xf numFmtId="9" fontId="7" fillId="17" borderId="12" xfId="0" applyNumberFormat="1" applyFont="1" applyFill="1" applyBorder="1" applyAlignment="1">
      <alignment horizontal="center" vertical="center" wrapText="1"/>
    </xf>
    <xf numFmtId="9" fontId="7" fillId="17" borderId="1" xfId="0" applyNumberFormat="1" applyFont="1" applyFill="1" applyBorder="1" applyAlignment="1">
      <alignment horizontal="center" vertical="center" wrapText="1"/>
    </xf>
    <xf numFmtId="1" fontId="7" fillId="17" borderId="12" xfId="2" applyNumberFormat="1" applyFont="1" applyFill="1" applyBorder="1" applyAlignment="1">
      <alignment horizontal="center" vertical="center"/>
    </xf>
    <xf numFmtId="1" fontId="7" fillId="17" borderId="1" xfId="2" applyNumberFormat="1" applyFont="1" applyFill="1" applyBorder="1" applyAlignment="1">
      <alignment horizontal="center" vertical="center"/>
    </xf>
    <xf numFmtId="0" fontId="8" fillId="17" borderId="11" xfId="0" applyFont="1" applyFill="1" applyBorder="1" applyAlignment="1">
      <alignment horizontal="center" vertical="center"/>
    </xf>
    <xf numFmtId="0" fontId="8" fillId="17" borderId="14" xfId="0" applyFont="1" applyFill="1" applyBorder="1" applyAlignment="1">
      <alignment horizontal="center" vertical="center"/>
    </xf>
    <xf numFmtId="0" fontId="7" fillId="8" borderId="12"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7" fillId="8" borderId="17" xfId="0" applyFont="1" applyFill="1" applyBorder="1" applyAlignment="1" applyProtection="1">
      <alignment horizontal="center" vertical="center" wrapText="1"/>
      <protection locked="0"/>
    </xf>
    <xf numFmtId="0" fontId="7" fillId="17" borderId="12" xfId="0" applyFont="1" applyFill="1" applyBorder="1" applyAlignment="1">
      <alignment horizontal="left" vertical="center" wrapText="1"/>
    </xf>
    <xf numFmtId="0" fontId="7" fillId="17" borderId="1" xfId="0" applyFont="1" applyFill="1" applyBorder="1" applyAlignment="1">
      <alignment horizontal="left" vertical="center" wrapText="1"/>
    </xf>
    <xf numFmtId="49" fontId="7" fillId="17" borderId="12" xfId="0" applyNumberFormat="1" applyFont="1" applyFill="1" applyBorder="1" applyAlignment="1">
      <alignment horizontal="left" vertical="center" wrapText="1"/>
    </xf>
    <xf numFmtId="49" fontId="7" fillId="17" borderId="1" xfId="0" applyNumberFormat="1" applyFont="1" applyFill="1" applyBorder="1" applyAlignment="1">
      <alignment horizontal="left" vertical="center" wrapText="1"/>
    </xf>
    <xf numFmtId="0" fontId="7" fillId="8" borderId="12"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17" xfId="0" applyFont="1" applyFill="1" applyBorder="1" applyAlignment="1">
      <alignment horizontal="center" vertical="center"/>
    </xf>
    <xf numFmtId="0" fontId="8" fillId="28" borderId="14" xfId="0" applyFont="1" applyFill="1" applyBorder="1" applyAlignment="1">
      <alignment horizontal="center" vertical="center"/>
    </xf>
    <xf numFmtId="0" fontId="8" fillId="28" borderId="16" xfId="0" applyFont="1" applyFill="1" applyBorder="1" applyAlignment="1">
      <alignment horizontal="center" vertical="center"/>
    </xf>
    <xf numFmtId="0" fontId="7" fillId="28" borderId="1" xfId="0" applyFont="1" applyFill="1" applyBorder="1" applyAlignment="1">
      <alignment horizontal="left" vertical="center" wrapText="1"/>
    </xf>
    <xf numFmtId="0" fontId="7" fillId="28" borderId="17" xfId="0" applyFont="1" applyFill="1" applyBorder="1" applyAlignment="1">
      <alignment horizontal="left" vertical="center" wrapText="1"/>
    </xf>
    <xf numFmtId="49" fontId="7" fillId="28" borderId="1" xfId="0" applyNumberFormat="1" applyFont="1" applyFill="1" applyBorder="1" applyAlignment="1">
      <alignment horizontal="left" vertical="center" wrapText="1"/>
    </xf>
    <xf numFmtId="49" fontId="7" fillId="28" borderId="17" xfId="0" applyNumberFormat="1" applyFont="1" applyFill="1" applyBorder="1" applyAlignment="1">
      <alignment horizontal="left" vertical="center" wrapText="1"/>
    </xf>
    <xf numFmtId="0" fontId="10" fillId="5" borderId="25" xfId="0" applyFont="1" applyFill="1" applyBorder="1" applyAlignment="1">
      <alignment horizontal="center" vertical="center" wrapText="1"/>
    </xf>
    <xf numFmtId="0" fontId="10" fillId="5" borderId="27" xfId="0" applyFont="1" applyFill="1" applyBorder="1" applyAlignment="1">
      <alignment horizontal="center" vertical="center" wrapText="1"/>
    </xf>
    <xf numFmtId="9" fontId="10" fillId="5" borderId="3" xfId="2" applyFont="1" applyFill="1" applyBorder="1" applyAlignment="1">
      <alignment horizontal="center" vertical="center" wrapText="1"/>
    </xf>
    <xf numFmtId="9" fontId="10" fillId="5" borderId="5" xfId="2" applyFont="1" applyFill="1" applyBorder="1" applyAlignment="1">
      <alignment horizontal="center" vertical="center" wrapText="1"/>
    </xf>
    <xf numFmtId="9" fontId="10" fillId="5" borderId="4" xfId="2" applyFont="1" applyFill="1" applyBorder="1" applyAlignment="1">
      <alignment horizontal="center" vertical="center" wrapText="1"/>
    </xf>
    <xf numFmtId="0" fontId="13" fillId="17" borderId="12" xfId="0" applyFont="1" applyFill="1" applyBorder="1" applyAlignment="1">
      <alignment horizontal="center" vertical="center"/>
    </xf>
    <xf numFmtId="0" fontId="13" fillId="17" borderId="1" xfId="0" applyFont="1" applyFill="1" applyBorder="1" applyAlignment="1">
      <alignment horizontal="center" vertical="center"/>
    </xf>
    <xf numFmtId="1" fontId="7" fillId="17" borderId="12" xfId="2" applyNumberFormat="1" applyFont="1" applyFill="1" applyBorder="1" applyAlignment="1" applyProtection="1">
      <alignment horizontal="center" vertical="center"/>
    </xf>
    <xf numFmtId="1" fontId="7" fillId="17" borderId="1" xfId="2" applyNumberFormat="1" applyFont="1" applyFill="1" applyBorder="1" applyAlignment="1" applyProtection="1">
      <alignment horizontal="center" vertical="center"/>
    </xf>
    <xf numFmtId="0" fontId="37" fillId="5" borderId="14"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37" fillId="5" borderId="6" xfId="0" applyFont="1" applyFill="1" applyBorder="1" applyAlignment="1">
      <alignment horizontal="left" vertical="center" wrapText="1"/>
    </xf>
    <xf numFmtId="0" fontId="38" fillId="5" borderId="23" xfId="0" applyFont="1" applyFill="1" applyBorder="1" applyAlignment="1">
      <alignment horizontal="center" vertical="center" wrapText="1"/>
    </xf>
    <xf numFmtId="0" fontId="38" fillId="5" borderId="33" xfId="0" applyFont="1" applyFill="1" applyBorder="1" applyAlignment="1">
      <alignment horizontal="center" vertical="center" wrapText="1"/>
    </xf>
    <xf numFmtId="0" fontId="37" fillId="5" borderId="23" xfId="0" applyFont="1" applyFill="1" applyBorder="1" applyAlignment="1">
      <alignment horizontal="center" vertical="center" wrapText="1"/>
    </xf>
    <xf numFmtId="0" fontId="37" fillId="5" borderId="7" xfId="0" applyFont="1" applyFill="1" applyBorder="1" applyAlignment="1">
      <alignment horizontal="center" vertical="center" wrapText="1"/>
    </xf>
    <xf numFmtId="14" fontId="38" fillId="5" borderId="14" xfId="0" applyNumberFormat="1" applyFont="1" applyFill="1" applyBorder="1" applyAlignment="1">
      <alignment horizontal="center" vertical="center" wrapText="1"/>
    </xf>
    <xf numFmtId="0" fontId="38" fillId="5" borderId="1" xfId="0" applyFont="1" applyFill="1" applyBorder="1" applyAlignment="1">
      <alignment horizontal="center" vertical="center" wrapText="1"/>
    </xf>
    <xf numFmtId="0" fontId="38" fillId="5" borderId="15" xfId="0" applyFont="1" applyFill="1" applyBorder="1" applyAlignment="1">
      <alignment horizontal="center" vertical="center" wrapText="1"/>
    </xf>
    <xf numFmtId="0" fontId="12" fillId="14" borderId="10" xfId="0" applyFont="1" applyFill="1" applyBorder="1" applyAlignment="1">
      <alignment horizontal="center" vertical="center" wrapText="1"/>
    </xf>
    <xf numFmtId="0" fontId="12" fillId="14" borderId="20" xfId="0"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0" borderId="1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13" borderId="10" xfId="0" applyFont="1" applyFill="1" applyBorder="1" applyAlignment="1">
      <alignment horizontal="center" vertical="center" wrapText="1"/>
    </xf>
    <xf numFmtId="0" fontId="12" fillId="13" borderId="20" xfId="0" applyFont="1" applyFill="1" applyBorder="1" applyAlignment="1">
      <alignment horizontal="center" vertical="center" wrapText="1"/>
    </xf>
    <xf numFmtId="0" fontId="12" fillId="13" borderId="9" xfId="0" applyFont="1" applyFill="1" applyBorder="1" applyAlignment="1">
      <alignment horizontal="center" vertical="center" wrapText="1"/>
    </xf>
    <xf numFmtId="0" fontId="13" fillId="7" borderId="12" xfId="0" applyFont="1" applyFill="1" applyBorder="1" applyAlignment="1">
      <alignment horizontal="center" vertical="center" textRotation="90" wrapText="1"/>
    </xf>
    <xf numFmtId="0" fontId="13" fillId="7" borderId="40" xfId="0" applyFont="1" applyFill="1" applyBorder="1" applyAlignment="1">
      <alignment horizontal="center" vertical="center" textRotation="90" wrapText="1"/>
    </xf>
    <xf numFmtId="0" fontId="15" fillId="7" borderId="12" xfId="0" applyFont="1" applyFill="1" applyBorder="1" applyAlignment="1">
      <alignment horizontal="center" vertical="center" textRotation="90" wrapText="1"/>
    </xf>
    <xf numFmtId="0" fontId="15" fillId="7" borderId="40" xfId="0" applyFont="1" applyFill="1" applyBorder="1" applyAlignment="1">
      <alignment horizontal="center" vertical="center" textRotation="90" wrapText="1"/>
    </xf>
    <xf numFmtId="0" fontId="13" fillId="7" borderId="11" xfId="0" applyFont="1" applyFill="1" applyBorder="1" applyAlignment="1">
      <alignment horizontal="center" vertical="center"/>
    </xf>
    <xf numFmtId="0" fontId="13" fillId="7" borderId="54" xfId="0" applyFont="1" applyFill="1" applyBorder="1" applyAlignment="1">
      <alignment horizontal="center" vertical="center"/>
    </xf>
    <xf numFmtId="0" fontId="13" fillId="7" borderId="12" xfId="0" applyFont="1" applyFill="1" applyBorder="1" applyAlignment="1">
      <alignment horizontal="center" vertical="center" wrapText="1"/>
    </xf>
    <xf numFmtId="0" fontId="13" fillId="7" borderId="40" xfId="0" applyFont="1" applyFill="1" applyBorder="1" applyAlignment="1">
      <alignment horizontal="center" vertical="center" wrapText="1"/>
    </xf>
    <xf numFmtId="0" fontId="10" fillId="5" borderId="14" xfId="0" applyFont="1" applyFill="1" applyBorder="1" applyAlignment="1">
      <alignment horizontal="left" vertical="center" wrapText="1"/>
    </xf>
    <xf numFmtId="0" fontId="10" fillId="5" borderId="1" xfId="0" applyFont="1" applyFill="1" applyBorder="1" applyAlignment="1">
      <alignment horizontal="left" vertical="center" wrapText="1"/>
    </xf>
    <xf numFmtId="42" fontId="10" fillId="5" borderId="1" xfId="4" applyFont="1" applyFill="1" applyBorder="1" applyAlignment="1">
      <alignment horizontal="left" vertical="center" wrapText="1"/>
    </xf>
    <xf numFmtId="42" fontId="10" fillId="5" borderId="15" xfId="4" applyFont="1" applyFill="1" applyBorder="1" applyAlignment="1">
      <alignment horizontal="left" vertical="center" wrapText="1"/>
    </xf>
    <xf numFmtId="0" fontId="9" fillId="0" borderId="0" xfId="0" applyFont="1" applyAlignment="1">
      <alignment horizontal="left" vertical="top"/>
    </xf>
    <xf numFmtId="0" fontId="37" fillId="5" borderId="11" xfId="0" applyFont="1" applyFill="1" applyBorder="1" applyAlignment="1">
      <alignment horizontal="left" vertical="center" wrapText="1"/>
    </xf>
    <xf numFmtId="0" fontId="37" fillId="5" borderId="12" xfId="0" applyFont="1" applyFill="1" applyBorder="1" applyAlignment="1">
      <alignment horizontal="left" vertical="center" wrapText="1"/>
    </xf>
    <xf numFmtId="0" fontId="37" fillId="5" borderId="24" xfId="0" applyFont="1" applyFill="1" applyBorder="1" applyAlignment="1">
      <alignment horizontal="left" vertical="center" wrapText="1"/>
    </xf>
    <xf numFmtId="0" fontId="45" fillId="29" borderId="21" xfId="0" applyFont="1" applyFill="1" applyBorder="1" applyAlignment="1">
      <alignment horizontal="center" vertical="top"/>
    </xf>
    <xf numFmtId="0" fontId="45" fillId="29" borderId="19" xfId="0" applyFont="1" applyFill="1" applyBorder="1" applyAlignment="1">
      <alignment horizontal="center" vertical="top"/>
    </xf>
    <xf numFmtId="0" fontId="37" fillId="5" borderId="24" xfId="0" applyFont="1" applyFill="1" applyBorder="1" applyAlignment="1">
      <alignment horizontal="center" vertical="center" wrapText="1"/>
    </xf>
    <xf numFmtId="0" fontId="37" fillId="5" borderId="22" xfId="0" applyFont="1" applyFill="1" applyBorder="1" applyAlignment="1">
      <alignment horizontal="center" vertical="center" wrapText="1"/>
    </xf>
    <xf numFmtId="0" fontId="38" fillId="5" borderId="11"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13" xfId="0" applyFont="1" applyFill="1" applyBorder="1" applyAlignment="1">
      <alignment horizontal="center" vertical="center"/>
    </xf>
    <xf numFmtId="0" fontId="10" fillId="5" borderId="11" xfId="0" applyFont="1" applyFill="1" applyBorder="1" applyAlignment="1">
      <alignment horizontal="left" vertical="center" wrapText="1"/>
    </xf>
    <xf numFmtId="0" fontId="10" fillId="5" borderId="24" xfId="0" applyFont="1" applyFill="1" applyBorder="1" applyAlignment="1">
      <alignment horizontal="left" vertical="center" wrapText="1"/>
    </xf>
    <xf numFmtId="0" fontId="10" fillId="5" borderId="12" xfId="0" applyFont="1" applyFill="1" applyBorder="1" applyAlignment="1">
      <alignment horizontal="left" vertical="center" wrapText="1"/>
    </xf>
    <xf numFmtId="42" fontId="10" fillId="5" borderId="12" xfId="4" applyFont="1" applyFill="1" applyBorder="1" applyAlignment="1">
      <alignment horizontal="left" vertical="center" wrapText="1"/>
    </xf>
    <xf numFmtId="42" fontId="10" fillId="5" borderId="13" xfId="4" applyFont="1" applyFill="1" applyBorder="1" applyAlignment="1">
      <alignment horizontal="left" vertical="center" wrapText="1"/>
    </xf>
    <xf numFmtId="0" fontId="12" fillId="12" borderId="10" xfId="0" applyFont="1" applyFill="1" applyBorder="1" applyAlignment="1">
      <alignment horizontal="center" vertical="center" wrapText="1"/>
    </xf>
    <xf numFmtId="0" fontId="12" fillId="12" borderId="20"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20" xfId="0" applyFont="1" applyFill="1" applyBorder="1" applyAlignment="1">
      <alignment horizontal="center" vertical="center" wrapText="1"/>
    </xf>
    <xf numFmtId="0" fontId="12" fillId="9" borderId="9"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3" fillId="6" borderId="35" xfId="0" applyFont="1" applyFill="1" applyBorder="1" applyAlignment="1">
      <alignment horizontal="center" vertical="center" wrapText="1"/>
    </xf>
    <xf numFmtId="0" fontId="13" fillId="6" borderId="36" xfId="0" applyFont="1" applyFill="1" applyBorder="1" applyAlignment="1">
      <alignment horizontal="center" vertical="center" wrapText="1"/>
    </xf>
    <xf numFmtId="0" fontId="38" fillId="5" borderId="31" xfId="0" applyFont="1" applyFill="1" applyBorder="1" applyAlignment="1">
      <alignment horizontal="center" vertical="center" wrapText="1"/>
    </xf>
    <xf numFmtId="0" fontId="38" fillId="5" borderId="32" xfId="0" applyFont="1" applyFill="1" applyBorder="1" applyAlignment="1">
      <alignment horizontal="center" vertical="center" wrapText="1"/>
    </xf>
    <xf numFmtId="0" fontId="37" fillId="5" borderId="31" xfId="0" applyFont="1" applyFill="1" applyBorder="1" applyAlignment="1">
      <alignment horizontal="center" vertical="center" wrapText="1"/>
    </xf>
    <xf numFmtId="0" fontId="37" fillId="5" borderId="28" xfId="0" applyFont="1" applyFill="1" applyBorder="1" applyAlignment="1">
      <alignment horizontal="center" vertical="center" wrapText="1"/>
    </xf>
    <xf numFmtId="0" fontId="38" fillId="5" borderId="16" xfId="0" applyFont="1" applyFill="1" applyBorder="1" applyAlignment="1">
      <alignment horizontal="center" vertical="center" wrapText="1"/>
    </xf>
    <xf numFmtId="0" fontId="38" fillId="5" borderId="17" xfId="0" applyFont="1" applyFill="1" applyBorder="1" applyAlignment="1">
      <alignment horizontal="center" vertical="center" wrapText="1"/>
    </xf>
    <xf numFmtId="0" fontId="38" fillId="5" borderId="18" xfId="0" applyFont="1" applyFill="1" applyBorder="1" applyAlignment="1">
      <alignment horizontal="center" vertical="center" wrapText="1"/>
    </xf>
    <xf numFmtId="0" fontId="10" fillId="5" borderId="16" xfId="0" applyFont="1" applyFill="1" applyBorder="1" applyAlignment="1">
      <alignment horizontal="left" vertical="center" wrapText="1"/>
    </xf>
    <xf numFmtId="0" fontId="10" fillId="5" borderId="17" xfId="0" applyFont="1" applyFill="1" applyBorder="1" applyAlignment="1">
      <alignment horizontal="left" vertical="center" wrapText="1"/>
    </xf>
    <xf numFmtId="42" fontId="10" fillId="5" borderId="17" xfId="4" applyFont="1" applyFill="1" applyBorder="1" applyAlignment="1">
      <alignment horizontal="left" vertical="center" wrapText="1"/>
    </xf>
    <xf numFmtId="42" fontId="10" fillId="5" borderId="18" xfId="4" applyFont="1" applyFill="1" applyBorder="1" applyAlignment="1">
      <alignment horizontal="left" vertical="center" wrapText="1"/>
    </xf>
    <xf numFmtId="0" fontId="13" fillId="7" borderId="12" xfId="0" applyFont="1" applyFill="1" applyBorder="1" applyAlignment="1">
      <alignment horizontal="center" vertical="center"/>
    </xf>
    <xf numFmtId="0" fontId="13" fillId="7" borderId="40" xfId="0" applyFont="1" applyFill="1" applyBorder="1" applyAlignment="1">
      <alignment horizontal="center" vertical="center"/>
    </xf>
    <xf numFmtId="0" fontId="15" fillId="7" borderId="12" xfId="0" applyFont="1" applyFill="1" applyBorder="1" applyAlignment="1">
      <alignment horizontal="center" vertical="center" wrapText="1"/>
    </xf>
    <xf numFmtId="0" fontId="15" fillId="7" borderId="40" xfId="0" applyFont="1" applyFill="1" applyBorder="1" applyAlignment="1">
      <alignment horizontal="center" vertical="center" wrapText="1"/>
    </xf>
    <xf numFmtId="0" fontId="15" fillId="7" borderId="34" xfId="0" applyFont="1" applyFill="1" applyBorder="1" applyAlignment="1">
      <alignment horizontal="center" vertical="center" textRotation="90" wrapText="1"/>
    </xf>
    <xf numFmtId="0" fontId="15" fillId="7" borderId="61" xfId="0" applyFont="1" applyFill="1" applyBorder="1" applyAlignment="1">
      <alignment horizontal="center" vertical="center" textRotation="90" wrapText="1"/>
    </xf>
    <xf numFmtId="0" fontId="15" fillId="7" borderId="13" xfId="0" applyFont="1" applyFill="1" applyBorder="1" applyAlignment="1">
      <alignment horizontal="center" vertical="center" textRotation="90" wrapText="1"/>
    </xf>
    <xf numFmtId="0" fontId="15" fillId="7" borderId="55" xfId="0" applyFont="1" applyFill="1" applyBorder="1" applyAlignment="1">
      <alignment horizontal="center" vertical="center" textRotation="90" wrapText="1"/>
    </xf>
    <xf numFmtId="0" fontId="15" fillId="7" borderId="53" xfId="0" applyFont="1" applyFill="1" applyBorder="1" applyAlignment="1">
      <alignment horizontal="center" vertical="center" wrapText="1"/>
    </xf>
    <xf numFmtId="0" fontId="15" fillId="7" borderId="34" xfId="0" applyFont="1" applyFill="1" applyBorder="1" applyAlignment="1">
      <alignment horizontal="center" vertical="center" wrapText="1"/>
    </xf>
    <xf numFmtId="0" fontId="5" fillId="17" borderId="0" xfId="0" applyFont="1" applyFill="1" applyAlignment="1">
      <alignment horizontal="center" vertical="center" wrapText="1"/>
    </xf>
    <xf numFmtId="0" fontId="4" fillId="18" borderId="0" xfId="0" applyFont="1" applyFill="1" applyAlignment="1">
      <alignment horizontal="center" vertical="center" wrapText="1"/>
    </xf>
    <xf numFmtId="0" fontId="6" fillId="11" borderId="0" xfId="0" applyFont="1" applyFill="1" applyAlignment="1">
      <alignment horizontal="center" vertical="center" wrapText="1"/>
    </xf>
    <xf numFmtId="0" fontId="6" fillId="19" borderId="0" xfId="0" applyFont="1" applyFill="1" applyAlignment="1">
      <alignment horizontal="center" vertical="center" wrapText="1"/>
    </xf>
    <xf numFmtId="0" fontId="22" fillId="15" borderId="0" xfId="0" applyFont="1" applyFill="1" applyAlignment="1">
      <alignment horizontal="center" vertical="center" wrapText="1"/>
    </xf>
    <xf numFmtId="0" fontId="0" fillId="0" borderId="0" xfId="0" applyAlignment="1">
      <alignment horizontal="center" vertical="center" wrapText="1"/>
    </xf>
    <xf numFmtId="0" fontId="29" fillId="0" borderId="0" xfId="0" applyFont="1" applyAlignment="1">
      <alignment horizontal="center"/>
    </xf>
    <xf numFmtId="0" fontId="30" fillId="23" borderId="0" xfId="0" applyFont="1" applyFill="1" applyAlignment="1">
      <alignment horizontal="center" vertical="center" wrapText="1" readingOrder="1"/>
    </xf>
    <xf numFmtId="0" fontId="36" fillId="23" borderId="48" xfId="0" applyFont="1" applyFill="1" applyBorder="1" applyAlignment="1">
      <alignment horizontal="center" vertical="center" wrapText="1" readingOrder="1"/>
    </xf>
    <xf numFmtId="0" fontId="36" fillId="23" borderId="49" xfId="0" applyFont="1" applyFill="1" applyBorder="1" applyAlignment="1">
      <alignment horizontal="center" vertical="center" wrapText="1" readingOrder="1"/>
    </xf>
    <xf numFmtId="0" fontId="36" fillId="23" borderId="50" xfId="0" applyFont="1" applyFill="1" applyBorder="1" applyAlignment="1">
      <alignment horizontal="center" vertical="center" wrapText="1" readingOrder="1"/>
    </xf>
    <xf numFmtId="0" fontId="34" fillId="23" borderId="48" xfId="0" applyFont="1" applyFill="1" applyBorder="1" applyAlignment="1">
      <alignment horizontal="center" vertical="center" wrapText="1" readingOrder="1"/>
    </xf>
    <xf numFmtId="0" fontId="34" fillId="23" borderId="49" xfId="0" applyFont="1" applyFill="1" applyBorder="1" applyAlignment="1">
      <alignment horizontal="center" vertical="center" wrapText="1" readingOrder="1"/>
    </xf>
    <xf numFmtId="0" fontId="34" fillId="23" borderId="50" xfId="0" applyFont="1" applyFill="1" applyBorder="1" applyAlignment="1">
      <alignment horizontal="center" vertical="center" wrapText="1" readingOrder="1"/>
    </xf>
    <xf numFmtId="0" fontId="35" fillId="23" borderId="48" xfId="0" applyFont="1" applyFill="1" applyBorder="1" applyAlignment="1">
      <alignment horizontal="center" vertical="center" wrapText="1" readingOrder="1"/>
    </xf>
    <xf numFmtId="0" fontId="35" fillId="23" borderId="49" xfId="0" applyFont="1" applyFill="1" applyBorder="1" applyAlignment="1">
      <alignment horizontal="center" vertical="center" wrapText="1" readingOrder="1"/>
    </xf>
    <xf numFmtId="0" fontId="35" fillId="23" borderId="50" xfId="0" applyFont="1" applyFill="1" applyBorder="1" applyAlignment="1">
      <alignment horizontal="center" vertical="center" wrapText="1" readingOrder="1"/>
    </xf>
    <xf numFmtId="0" fontId="36" fillId="23" borderId="51" xfId="0" applyFont="1" applyFill="1" applyBorder="1" applyAlignment="1">
      <alignment horizontal="center" vertical="center" wrapText="1" readingOrder="1"/>
    </xf>
    <xf numFmtId="0" fontId="36" fillId="23" borderId="52" xfId="0" applyFont="1" applyFill="1" applyBorder="1" applyAlignment="1">
      <alignment horizontal="center" vertical="center" wrapText="1" readingOrder="1"/>
    </xf>
    <xf numFmtId="0" fontId="2" fillId="0" borderId="58"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38" xfId="0" applyFont="1" applyBorder="1" applyAlignment="1">
      <alignment horizontal="center"/>
    </xf>
    <xf numFmtId="0" fontId="25" fillId="0" borderId="40" xfId="0" applyFont="1" applyBorder="1" applyAlignment="1">
      <alignment horizontal="center" vertical="center" textRotation="90"/>
    </xf>
    <xf numFmtId="0" fontId="25" fillId="0" borderId="8" xfId="0" applyFont="1" applyBorder="1" applyAlignment="1">
      <alignment horizontal="center" vertical="center" textRotation="90"/>
    </xf>
    <xf numFmtId="0" fontId="25" fillId="0" borderId="39" xfId="0" applyFont="1" applyBorder="1" applyAlignment="1">
      <alignment horizontal="center" vertical="center" textRotation="90"/>
    </xf>
    <xf numFmtId="0" fontId="15" fillId="29" borderId="0" xfId="0" applyFont="1" applyFill="1" applyAlignment="1">
      <alignment horizontal="left"/>
    </xf>
    <xf numFmtId="0" fontId="15" fillId="29" borderId="29" xfId="0" applyFont="1" applyFill="1" applyBorder="1" applyAlignment="1">
      <alignment horizontal="left"/>
    </xf>
    <xf numFmtId="0" fontId="0" fillId="4" borderId="64" xfId="0" applyFill="1" applyBorder="1" applyAlignment="1">
      <alignment horizontal="center" vertical="center" wrapText="1"/>
    </xf>
    <xf numFmtId="0" fontId="0" fillId="4" borderId="65" xfId="0" applyFill="1" applyBorder="1" applyAlignment="1">
      <alignment horizontal="center" vertical="center"/>
    </xf>
    <xf numFmtId="0" fontId="0" fillId="4" borderId="66" xfId="0" applyFill="1" applyBorder="1" applyAlignment="1">
      <alignment horizontal="center" vertical="center"/>
    </xf>
    <xf numFmtId="0" fontId="0" fillId="4" borderId="65" xfId="0" applyFill="1" applyBorder="1" applyAlignment="1">
      <alignment horizontal="center" vertical="center" wrapText="1"/>
    </xf>
    <xf numFmtId="0" fontId="0" fillId="4" borderId="66" xfId="0" applyFill="1" applyBorder="1" applyAlignment="1">
      <alignment horizontal="center" vertical="center" wrapText="1"/>
    </xf>
    <xf numFmtId="0" fontId="0" fillId="30" borderId="3" xfId="0" applyFill="1" applyBorder="1" applyAlignment="1">
      <alignment horizontal="center"/>
    </xf>
    <xf numFmtId="0" fontId="0" fillId="30" borderId="4" xfId="0" applyFill="1" applyBorder="1" applyAlignment="1">
      <alignment horizontal="center"/>
    </xf>
    <xf numFmtId="0" fontId="15" fillId="10" borderId="3" xfId="0" applyFont="1" applyFill="1" applyBorder="1" applyAlignment="1">
      <alignment horizontal="center"/>
    </xf>
    <xf numFmtId="0" fontId="15" fillId="10" borderId="5" xfId="0" applyFont="1" applyFill="1" applyBorder="1" applyAlignment="1">
      <alignment horizontal="center"/>
    </xf>
    <xf numFmtId="0" fontId="15" fillId="29" borderId="5" xfId="0" applyFont="1" applyFill="1" applyBorder="1" applyAlignment="1">
      <alignment horizontal="center"/>
    </xf>
    <xf numFmtId="0" fontId="15" fillId="29" borderId="4" xfId="0" applyFont="1" applyFill="1" applyBorder="1" applyAlignment="1">
      <alignment horizontal="center"/>
    </xf>
    <xf numFmtId="0" fontId="0" fillId="0" borderId="3" xfId="0" applyBorder="1" applyAlignment="1">
      <alignment horizontal="left" wrapText="1"/>
    </xf>
    <xf numFmtId="0" fontId="0" fillId="0" borderId="5" xfId="0" applyBorder="1" applyAlignment="1">
      <alignment horizontal="left" wrapText="1"/>
    </xf>
    <xf numFmtId="0" fontId="0" fillId="0" borderId="4" xfId="0" applyBorder="1" applyAlignment="1">
      <alignment horizontal="left" wrapText="1"/>
    </xf>
    <xf numFmtId="0" fontId="0" fillId="0" borderId="3"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10" xfId="0" applyBorder="1" applyAlignment="1">
      <alignment horizontal="left"/>
    </xf>
    <xf numFmtId="0" fontId="0" fillId="0" borderId="20" xfId="0" applyBorder="1" applyAlignment="1">
      <alignment horizontal="left"/>
    </xf>
    <xf numFmtId="0" fontId="0" fillId="0" borderId="9" xfId="0" applyBorder="1" applyAlignment="1">
      <alignment horizontal="left"/>
    </xf>
    <xf numFmtId="3" fontId="3" fillId="0" borderId="12" xfId="0" applyNumberFormat="1" applyFont="1" applyFill="1" applyBorder="1" applyAlignment="1">
      <alignment horizontal="center"/>
    </xf>
    <xf numFmtId="3" fontId="3" fillId="0" borderId="1" xfId="0" applyNumberFormat="1" applyFont="1" applyFill="1" applyBorder="1" applyAlignment="1">
      <alignment horizontal="center"/>
    </xf>
    <xf numFmtId="3" fontId="3" fillId="0" borderId="17" xfId="0" applyNumberFormat="1" applyFont="1" applyFill="1" applyBorder="1" applyAlignment="1">
      <alignment horizontal="center"/>
    </xf>
  </cellXfs>
  <cellStyles count="8">
    <cellStyle name="Millares [0]" xfId="6" builtinId="6"/>
    <cellStyle name="Millares 2" xfId="7" xr:uid="{3249373C-3735-4C52-805F-2ECCD2D4F6DC}"/>
    <cellStyle name="Moneda" xfId="3" builtinId="4"/>
    <cellStyle name="Moneda [0]" xfId="4" builtinId="7"/>
    <cellStyle name="Normal" xfId="0" builtinId="0"/>
    <cellStyle name="Normal 2" xfId="1" xr:uid="{00000000-0005-0000-0000-000003000000}"/>
    <cellStyle name="Porcentaje" xfId="2" builtinId="5"/>
    <cellStyle name="常规 2" xfId="5" xr:uid="{4E2149BD-0BDF-4A73-B8FD-20CBCC27460F}"/>
  </cellStyles>
  <dxfs count="37">
    <dxf>
      <fill>
        <patternFill>
          <bgColor rgb="FFFF0000"/>
        </patternFill>
      </fill>
    </dxf>
    <dxf>
      <fill>
        <patternFill>
          <bgColor rgb="FFFFFF00"/>
        </patternFill>
      </fill>
    </dxf>
    <dxf>
      <fill>
        <patternFill>
          <bgColor rgb="FF0070C0"/>
        </patternFill>
      </fill>
    </dxf>
    <dxf>
      <fill>
        <patternFill>
          <bgColor rgb="FF92D050"/>
        </patternFill>
      </fill>
    </dxf>
    <dxf>
      <fill>
        <patternFill>
          <bgColor rgb="FF92D050"/>
        </patternFill>
      </fill>
    </dxf>
    <dxf>
      <fill>
        <patternFill>
          <bgColor rgb="FF0070C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6793212551390574"/>
          <c:y val="0.11401723263159014"/>
          <c:w val="0.82175632155775091"/>
          <c:h val="0.87581106813627163"/>
        </c:manualLayout>
      </c:layout>
      <c:bubbleChart>
        <c:varyColors val="0"/>
        <c:ser>
          <c:idx val="16"/>
          <c:order val="0"/>
          <c:tx>
            <c:strRef>
              <c:f>'T2-T4 Mapas Riesgo (Auto)'!$F$4</c:f>
              <c:strCache>
                <c:ptCount val="1"/>
                <c:pt idx="0">
                  <c:v>R1a</c:v>
                </c:pt>
              </c:strCache>
            </c:strRef>
          </c:tx>
          <c:spPr>
            <a:solidFill>
              <a:schemeClr val="dk1">
                <a:tint val="75000"/>
                <a:alpha val="75000"/>
              </a:schemeClr>
            </a:solidFill>
            <a:ln>
              <a:noFill/>
            </a:ln>
            <a:effectLst/>
          </c:spPr>
          <c:invertIfNegative val="0"/>
          <c:dLbls>
            <c:dLbl>
              <c:idx val="0"/>
              <c:layout>
                <c:manualLayout>
                  <c:x val="1.7434992874010506E-2"/>
                  <c:y val="3.326471362686913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(Auto)'!$H$4</c:f>
              <c:numCache>
                <c:formatCode>General</c:formatCode>
                <c:ptCount val="1"/>
                <c:pt idx="0">
                  <c:v>0</c:v>
                </c:pt>
              </c:numCache>
            </c:numRef>
          </c:xVal>
          <c:yVal>
            <c:numRef>
              <c:f>'T2-T4 Mapas Riesgo (Auto)'!$G$4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1-A012-41F6-84BF-DC0047278805}"/>
            </c:ext>
          </c:extLst>
        </c:ser>
        <c:ser>
          <c:idx val="25"/>
          <c:order val="1"/>
          <c:tx>
            <c:strRef>
              <c:f>'T2-T4 Mapas Riesgo (Auto)'!$F$5</c:f>
              <c:strCache>
                <c:ptCount val="1"/>
                <c:pt idx="0">
                  <c:v>R1b</c:v>
                </c:pt>
              </c:strCache>
            </c:strRef>
          </c:tx>
          <c:spPr>
            <a:solidFill>
              <a:schemeClr val="dk1">
                <a:tint val="30000"/>
                <a:alpha val="75000"/>
              </a:schemeClr>
            </a:solidFill>
            <a:ln>
              <a:noFill/>
            </a:ln>
            <a:effectLst/>
          </c:spPr>
          <c:invertIfNegative val="0"/>
          <c:dLbls>
            <c:dLbl>
              <c:idx val="0"/>
              <c:layout>
                <c:manualLayout>
                  <c:x val="0"/>
                  <c:y val="4.69619486496975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(Auto)'!$H$5</c:f>
              <c:numCache>
                <c:formatCode>General</c:formatCode>
                <c:ptCount val="1"/>
                <c:pt idx="0">
                  <c:v>0</c:v>
                </c:pt>
              </c:numCache>
            </c:numRef>
          </c:xVal>
          <c:yVal>
            <c:numRef>
              <c:f>'T2-T4 Mapas Riesgo (Auto)'!$G$5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3-A012-41F6-84BF-DC0047278805}"/>
            </c:ext>
          </c:extLst>
        </c:ser>
        <c:ser>
          <c:idx val="26"/>
          <c:order val="2"/>
          <c:tx>
            <c:strRef>
              <c:f>'T2-T4 Mapas Riesgo (Auto)'!$F$6</c:f>
              <c:strCache>
                <c:ptCount val="1"/>
                <c:pt idx="0">
                  <c:v>R1c</c:v>
                </c:pt>
              </c:strCache>
            </c:strRef>
          </c:tx>
          <c:spPr>
            <a:solidFill>
              <a:schemeClr val="dk1">
                <a:tint val="60000"/>
                <a:alpha val="75000"/>
              </a:schemeClr>
            </a:solidFill>
            <a:ln>
              <a:noFill/>
            </a:ln>
            <a:effectLst/>
          </c:spPr>
          <c:invertIfNegative val="0"/>
          <c:dLbls>
            <c:dLbl>
              <c:idx val="0"/>
              <c:layout>
                <c:manualLayout>
                  <c:x val="-8.4684251102336836E-2"/>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(Auto)'!$H$6</c:f>
              <c:numCache>
                <c:formatCode>General</c:formatCode>
                <c:ptCount val="1"/>
                <c:pt idx="0">
                  <c:v>0</c:v>
                </c:pt>
              </c:numCache>
            </c:numRef>
          </c:xVal>
          <c:yVal>
            <c:numRef>
              <c:f>'T2-T4 Mapas Riesgo (Auto)'!$G$6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5-A012-41F6-84BF-DC0047278805}"/>
            </c:ext>
          </c:extLst>
        </c:ser>
        <c:ser>
          <c:idx val="27"/>
          <c:order val="3"/>
          <c:tx>
            <c:strRef>
              <c:f>'T2-T4 Mapas Riesgo (Auto)'!$F$8</c:f>
              <c:strCache>
                <c:ptCount val="1"/>
                <c:pt idx="0">
                  <c:v>R2b</c:v>
                </c:pt>
              </c:strCache>
            </c:strRef>
          </c:tx>
          <c:spPr>
            <a:solidFill>
              <a:schemeClr val="dk1">
                <a:tint val="80000"/>
                <a:alpha val="75000"/>
              </a:schemeClr>
            </a:solidFill>
            <a:ln>
              <a:noFill/>
            </a:ln>
            <a:effectLst/>
          </c:spPr>
          <c:invertIfNegative val="0"/>
          <c:dLbls>
            <c:dLbl>
              <c:idx val="0"/>
              <c:layout>
                <c:manualLayout>
                  <c:x val="1.2453566338578932E-3"/>
                  <c:y val="4.69619486496975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(Auto)'!$H$8</c:f>
              <c:numCache>
                <c:formatCode>General</c:formatCode>
                <c:ptCount val="1"/>
                <c:pt idx="0">
                  <c:v>0</c:v>
                </c:pt>
              </c:numCache>
            </c:numRef>
          </c:xVal>
          <c:yVal>
            <c:numRef>
              <c:f>'T2-T4 Mapas Riesgo (Auto)'!$G$8</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7-A012-41F6-84BF-DC0047278805}"/>
            </c:ext>
          </c:extLst>
        </c:ser>
        <c:ser>
          <c:idx val="28"/>
          <c:order val="4"/>
          <c:tx>
            <c:strRef>
              <c:f>'T2-T4 Mapas Riesgo (Auto)'!$F$9</c:f>
              <c:strCache>
                <c:ptCount val="1"/>
                <c:pt idx="0">
                  <c:v>R2c</c:v>
                </c:pt>
              </c:strCache>
            </c:strRef>
          </c:tx>
          <c:spPr>
            <a:solidFill>
              <a:schemeClr val="dk1">
                <a:tint val="88500"/>
                <a:alpha val="75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(Auto)'!$H$9</c:f>
              <c:numCache>
                <c:formatCode>General</c:formatCode>
                <c:ptCount val="1"/>
                <c:pt idx="0">
                  <c:v>0</c:v>
                </c:pt>
              </c:numCache>
            </c:numRef>
          </c:xVal>
          <c:yVal>
            <c:numRef>
              <c:f>'T2-T4 Mapas Riesgo (Auto)'!$G$9</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8-A012-41F6-84BF-DC0047278805}"/>
            </c:ext>
          </c:extLst>
        </c:ser>
        <c:ser>
          <c:idx val="29"/>
          <c:order val="5"/>
          <c:tx>
            <c:strRef>
              <c:f>'T2-T4 Mapas Riesgo (Auto)'!$F$10</c:f>
              <c:strCache>
                <c:ptCount val="1"/>
                <c:pt idx="0">
                  <c:v>R3a</c:v>
                </c:pt>
              </c:strCache>
            </c:strRef>
          </c:tx>
          <c:spPr>
            <a:solidFill>
              <a:schemeClr val="dk1">
                <a:tint val="55000"/>
                <a:alpha val="75000"/>
              </a:schemeClr>
            </a:solidFill>
            <a:ln>
              <a:noFill/>
            </a:ln>
            <a:effectLst/>
          </c:spPr>
          <c:invertIfNegative val="0"/>
          <c:dLbls>
            <c:dLbl>
              <c:idx val="0"/>
              <c:layout>
                <c:manualLayout>
                  <c:x val="-0.10460995724406294"/>
                  <c:y val="0"/>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(Auto)'!$H$10</c:f>
              <c:numCache>
                <c:formatCode>General</c:formatCode>
                <c:ptCount val="1"/>
                <c:pt idx="0">
                  <c:v>0</c:v>
                </c:pt>
              </c:numCache>
            </c:numRef>
          </c:xVal>
          <c:yVal>
            <c:numRef>
              <c:f>'T2-T4 Mapas Riesgo (Auto)'!$G$10</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A-A012-41F6-84BF-DC0047278805}"/>
            </c:ext>
          </c:extLst>
        </c:ser>
        <c:ser>
          <c:idx val="30"/>
          <c:order val="6"/>
          <c:tx>
            <c:strRef>
              <c:f>'T2-T4 Mapas Riesgo (Auto)'!$F$11</c:f>
              <c:strCache>
                <c:ptCount val="1"/>
                <c:pt idx="0">
                  <c:v>R3b</c:v>
                </c:pt>
              </c:strCache>
            </c:strRef>
          </c:tx>
          <c:spPr>
            <a:solidFill>
              <a:schemeClr val="dk1">
                <a:tint val="75000"/>
                <a:alpha val="75000"/>
              </a:schemeClr>
            </a:solidFill>
            <a:ln>
              <a:noFill/>
            </a:ln>
            <a:effectLst/>
          </c:spPr>
          <c:invertIfNegative val="0"/>
          <c:dLbls>
            <c:dLbl>
              <c:idx val="0"/>
              <c:layout>
                <c:manualLayout>
                  <c:x val="-9.3401747539342078E-2"/>
                  <c:y val="-5.870243581212200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(Auto)'!$H$11</c:f>
              <c:numCache>
                <c:formatCode>General</c:formatCode>
                <c:ptCount val="1"/>
                <c:pt idx="0">
                  <c:v>0</c:v>
                </c:pt>
              </c:numCache>
            </c:numRef>
          </c:xVal>
          <c:yVal>
            <c:numRef>
              <c:f>'T2-T4 Mapas Riesgo (Auto)'!$G$11</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C-A012-41F6-84BF-DC0047278805}"/>
            </c:ext>
          </c:extLst>
        </c:ser>
        <c:ser>
          <c:idx val="31"/>
          <c:order val="7"/>
          <c:tx>
            <c:strRef>
              <c:f>'T2-T4 Mapas Riesgo (Auto)'!$F$12</c:f>
              <c:strCache>
                <c:ptCount val="1"/>
                <c:pt idx="0">
                  <c:v>R3c</c:v>
                </c:pt>
              </c:strCache>
            </c:strRef>
          </c:tx>
          <c:spPr>
            <a:solidFill>
              <a:schemeClr val="dk1">
                <a:tint val="98500"/>
                <a:alpha val="75000"/>
              </a:schemeClr>
            </a:solidFill>
            <a:ln>
              <a:noFill/>
            </a:ln>
            <a:effectLst/>
          </c:spPr>
          <c:invertIfNegative val="0"/>
          <c:dLbls>
            <c:dLbl>
              <c:idx val="0"/>
              <c:layout>
                <c:manualLayout>
                  <c:x val="-8.0948181200763067E-2"/>
                  <c:y val="7.826991441616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3.592726411229312E-2"/>
                      <c:h val="3.1545857002407106E-2"/>
                    </c:manualLayout>
                  </c15:layout>
                </c:ext>
                <c:ext xmlns:c16="http://schemas.microsoft.com/office/drawing/2014/chart" uri="{C3380CC4-5D6E-409C-BE32-E72D297353CC}">
                  <c16:uniqueId val="{0000000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(Auto)'!$H$12</c:f>
              <c:numCache>
                <c:formatCode>General</c:formatCode>
                <c:ptCount val="1"/>
                <c:pt idx="0">
                  <c:v>0</c:v>
                </c:pt>
              </c:numCache>
            </c:numRef>
          </c:xVal>
          <c:yVal>
            <c:numRef>
              <c:f>'T2-T4 Mapas Riesgo (Auto)'!$G$12</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E-A012-41F6-84BF-DC0047278805}"/>
            </c:ext>
          </c:extLst>
        </c:ser>
        <c:ser>
          <c:idx val="32"/>
          <c:order val="8"/>
          <c:tx>
            <c:strRef>
              <c:f>'T2-T4 Mapas Riesgo (Auto)'!$F$13</c:f>
              <c:strCache>
                <c:ptCount val="1"/>
                <c:pt idx="0">
                  <c:v>R4a</c:v>
                </c:pt>
              </c:strCache>
            </c:strRef>
          </c:tx>
          <c:spPr>
            <a:solidFill>
              <a:schemeClr val="dk1">
                <a:tint val="30000"/>
                <a:alpha val="75000"/>
              </a:schemeClr>
            </a:solidFill>
            <a:ln>
              <a:noFill/>
            </a:ln>
            <a:effectLst/>
          </c:spPr>
          <c:invertIfNegative val="0"/>
          <c:dLbls>
            <c:dLbl>
              <c:idx val="0"/>
              <c:layout>
                <c:manualLayout>
                  <c:x val="-7.4721398031475424E-3"/>
                  <c:y val="-4.30484529288894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(Auto)'!$H$13</c:f>
              <c:numCache>
                <c:formatCode>General</c:formatCode>
                <c:ptCount val="1"/>
                <c:pt idx="0">
                  <c:v>0</c:v>
                </c:pt>
              </c:numCache>
            </c:numRef>
          </c:xVal>
          <c:yVal>
            <c:numRef>
              <c:f>'T2-T4 Mapas Riesgo (Auto)'!$G$13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0-A012-41F6-84BF-DC0047278805}"/>
            </c:ext>
          </c:extLst>
        </c:ser>
        <c:ser>
          <c:idx val="33"/>
          <c:order val="9"/>
          <c:tx>
            <c:strRef>
              <c:f>'T2-T4 Mapas Riesgo (Auto)'!$F$14</c:f>
              <c:strCache>
                <c:ptCount val="1"/>
                <c:pt idx="0">
                  <c:v>R4b</c:v>
                </c:pt>
              </c:strCache>
            </c:strRef>
          </c:tx>
          <c:spPr>
            <a:solidFill>
              <a:schemeClr val="dk1">
                <a:tint val="60000"/>
                <a:alpha val="75000"/>
              </a:schemeClr>
            </a:solidFill>
            <a:ln>
              <a:noFill/>
            </a:ln>
            <a:effectLst/>
          </c:spPr>
          <c:invertIfNegative val="0"/>
          <c:dLbls>
            <c:dLbl>
              <c:idx val="0"/>
              <c:layout>
                <c:manualLayout>
                  <c:x val="-9.3401747539341995E-2"/>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(Auto)'!$H$14</c:f>
              <c:numCache>
                <c:formatCode>General</c:formatCode>
                <c:ptCount val="1"/>
                <c:pt idx="0">
                  <c:v>0</c:v>
                </c:pt>
              </c:numCache>
            </c:numRef>
          </c:xVal>
          <c:yVal>
            <c:numRef>
              <c:f>'T2-T4 Mapas Riesgo (Auto)'!$G$14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2-A012-41F6-84BF-DC0047278805}"/>
            </c:ext>
          </c:extLst>
        </c:ser>
        <c:ser>
          <c:idx val="34"/>
          <c:order val="10"/>
          <c:tx>
            <c:strRef>
              <c:f>'T2-T4 Mapas Riesgo (Auto)'!$F$15</c:f>
              <c:strCache>
                <c:ptCount val="1"/>
                <c:pt idx="0">
                  <c:v>R4c</c:v>
                </c:pt>
              </c:strCache>
            </c:strRef>
          </c:tx>
          <c:spPr>
            <a:solidFill>
              <a:schemeClr val="dk1">
                <a:tint val="80000"/>
                <a:alpha val="75000"/>
              </a:schemeClr>
            </a:solidFill>
            <a:ln>
              <a:noFill/>
            </a:ln>
            <a:effectLst/>
          </c:spPr>
          <c:invertIfNegative val="0"/>
          <c:xVal>
            <c:numRef>
              <c:f>'T2-T4 Mapas Riesgo (Auto)'!$H$15</c:f>
              <c:numCache>
                <c:formatCode>General</c:formatCode>
                <c:ptCount val="1"/>
                <c:pt idx="0">
                  <c:v>0</c:v>
                </c:pt>
              </c:numCache>
            </c:numRef>
          </c:xVal>
          <c:yVal>
            <c:numRef>
              <c:f>'T2-T4 Mapas Riesgo (Auto)'!$G$15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4-A012-41F6-84BF-DC0047278805}"/>
            </c:ext>
          </c:extLst>
        </c:ser>
        <c:ser>
          <c:idx val="35"/>
          <c:order val="11"/>
          <c:tx>
            <c:strRef>
              <c:f>'T2-T4 Mapas Riesgo (Auto)'!$F$16</c:f>
              <c:strCache>
                <c:ptCount val="1"/>
                <c:pt idx="0">
                  <c:v>R5a</c:v>
                </c:pt>
              </c:strCache>
            </c:strRef>
          </c:tx>
          <c:spPr>
            <a:solidFill>
              <a:schemeClr val="dk1">
                <a:tint val="88500"/>
                <a:alpha val="75000"/>
              </a:schemeClr>
            </a:solidFill>
            <a:ln>
              <a:noFill/>
            </a:ln>
            <a:effectLst/>
          </c:spPr>
          <c:invertIfNegative val="0"/>
          <c:dLbls>
            <c:dLbl>
              <c:idx val="0"/>
              <c:layout>
                <c:manualLayout>
                  <c:x val="-2.4907132677157866E-2"/>
                  <c:y val="3.91349572080813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(Auto)'!$H$16</c:f>
              <c:numCache>
                <c:formatCode>General</c:formatCode>
                <c:ptCount val="1"/>
                <c:pt idx="0">
                  <c:v>0</c:v>
                </c:pt>
              </c:numCache>
            </c:numRef>
          </c:xVal>
          <c:yVal>
            <c:numRef>
              <c:f>'T2-T4 Mapas Riesgo (Auto)'!$G$16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6-A012-41F6-84BF-DC0047278805}"/>
            </c:ext>
          </c:extLst>
        </c:ser>
        <c:ser>
          <c:idx val="36"/>
          <c:order val="12"/>
          <c:tx>
            <c:strRef>
              <c:f>'T2-T4 Mapas Riesgo (Auto)'!$F$17</c:f>
              <c:strCache>
                <c:ptCount val="1"/>
                <c:pt idx="0">
                  <c:v>R5b</c:v>
                </c:pt>
              </c:strCache>
            </c:strRef>
          </c:tx>
          <c:spPr>
            <a:solidFill>
              <a:schemeClr val="dk1">
                <a:tint val="55000"/>
                <a:alpha val="75000"/>
              </a:schemeClr>
            </a:solidFill>
            <a:ln>
              <a:noFill/>
            </a:ln>
            <a:effectLst/>
          </c:spPr>
          <c:invertIfNegative val="0"/>
          <c:dLbls>
            <c:dLbl>
              <c:idx val="0"/>
              <c:layout>
                <c:manualLayout>
                  <c:x val="-0.10336460061020523"/>
                  <c:y val="7.826991441616268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(Auto)'!$H$17</c:f>
              <c:numCache>
                <c:formatCode>General</c:formatCode>
                <c:ptCount val="1"/>
                <c:pt idx="0">
                  <c:v>0</c:v>
                </c:pt>
              </c:numCache>
            </c:numRef>
          </c:xVal>
          <c:yVal>
            <c:numRef>
              <c:f>'T2-T4 Mapas Riesgo (Auto)'!$G$17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8-A012-41F6-84BF-DC0047278805}"/>
            </c:ext>
          </c:extLst>
        </c:ser>
        <c:ser>
          <c:idx val="37"/>
          <c:order val="13"/>
          <c:tx>
            <c:strRef>
              <c:f>'T2-T4 Mapas Riesgo (Auto)'!$F$18</c:f>
              <c:strCache>
                <c:ptCount val="1"/>
                <c:pt idx="0">
                  <c:v>R5c</c:v>
                </c:pt>
              </c:strCache>
            </c:strRef>
          </c:tx>
          <c:spPr>
            <a:solidFill>
              <a:schemeClr val="dk1">
                <a:tint val="75000"/>
                <a:alpha val="75000"/>
              </a:schemeClr>
            </a:solidFill>
            <a:ln>
              <a:noFill/>
            </a:ln>
            <a:effectLst/>
          </c:spPr>
          <c:invertIfNegative val="0"/>
          <c:dLbls>
            <c:dLbl>
              <c:idx val="0"/>
              <c:layout>
                <c:manualLayout>
                  <c:x val="-2.8643202578731635E-2"/>
                  <c:y val="6.65294272537381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(Auto)'!$H$18</c:f>
              <c:numCache>
                <c:formatCode>General</c:formatCode>
                <c:ptCount val="1"/>
                <c:pt idx="0">
                  <c:v>0</c:v>
                </c:pt>
              </c:numCache>
            </c:numRef>
          </c:xVal>
          <c:yVal>
            <c:numRef>
              <c:f>'T2-T4 Mapas Riesgo (Auto)'!$G$18</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A-A012-41F6-84BF-DC0047278805}"/>
            </c:ext>
          </c:extLst>
        </c:ser>
        <c:ser>
          <c:idx val="38"/>
          <c:order val="14"/>
          <c:tx>
            <c:strRef>
              <c:f>'T2-T4 Mapas Riesgo (Auto)'!$F$19</c:f>
              <c:strCache>
                <c:ptCount val="1"/>
                <c:pt idx="0">
                  <c:v>R6a</c:v>
                </c:pt>
              </c:strCache>
            </c:strRef>
          </c:tx>
          <c:spPr>
            <a:solidFill>
              <a:schemeClr val="dk1">
                <a:tint val="98500"/>
                <a:alpha val="75000"/>
              </a:schemeClr>
            </a:solidFill>
            <a:ln>
              <a:noFill/>
            </a:ln>
            <a:effectLst/>
          </c:spPr>
          <c:invertIfNegative val="0"/>
          <c:dLbls>
            <c:dLbl>
              <c:idx val="0"/>
              <c:layout>
                <c:manualLayout>
                  <c:x val="-2.1171062775584185E-2"/>
                  <c:y val="5.674568795171779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(Auto)'!$H$19</c:f>
              <c:numCache>
                <c:formatCode>General</c:formatCode>
                <c:ptCount val="1"/>
                <c:pt idx="0">
                  <c:v>0</c:v>
                </c:pt>
              </c:numCache>
            </c:numRef>
          </c:xVal>
          <c:yVal>
            <c:numRef>
              <c:f>'T2-T4 Mapas Riesgo (Auto)'!$G$19</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C-A012-41F6-84BF-DC0047278805}"/>
            </c:ext>
          </c:extLst>
        </c:ser>
        <c:ser>
          <c:idx val="39"/>
          <c:order val="15"/>
          <c:tx>
            <c:strRef>
              <c:f>'T2-T4 Mapas Riesgo (Auto)'!$F$20</c:f>
              <c:strCache>
                <c:ptCount val="1"/>
                <c:pt idx="0">
                  <c:v>R6b</c:v>
                </c:pt>
              </c:strCache>
            </c:strRef>
          </c:tx>
          <c:spPr>
            <a:solidFill>
              <a:schemeClr val="dk1">
                <a:tint val="30000"/>
                <a:alpha val="75000"/>
              </a:schemeClr>
            </a:solidFill>
            <a:ln w="25400">
              <a:noFill/>
            </a:ln>
            <a:effectLst/>
          </c:spPr>
          <c:invertIfNegative val="0"/>
          <c:dLbls>
            <c:dLbl>
              <c:idx val="0"/>
              <c:layout>
                <c:manualLayout>
                  <c:x val="-9.1325098154251879E-17"/>
                  <c:y val="4.30484529288894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(Auto)'!$H$20</c:f>
              <c:numCache>
                <c:formatCode>General</c:formatCode>
                <c:ptCount val="1"/>
                <c:pt idx="0">
                  <c:v>0</c:v>
                </c:pt>
              </c:numCache>
            </c:numRef>
          </c:xVal>
          <c:yVal>
            <c:numRef>
              <c:f>'T2-T4 Mapas Riesgo (Auto)'!$G$20</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E-A012-41F6-84BF-DC0047278805}"/>
            </c:ext>
          </c:extLst>
        </c:ser>
        <c:ser>
          <c:idx val="40"/>
          <c:order val="16"/>
          <c:tx>
            <c:strRef>
              <c:f>'T2-T4 Mapas Riesgo (Auto)'!$F$21</c:f>
              <c:strCache>
                <c:ptCount val="1"/>
                <c:pt idx="0">
                  <c:v>R6c</c:v>
                </c:pt>
              </c:strCache>
            </c:strRef>
          </c:tx>
          <c:spPr>
            <a:solidFill>
              <a:schemeClr val="dk1">
                <a:tint val="60000"/>
                <a:alpha val="75000"/>
              </a:schemeClr>
            </a:solidFill>
            <a:ln w="25400">
              <a:noFill/>
            </a:ln>
            <a:effectLst/>
          </c:spPr>
          <c:invertIfNegative val="0"/>
          <c:dLbls>
            <c:dLbl>
              <c:idx val="0"/>
              <c:layout>
                <c:manualLayout>
                  <c:x val="-1.2453566338578932E-3"/>
                  <c:y val="-3.326471362686913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F-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(Auto)'!$H$21</c:f>
              <c:numCache>
                <c:formatCode>General</c:formatCode>
                <c:ptCount val="1"/>
                <c:pt idx="0">
                  <c:v>0</c:v>
                </c:pt>
              </c:numCache>
            </c:numRef>
          </c:xVal>
          <c:yVal>
            <c:numRef>
              <c:f>'T2-T4 Mapas Riesgo (Auto)'!$G$21</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0-A012-41F6-84BF-DC0047278805}"/>
            </c:ext>
          </c:extLst>
        </c:ser>
        <c:ser>
          <c:idx val="41"/>
          <c:order val="17"/>
          <c:tx>
            <c:strRef>
              <c:f>'T2-T4 Mapas Riesgo (Auto)'!$F$22</c:f>
              <c:strCache>
                <c:ptCount val="1"/>
                <c:pt idx="0">
                  <c:v>R7a</c:v>
                </c:pt>
              </c:strCache>
            </c:strRef>
          </c:tx>
          <c:spPr>
            <a:solidFill>
              <a:schemeClr val="dk1">
                <a:tint val="80000"/>
                <a:alpha val="75000"/>
              </a:schemeClr>
            </a:solidFill>
            <a:ln w="25400">
              <a:noFill/>
            </a:ln>
            <a:effectLst/>
          </c:spPr>
          <c:invertIfNegative val="0"/>
          <c:dLbls>
            <c:dLbl>
              <c:idx val="0"/>
              <c:layout>
                <c:manualLayout>
                  <c:x val="-3.7360699015736797E-3"/>
                  <c:y val="-3.71782093476772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1-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(Auto)'!$H$22</c:f>
              <c:numCache>
                <c:formatCode>General</c:formatCode>
                <c:ptCount val="1"/>
                <c:pt idx="0">
                  <c:v>0</c:v>
                </c:pt>
              </c:numCache>
            </c:numRef>
          </c:xVal>
          <c:yVal>
            <c:numRef>
              <c:f>'T2-T4 Mapas Riesgo (Auto)'!$G$22</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2-A012-41F6-84BF-DC0047278805}"/>
            </c:ext>
          </c:extLst>
        </c:ser>
        <c:ser>
          <c:idx val="42"/>
          <c:order val="18"/>
          <c:tx>
            <c:strRef>
              <c:f>'T2-T4 Mapas Riesgo (Auto)'!$F$23</c:f>
              <c:strCache>
                <c:ptCount val="1"/>
                <c:pt idx="0">
                  <c:v>R7b</c:v>
                </c:pt>
              </c:strCache>
            </c:strRef>
          </c:tx>
          <c:spPr>
            <a:solidFill>
              <a:schemeClr val="dk1">
                <a:tint val="88500"/>
                <a:alpha val="75000"/>
              </a:schemeClr>
            </a:solidFill>
            <a:ln w="25400">
              <a:noFill/>
            </a:ln>
            <a:effectLst/>
          </c:spPr>
          <c:invertIfNegative val="0"/>
          <c:dLbls>
            <c:dLbl>
              <c:idx val="0"/>
              <c:layout>
                <c:manualLayout>
                  <c:x val="-4.9814265354315729E-3"/>
                  <c:y val="-4.696194864969760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3-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(Auto)'!$H$23</c:f>
              <c:numCache>
                <c:formatCode>General</c:formatCode>
                <c:ptCount val="1"/>
                <c:pt idx="0">
                  <c:v>0</c:v>
                </c:pt>
              </c:numCache>
            </c:numRef>
          </c:xVal>
          <c:yVal>
            <c:numRef>
              <c:f>'T2-T4 Mapas Riesgo (Auto)'!$G$23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4-A012-41F6-84BF-DC0047278805}"/>
            </c:ext>
          </c:extLst>
        </c:ser>
        <c:ser>
          <c:idx val="43"/>
          <c:order val="19"/>
          <c:tx>
            <c:strRef>
              <c:f>'T2-T4 Mapas Riesgo (Auto)'!$F$24</c:f>
              <c:strCache>
                <c:ptCount val="1"/>
                <c:pt idx="0">
                  <c:v>R7c</c:v>
                </c:pt>
              </c:strCache>
            </c:strRef>
          </c:tx>
          <c:spPr>
            <a:solidFill>
              <a:schemeClr val="dk1">
                <a:tint val="55000"/>
                <a:alpha val="75000"/>
              </a:schemeClr>
            </a:solidFill>
            <a:ln w="25400">
              <a:solidFill>
                <a:sysClr val="windowText" lastClr="000000">
                  <a:lumMod val="25000"/>
                  <a:lumOff val="75000"/>
                </a:sysClr>
              </a:solidFill>
            </a:ln>
            <a:effectLst/>
          </c:spPr>
          <c:invertIfNegative val="0"/>
          <c:dLbls>
            <c:dLbl>
              <c:idx val="0"/>
              <c:layout>
                <c:manualLayout>
                  <c:x val="-3.113391584644733E-2"/>
                  <c:y val="6.65294272537382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5-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(Auto)'!$H$24</c:f>
              <c:numCache>
                <c:formatCode>General</c:formatCode>
                <c:ptCount val="1"/>
                <c:pt idx="0">
                  <c:v>0</c:v>
                </c:pt>
              </c:numCache>
            </c:numRef>
          </c:xVal>
          <c:yVal>
            <c:numRef>
              <c:f>'T2-T4 Mapas Riesgo (Auto)'!$G$24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6-A012-41F6-84BF-DC0047278805}"/>
            </c:ext>
          </c:extLst>
        </c:ser>
        <c:ser>
          <c:idx val="44"/>
          <c:order val="20"/>
          <c:tx>
            <c:strRef>
              <c:f>'T2-T4 Mapas Riesgo (Auto)'!$F$25</c:f>
              <c:strCache>
                <c:ptCount val="1"/>
                <c:pt idx="0">
                  <c:v>R8a</c:v>
                </c:pt>
              </c:strCache>
            </c:strRef>
          </c:tx>
          <c:spPr>
            <a:solidFill>
              <a:schemeClr val="dk1">
                <a:tint val="75000"/>
                <a:alpha val="75000"/>
              </a:schemeClr>
            </a:solidFill>
            <a:ln w="25400">
              <a:noFill/>
            </a:ln>
            <a:effectLst/>
          </c:spPr>
          <c:invertIfNegative val="0"/>
          <c:dLbls>
            <c:dLbl>
              <c:idx val="0"/>
              <c:layout>
                <c:manualLayout>
                  <c:x val="0"/>
                  <c:y val="2.9351217906061003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7-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(Auto)'!$H$25</c:f>
              <c:numCache>
                <c:formatCode>General</c:formatCode>
                <c:ptCount val="1"/>
                <c:pt idx="0">
                  <c:v>0</c:v>
                </c:pt>
              </c:numCache>
            </c:numRef>
          </c:xVal>
          <c:yVal>
            <c:numRef>
              <c:f>'T2-T4 Mapas Riesgo (Auto)'!$G$25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8-A012-41F6-84BF-DC0047278805}"/>
            </c:ext>
          </c:extLst>
        </c:ser>
        <c:ser>
          <c:idx val="45"/>
          <c:order val="21"/>
          <c:tx>
            <c:strRef>
              <c:f>'T2-T4 Mapas Riesgo (Auto)'!$F$26</c:f>
              <c:strCache>
                <c:ptCount val="1"/>
                <c:pt idx="0">
                  <c:v>R8b</c:v>
                </c:pt>
              </c:strCache>
            </c:strRef>
          </c:tx>
          <c:spPr>
            <a:solidFill>
              <a:schemeClr val="dk1">
                <a:tint val="98500"/>
                <a:alpha val="75000"/>
              </a:schemeClr>
            </a:solidFill>
            <a:ln w="25400">
              <a:noFill/>
            </a:ln>
            <a:effectLst/>
          </c:spPr>
          <c:invertIfNegative val="0"/>
          <c:dLbls>
            <c:dLbl>
              <c:idx val="0"/>
              <c:layout>
                <c:manualLayout>
                  <c:x val="-3.7360699015736797E-3"/>
                  <c:y val="-2.5437722185253014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(Auto)'!$H$26</c:f>
              <c:numCache>
                <c:formatCode>General</c:formatCode>
                <c:ptCount val="1"/>
                <c:pt idx="0">
                  <c:v>0</c:v>
                </c:pt>
              </c:numCache>
            </c:numRef>
          </c:xVal>
          <c:yVal>
            <c:numRef>
              <c:f>'T2-T4 Mapas Riesgo (Auto)'!$G$26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A-A012-41F6-84BF-DC0047278805}"/>
            </c:ext>
          </c:extLst>
        </c:ser>
        <c:ser>
          <c:idx val="1"/>
          <c:order val="22"/>
          <c:tx>
            <c:strRef>
              <c:f>'T2-T4 Mapas Riesgo (Auto)'!$F$27</c:f>
              <c:strCache>
                <c:ptCount val="1"/>
                <c:pt idx="0">
                  <c:v>R8c</c:v>
                </c:pt>
              </c:strCache>
            </c:strRef>
          </c:tx>
          <c:spPr>
            <a:solidFill>
              <a:schemeClr val="dk1">
                <a:tint val="55000"/>
                <a:alpha val="75000"/>
              </a:schemeClr>
            </a:solidFill>
            <a:ln w="25400">
              <a:noFill/>
            </a:ln>
            <a:effectLst/>
          </c:spPr>
          <c:invertIfNegative val="0"/>
          <c:dLbls>
            <c:dLbl>
              <c:idx val="0"/>
              <c:layout>
                <c:manualLayout>
                  <c:x val="-7.223068476375781E-2"/>
                  <c:y val="6.4572679393334206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(Auto)'!$H$27</c:f>
              <c:numCache>
                <c:formatCode>General</c:formatCode>
                <c:ptCount val="1"/>
                <c:pt idx="0">
                  <c:v>0</c:v>
                </c:pt>
              </c:numCache>
            </c:numRef>
          </c:xVal>
          <c:yVal>
            <c:numRef>
              <c:f>'T2-T4 Mapas Riesgo (Auto)'!$G$27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C-A012-41F6-84BF-DC0047278805}"/>
            </c:ext>
          </c:extLst>
        </c:ser>
        <c:ser>
          <c:idx val="0"/>
          <c:order val="23"/>
          <c:tx>
            <c:strRef>
              <c:f>'T2-T4 Mapas Riesgo (Auto)'!$F$7</c:f>
              <c:strCache>
                <c:ptCount val="1"/>
                <c:pt idx="0">
                  <c:v>R2a</c:v>
                </c:pt>
              </c:strCache>
            </c:strRef>
          </c:tx>
          <c:spPr>
            <a:solidFill>
              <a:schemeClr val="dk1">
                <a:tint val="88500"/>
                <a:alpha val="75000"/>
              </a:schemeClr>
            </a:solidFill>
            <a:ln w="25400">
              <a:noFill/>
            </a:ln>
            <a:effectLst/>
          </c:spPr>
          <c:invertIfNegative val="0"/>
          <c:dLbls>
            <c:dLbl>
              <c:idx val="0"/>
              <c:layout>
                <c:manualLayout>
                  <c:x val="-1.2453566338578932E-3"/>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(Auto)'!$H$7</c:f>
              <c:numCache>
                <c:formatCode>General</c:formatCode>
                <c:ptCount val="1"/>
                <c:pt idx="0">
                  <c:v>0</c:v>
                </c:pt>
              </c:numCache>
            </c:numRef>
          </c:xVal>
          <c:yVal>
            <c:numRef>
              <c:f>'T2-T4 Mapas Riesgo (Auto)'!$G$7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E-A012-41F6-84BF-DC0047278805}"/>
            </c:ext>
          </c:extLst>
        </c:ser>
        <c:ser>
          <c:idx val="2"/>
          <c:order val="24"/>
          <c:tx>
            <c:strRef>
              <c:f>'T2-T4 Mapas Riesgo (Auto)'!$J$1</c:f>
              <c:strCache>
                <c:ptCount val="1"/>
              </c:strCache>
            </c:strRef>
          </c:tx>
          <c:spPr>
            <a:noFill/>
            <a:ln w="25400">
              <a:noFill/>
            </a:ln>
            <a:effectLst/>
          </c:spPr>
          <c:invertIfNegative val="0"/>
          <c:xVal>
            <c:numRef>
              <c:f>'T2-T4 Mapas Riesgo (Auto)'!$L$1</c:f>
              <c:numCache>
                <c:formatCode>General</c:formatCode>
                <c:ptCount val="1"/>
                <c:pt idx="0">
                  <c:v>5</c:v>
                </c:pt>
              </c:numCache>
            </c:numRef>
          </c:xVal>
          <c:yVal>
            <c:numRef>
              <c:f>'T2-T4 Mapas Riesgo (Auto)'!$K$1</c:f>
              <c:numCache>
                <c:formatCode>General</c:formatCode>
                <c:ptCount val="1"/>
                <c:pt idx="0">
                  <c:v>5</c:v>
                </c:pt>
              </c:numCache>
            </c:numRef>
          </c:yVal>
          <c:bubbleSize>
            <c:numLit>
              <c:formatCode>General</c:formatCode>
              <c:ptCount val="1"/>
              <c:pt idx="0">
                <c:v>1</c:v>
              </c:pt>
            </c:numLit>
          </c:bubbleSize>
          <c:bubble3D val="0"/>
          <c:extLst>
            <c:ext xmlns:c16="http://schemas.microsoft.com/office/drawing/2014/chart" uri="{C3380CC4-5D6E-409C-BE32-E72D297353CC}">
              <c16:uniqueId val="{00000001-38B4-448B-A6D3-F9E40F02B345}"/>
            </c:ext>
          </c:extLst>
        </c:ser>
        <c:dLbls>
          <c:showLegendKey val="0"/>
          <c:showVal val="0"/>
          <c:showCatName val="0"/>
          <c:showSerName val="0"/>
          <c:showPercent val="0"/>
          <c:showBubbleSize val="0"/>
        </c:dLbls>
        <c:bubbleScale val="20"/>
        <c:showNegBubbles val="0"/>
        <c:axId val="509646991"/>
        <c:axId val="699377039"/>
      </c:bubbleChart>
      <c:valAx>
        <c:axId val="509646991"/>
        <c:scaling>
          <c:orientation val="minMax"/>
          <c:max val="5.5"/>
          <c:min val="0.5"/>
        </c:scaling>
        <c:delete val="1"/>
        <c:axPos val="b"/>
        <c:numFmt formatCode="General" sourceLinked="1"/>
        <c:majorTickMark val="out"/>
        <c:minorTickMark val="none"/>
        <c:tickLblPos val="nextTo"/>
        <c:crossAx val="699377039"/>
        <c:crossesAt val="0"/>
        <c:crossBetween val="midCat"/>
      </c:valAx>
      <c:valAx>
        <c:axId val="699377039"/>
        <c:scaling>
          <c:orientation val="minMax"/>
          <c:max val="5.5"/>
          <c:min val="0.5"/>
        </c:scaling>
        <c:delete val="1"/>
        <c:axPos val="l"/>
        <c:numFmt formatCode="General" sourceLinked="1"/>
        <c:majorTickMark val="out"/>
        <c:minorTickMark val="none"/>
        <c:tickLblPos val="nextTo"/>
        <c:crossAx val="509646991"/>
        <c:crosses val="autoZero"/>
        <c:crossBetween val="midCat"/>
      </c:valAx>
      <c:spPr>
        <a:noFill/>
        <a:ln w="0">
          <a:noFill/>
        </a:ln>
        <a:effectLst/>
      </c:spPr>
    </c:plotArea>
    <c:plotVisOnly val="1"/>
    <c:dispBlanksAs val="gap"/>
    <c:showDLblsOverMax val="0"/>
    <c:extLst/>
  </c:chart>
  <c:spPr>
    <a:blipFill>
      <a:blip xmlns:r="http://schemas.openxmlformats.org/officeDocument/2006/relationships" r:embed="rId3"/>
      <a:stretch>
        <a:fillRect/>
      </a:stretch>
    </a:blipFill>
    <a:ln w="9525" cap="flat" cmpd="sng" algn="ctr">
      <a:solidFill>
        <a:sysClr val="windowText" lastClr="000000">
          <a:lumMod val="25000"/>
          <a:lumOff val="75000"/>
        </a:sys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5417530901122908"/>
          <c:y val="0.12006574144310658"/>
          <c:w val="0.83603646365013617"/>
          <c:h val="0.87774335195888842"/>
        </c:manualLayout>
      </c:layout>
      <c:bubbleChart>
        <c:varyColors val="0"/>
        <c:ser>
          <c:idx val="1"/>
          <c:order val="0"/>
          <c:tx>
            <c:strRef>
              <c:f>'T2-T4 Mapas Riesgo (Auto)'!$B$5</c:f>
              <c:strCache>
                <c:ptCount val="1"/>
                <c:pt idx="0">
                  <c:v>R1b</c:v>
                </c:pt>
              </c:strCache>
            </c:strRef>
          </c:tx>
          <c:spPr>
            <a:solidFill>
              <a:schemeClr val="accent1">
                <a:shade val="40000"/>
                <a:alpha val="75000"/>
              </a:schemeClr>
            </a:solidFill>
            <a:ln>
              <a:noFill/>
            </a:ln>
            <a:effectLst/>
          </c:spPr>
          <c:invertIfNegative val="0"/>
          <c:dPt>
            <c:idx val="0"/>
            <c:invertIfNegative val="0"/>
            <c:bubble3D val="0"/>
            <c:extLst>
              <c:ext xmlns:c16="http://schemas.microsoft.com/office/drawing/2014/chart" uri="{C3380CC4-5D6E-409C-BE32-E72D297353CC}">
                <c16:uniqueId val="{00000000-F51E-431A-9DAA-49365C78E9D9}"/>
              </c:ext>
            </c:extLst>
          </c:dPt>
          <c:dLbls>
            <c:dLbl>
              <c:idx val="0"/>
              <c:layout>
                <c:manualLayout>
                  <c:x val="-2.3284195787139767E-2"/>
                  <c:y val="-3.958650168059200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(Auto)'!$D$5</c:f>
              <c:numCache>
                <c:formatCode>General</c:formatCode>
                <c:ptCount val="1"/>
                <c:pt idx="0">
                  <c:v>0</c:v>
                </c:pt>
              </c:numCache>
            </c:numRef>
          </c:xVal>
          <c:yVal>
            <c:numRef>
              <c:f>'T2-T4 Mapas Riesgo (Auto)'!$C$5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1-F51E-431A-9DAA-49365C78E9D9}"/>
            </c:ext>
          </c:extLst>
        </c:ser>
        <c:ser>
          <c:idx val="0"/>
          <c:order val="1"/>
          <c:tx>
            <c:strRef>
              <c:f>'T2-T4 Mapas Riesgo (Auto)'!$B$7</c:f>
              <c:strCache>
                <c:ptCount val="1"/>
                <c:pt idx="0">
                  <c:v>R2a</c:v>
                </c:pt>
              </c:strCache>
            </c:strRef>
          </c:tx>
          <c:spPr>
            <a:solidFill>
              <a:schemeClr val="accent1">
                <a:shade val="35000"/>
                <a:alpha val="75000"/>
              </a:schemeClr>
            </a:solidFill>
            <a:ln>
              <a:noFill/>
            </a:ln>
            <a:effectLst/>
          </c:spPr>
          <c:invertIfNegative val="0"/>
          <c:dLbls>
            <c:dLbl>
              <c:idx val="0"/>
              <c:layout>
                <c:manualLayout>
                  <c:x val="-3.7287178656818937E-3"/>
                  <c:y val="0"/>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(Auto)'!$D$7</c:f>
              <c:numCache>
                <c:formatCode>General</c:formatCode>
                <c:ptCount val="1"/>
                <c:pt idx="0">
                  <c:v>0</c:v>
                </c:pt>
              </c:numCache>
            </c:numRef>
          </c:xVal>
          <c:yVal>
            <c:numRef>
              <c:f>'T2-T4 Mapas Riesgo (Auto)'!$C$7</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03-F51E-431A-9DAA-49365C78E9D9}"/>
            </c:ext>
          </c:extLst>
        </c:ser>
        <c:ser>
          <c:idx val="2"/>
          <c:order val="2"/>
          <c:tx>
            <c:strRef>
              <c:f>'T2-T4 Mapas Riesgo (Auto)'!$B$9</c:f>
              <c:strCache>
                <c:ptCount val="1"/>
                <c:pt idx="0">
                  <c:v>R2c</c:v>
                </c:pt>
              </c:strCache>
            </c:strRef>
          </c:tx>
          <c:spPr>
            <a:solidFill>
              <a:schemeClr val="accent1">
                <a:shade val="46000"/>
                <a:alpha val="75000"/>
              </a:schemeClr>
            </a:solidFill>
            <a:ln>
              <a:noFill/>
            </a:ln>
            <a:effectLst/>
          </c:spPr>
          <c:invertIfNegative val="0"/>
          <c:dLbls>
            <c:dLbl>
              <c:idx val="0"/>
              <c:layout>
                <c:manualLayout>
                  <c:x val="-3.9151537589659884E-2"/>
                  <c:y val="4.40620032182609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(Auto)'!$D$9</c:f>
              <c:numCache>
                <c:formatCode>General</c:formatCode>
                <c:ptCount val="1"/>
                <c:pt idx="0">
                  <c:v>0</c:v>
                </c:pt>
              </c:numCache>
            </c:numRef>
          </c:xVal>
          <c:yVal>
            <c:numRef>
              <c:f>'T2-T4 Mapas Riesgo (Auto)'!$C$9</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05-F51E-431A-9DAA-49365C78E9D9}"/>
            </c:ext>
          </c:extLst>
        </c:ser>
        <c:ser>
          <c:idx val="3"/>
          <c:order val="3"/>
          <c:tx>
            <c:strRef>
              <c:f>'T2-T4 Mapas Riesgo (Auto)'!$B$4</c:f>
              <c:strCache>
                <c:ptCount val="1"/>
                <c:pt idx="0">
                  <c:v>R1a</c:v>
                </c:pt>
              </c:strCache>
            </c:strRef>
          </c:tx>
          <c:spPr>
            <a:solidFill>
              <a:schemeClr val="accent1">
                <a:shade val="51000"/>
                <a:alpha val="75000"/>
              </a:schemeClr>
            </a:solidFill>
            <a:ln>
              <a:noFill/>
            </a:ln>
            <a:effectLst/>
          </c:spPr>
          <c:invertIfNegative val="0"/>
          <c:dLbls>
            <c:dLbl>
              <c:idx val="0"/>
              <c:layout>
                <c:manualLayout>
                  <c:x val="-7.2709998380796934E-2"/>
                  <c:y val="-4.112453633704356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(Auto)'!$D$4</c:f>
              <c:numCache>
                <c:formatCode>General</c:formatCode>
                <c:ptCount val="1"/>
                <c:pt idx="0">
                  <c:v>0</c:v>
                </c:pt>
              </c:numCache>
            </c:numRef>
          </c:xVal>
          <c:yVal>
            <c:numRef>
              <c:f>'T2-T4 Mapas Riesgo (Auto)'!$C$4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7-F51E-431A-9DAA-49365C78E9D9}"/>
            </c:ext>
          </c:extLst>
        </c:ser>
        <c:ser>
          <c:idx val="4"/>
          <c:order val="4"/>
          <c:tx>
            <c:strRef>
              <c:f>'T2-T4 Mapas Riesgo (Auto)'!$B$13</c:f>
              <c:strCache>
                <c:ptCount val="1"/>
                <c:pt idx="0">
                  <c:v>R4a</c:v>
                </c:pt>
              </c:strCache>
            </c:strRef>
          </c:tx>
          <c:spPr>
            <a:solidFill>
              <a:schemeClr val="accent1">
                <a:shade val="56000"/>
                <a:alpha val="75000"/>
              </a:schemeClr>
            </a:solidFill>
            <a:ln>
              <a:noFill/>
            </a:ln>
            <a:effectLst/>
          </c:spPr>
          <c:invertIfNegative val="0"/>
          <c:dLbls>
            <c:dLbl>
              <c:idx val="0"/>
              <c:layout>
                <c:manualLayout>
                  <c:x val="-0.10067538237341113"/>
                  <c:y val="-2.643720193095657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(Auto)'!$D$13</c:f>
              <c:numCache>
                <c:formatCode>General</c:formatCode>
                <c:ptCount val="1"/>
                <c:pt idx="0">
                  <c:v>0</c:v>
                </c:pt>
              </c:numCache>
            </c:numRef>
          </c:xVal>
          <c:yVal>
            <c:numRef>
              <c:f>'T2-T4 Mapas Riesgo (Auto)'!$C$13</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09-F51E-431A-9DAA-49365C78E9D9}"/>
            </c:ext>
          </c:extLst>
        </c:ser>
        <c:ser>
          <c:idx val="5"/>
          <c:order val="5"/>
          <c:tx>
            <c:strRef>
              <c:f>'T2-T4 Mapas Riesgo (Auto)'!$B$15</c:f>
              <c:strCache>
                <c:ptCount val="1"/>
                <c:pt idx="0">
                  <c:v>R4c</c:v>
                </c:pt>
              </c:strCache>
            </c:strRef>
          </c:tx>
          <c:spPr>
            <a:solidFill>
              <a:schemeClr val="accent1">
                <a:shade val="62000"/>
                <a:alpha val="75000"/>
              </a:schemeClr>
            </a:solidFill>
            <a:ln>
              <a:noFill/>
            </a:ln>
            <a:effectLst/>
          </c:spPr>
          <c:invertIfNegative val="0"/>
          <c:dLbls>
            <c:dLbl>
              <c:idx val="0"/>
              <c:layout>
                <c:manualLayout>
                  <c:x val="-7.2709998380796934E-2"/>
                  <c:y val="-6.168680450556534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(Auto)'!$D$15</c:f>
              <c:numCache>
                <c:formatCode>General</c:formatCode>
                <c:ptCount val="1"/>
                <c:pt idx="0">
                  <c:v>0</c:v>
                </c:pt>
              </c:numCache>
            </c:numRef>
          </c:xVal>
          <c:yVal>
            <c:numRef>
              <c:f>'T2-T4 Mapas Riesgo (Auto)'!$C$15</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0B-F51E-431A-9DAA-49365C78E9D9}"/>
            </c:ext>
          </c:extLst>
        </c:ser>
        <c:ser>
          <c:idx val="6"/>
          <c:order val="6"/>
          <c:tx>
            <c:strRef>
              <c:f>'T2-T4 Mapas Riesgo (Auto)'!$B$17</c:f>
              <c:strCache>
                <c:ptCount val="1"/>
                <c:pt idx="0">
                  <c:v>R5b</c:v>
                </c:pt>
              </c:strCache>
            </c:strRef>
          </c:tx>
          <c:spPr>
            <a:solidFill>
              <a:schemeClr val="accent1">
                <a:shade val="67000"/>
                <a:alpha val="75000"/>
              </a:schemeClr>
            </a:solidFill>
            <a:ln>
              <a:noFill/>
            </a:ln>
            <a:effectLst/>
          </c:spPr>
          <c:invertIfNegative val="0"/>
          <c:dLbls>
            <c:dLbl>
              <c:idx val="0"/>
              <c:layout>
                <c:manualLayout>
                  <c:x val="-2.9829742925455149E-2"/>
                  <c:y val="-5.287440386191315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(Auto)'!$D$17</c:f>
              <c:numCache>
                <c:formatCode>General</c:formatCode>
                <c:ptCount val="1"/>
                <c:pt idx="0">
                  <c:v>0</c:v>
                </c:pt>
              </c:numCache>
            </c:numRef>
          </c:xVal>
          <c:yVal>
            <c:numRef>
              <c:f>'T2-T4 Mapas Riesgo (Auto)'!$C$17</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0D-F51E-431A-9DAA-49365C78E9D9}"/>
            </c:ext>
          </c:extLst>
        </c:ser>
        <c:ser>
          <c:idx val="7"/>
          <c:order val="7"/>
          <c:tx>
            <c:strRef>
              <c:f>'T2-T4 Mapas Riesgo (Auto)'!$B$19</c:f>
              <c:strCache>
                <c:ptCount val="1"/>
                <c:pt idx="0">
                  <c:v>R6a</c:v>
                </c:pt>
              </c:strCache>
            </c:strRef>
          </c:tx>
          <c:spPr>
            <a:solidFill>
              <a:schemeClr val="accent1">
                <a:shade val="73000"/>
                <a:alpha val="75000"/>
              </a:schemeClr>
            </a:solidFill>
            <a:ln>
              <a:noFill/>
            </a:ln>
            <a:effectLst/>
          </c:spPr>
          <c:invertIfNegative val="0"/>
          <c:dLbls>
            <c:dLbl>
              <c:idx val="0"/>
              <c:layout>
                <c:manualLayout>
                  <c:x val="2.6101025059773256E-2"/>
                  <c:y val="-2.937466881217408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(Auto)'!$D$19</c:f>
              <c:numCache>
                <c:formatCode>General</c:formatCode>
                <c:ptCount val="1"/>
                <c:pt idx="0">
                  <c:v>0</c:v>
                </c:pt>
              </c:numCache>
            </c:numRef>
          </c:xVal>
          <c:yVal>
            <c:numRef>
              <c:f>'T2-T4 Mapas Riesgo (Auto)'!$C$19</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F-F51E-431A-9DAA-49365C78E9D9}"/>
            </c:ext>
          </c:extLst>
        </c:ser>
        <c:ser>
          <c:idx val="8"/>
          <c:order val="8"/>
          <c:tx>
            <c:strRef>
              <c:f>'T2-T4 Mapas Riesgo (Auto)'!$B$6</c:f>
              <c:strCache>
                <c:ptCount val="1"/>
                <c:pt idx="0">
                  <c:v>R1c</c:v>
                </c:pt>
              </c:strCache>
            </c:strRef>
          </c:tx>
          <c:spPr>
            <a:solidFill>
              <a:schemeClr val="accent1">
                <a:shade val="78000"/>
                <a:alpha val="75000"/>
              </a:schemeClr>
            </a:solidFill>
            <a:ln>
              <a:noFill/>
            </a:ln>
            <a:effectLst/>
          </c:spPr>
          <c:invertIfNegative val="0"/>
          <c:dLbls>
            <c:dLbl>
              <c:idx val="0"/>
              <c:layout>
                <c:manualLayout>
                  <c:x val="-9.2354760055920748E-2"/>
                  <c:y val="-4.329293900342363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(Auto)'!$D$6</c:f>
              <c:numCache>
                <c:formatCode>General</c:formatCode>
                <c:ptCount val="1"/>
                <c:pt idx="0">
                  <c:v>0</c:v>
                </c:pt>
              </c:numCache>
            </c:numRef>
          </c:xVal>
          <c:yVal>
            <c:numRef>
              <c:f>'T2-T4 Mapas Riesgo (Auto)'!$C$6</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1-F51E-431A-9DAA-49365C78E9D9}"/>
            </c:ext>
          </c:extLst>
        </c:ser>
        <c:ser>
          <c:idx val="9"/>
          <c:order val="9"/>
          <c:tx>
            <c:strRef>
              <c:f>'T2-T4 Mapas Riesgo (Auto)'!$B$8</c:f>
              <c:strCache>
                <c:ptCount val="1"/>
                <c:pt idx="0">
                  <c:v>R2b</c:v>
                </c:pt>
              </c:strCache>
            </c:strRef>
          </c:tx>
          <c:spPr>
            <a:solidFill>
              <a:schemeClr val="accent1">
                <a:shade val="83000"/>
                <a:alpha val="75000"/>
              </a:schemeClr>
            </a:solidFill>
            <a:ln>
              <a:noFill/>
            </a:ln>
            <a:effectLst/>
          </c:spPr>
          <c:invertIfNegative val="0"/>
          <c:dLbls>
            <c:dLbl>
              <c:idx val="0"/>
              <c:layout>
                <c:manualLayout>
                  <c:x val="0"/>
                  <c:y val="4.40620032182609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'T4 Mapas Riesgo (Auto)'!#REF!</c:f>
            </c:numRef>
          </c:xVal>
          <c:yVal>
            <c:numRef>
              <c:f>'T2-T4 Mapas Riesgo (Auto)'!$C$8</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3-F51E-431A-9DAA-49365C78E9D9}"/>
            </c:ext>
          </c:extLst>
        </c:ser>
        <c:ser>
          <c:idx val="10"/>
          <c:order val="10"/>
          <c:tx>
            <c:strRef>
              <c:f>'T2-T4 Mapas Riesgo (Auto)'!$B$10</c:f>
              <c:strCache>
                <c:ptCount val="1"/>
                <c:pt idx="0">
                  <c:v>R3a</c:v>
                </c:pt>
              </c:strCache>
            </c:strRef>
          </c:tx>
          <c:spPr>
            <a:solidFill>
              <a:schemeClr val="accent1">
                <a:shade val="89000"/>
                <a:alpha val="75000"/>
              </a:schemeClr>
            </a:solidFill>
            <a:ln>
              <a:noFill/>
            </a:ln>
            <a:effectLst/>
          </c:spPr>
          <c:invertIfNegative val="0"/>
          <c:dLbls>
            <c:dLbl>
              <c:idx val="0"/>
              <c:layout>
                <c:manualLayout>
                  <c:x val="-7.084563944795598E-2"/>
                  <c:y val="3.524960257460876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(Auto)'!$D$10</c:f>
              <c:numCache>
                <c:formatCode>General</c:formatCode>
                <c:ptCount val="1"/>
                <c:pt idx="0">
                  <c:v>0</c:v>
                </c:pt>
              </c:numCache>
            </c:numRef>
          </c:xVal>
          <c:yVal>
            <c:numRef>
              <c:f>'T2-T4 Mapas Riesgo (Auto)'!$C$10</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5-F51E-431A-9DAA-49365C78E9D9}"/>
            </c:ext>
          </c:extLst>
        </c:ser>
        <c:ser>
          <c:idx val="11"/>
          <c:order val="11"/>
          <c:tx>
            <c:strRef>
              <c:f>'T2-T4 Mapas Riesgo (Auto)'!$B$11</c:f>
              <c:strCache>
                <c:ptCount val="1"/>
                <c:pt idx="0">
                  <c:v>R3b</c:v>
                </c:pt>
              </c:strCache>
            </c:strRef>
          </c:tx>
          <c:spPr>
            <a:solidFill>
              <a:schemeClr val="accent1">
                <a:shade val="94000"/>
                <a:alpha val="75000"/>
              </a:schemeClr>
            </a:solidFill>
            <a:ln>
              <a:noFill/>
            </a:ln>
            <a:effectLst/>
          </c:spPr>
          <c:invertIfNegative val="0"/>
          <c:dLbls>
            <c:dLbl>
              <c:idx val="0"/>
              <c:layout>
                <c:manualLayout>
                  <c:x val="-9.8811023440570189E-2"/>
                  <c:y val="5.874933762434783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(Auto)'!$D$11</c:f>
              <c:numCache>
                <c:formatCode>General</c:formatCode>
                <c:ptCount val="1"/>
                <c:pt idx="0">
                  <c:v>0</c:v>
                </c:pt>
              </c:numCache>
            </c:numRef>
          </c:xVal>
          <c:yVal>
            <c:numRef>
              <c:f>'T2-T4 Mapas Riesgo (Auto)'!$C$11</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7-F51E-431A-9DAA-49365C78E9D9}"/>
            </c:ext>
          </c:extLst>
        </c:ser>
        <c:ser>
          <c:idx val="12"/>
          <c:order val="12"/>
          <c:tx>
            <c:strRef>
              <c:f>'T2-T4 Mapas Riesgo (Auto)'!$B$12</c:f>
              <c:strCache>
                <c:ptCount val="1"/>
                <c:pt idx="0">
                  <c:v>R3c</c:v>
                </c:pt>
              </c:strCache>
            </c:strRef>
          </c:tx>
          <c:spPr>
            <a:solidFill>
              <a:schemeClr val="accent1">
                <a:alpha val="75000"/>
              </a:schemeClr>
            </a:solidFill>
            <a:ln>
              <a:noFill/>
            </a:ln>
            <a:effectLst/>
          </c:spPr>
          <c:invertIfNegative val="0"/>
          <c:dLbls>
            <c:dLbl>
              <c:idx val="0"/>
              <c:layout>
                <c:manualLayout>
                  <c:x val="-0.10253974130625201"/>
                  <c:y val="2.9374668812173974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(Auto)'!$D$12</c:f>
              <c:numCache>
                <c:formatCode>General</c:formatCode>
                <c:ptCount val="1"/>
                <c:pt idx="0">
                  <c:v>0</c:v>
                </c:pt>
              </c:numCache>
            </c:numRef>
          </c:xVal>
          <c:yVal>
            <c:numRef>
              <c:f>'T2-T4 Mapas Riesgo (Auto)'!$C$12</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9-F51E-431A-9DAA-49365C78E9D9}"/>
            </c:ext>
          </c:extLst>
        </c:ser>
        <c:ser>
          <c:idx val="13"/>
          <c:order val="13"/>
          <c:tx>
            <c:strRef>
              <c:f>'T2-T4 Mapas Riesgo (Auto)'!$B$14</c:f>
              <c:strCache>
                <c:ptCount val="1"/>
                <c:pt idx="0">
                  <c:v>R4b</c:v>
                </c:pt>
              </c:strCache>
            </c:strRef>
          </c:tx>
          <c:spPr>
            <a:solidFill>
              <a:schemeClr val="accent1">
                <a:tint val="95000"/>
                <a:alpha val="75000"/>
              </a:schemeClr>
            </a:solidFill>
            <a:ln>
              <a:noFill/>
            </a:ln>
            <a:effectLst/>
          </c:spPr>
          <c:invertIfNegative val="0"/>
          <c:dLbls>
            <c:dLbl>
              <c:idx val="0"/>
              <c:layout>
                <c:manualLayout>
                  <c:x val="-0.10440410023909302"/>
                  <c:y val="-5.874933762434789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(Auto)'!$D$14</c:f>
              <c:numCache>
                <c:formatCode>General</c:formatCode>
                <c:ptCount val="1"/>
                <c:pt idx="0">
                  <c:v>0</c:v>
                </c:pt>
              </c:numCache>
            </c:numRef>
          </c:xVal>
          <c:yVal>
            <c:numRef>
              <c:f>'T2-T4 Mapas Riesgo (Auto)'!$C$14</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B-F51E-431A-9DAA-49365C78E9D9}"/>
            </c:ext>
          </c:extLst>
        </c:ser>
        <c:ser>
          <c:idx val="14"/>
          <c:order val="14"/>
          <c:tx>
            <c:strRef>
              <c:f>'T2-T4 Mapas Riesgo (Auto)'!$B$16</c:f>
              <c:strCache>
                <c:ptCount val="1"/>
                <c:pt idx="0">
                  <c:v>R5a</c:v>
                </c:pt>
              </c:strCache>
            </c:strRef>
          </c:tx>
          <c:spPr>
            <a:solidFill>
              <a:schemeClr val="accent1">
                <a:tint val="90000"/>
                <a:alpha val="75000"/>
              </a:schemeClr>
            </a:solidFill>
            <a:ln>
              <a:noFill/>
            </a:ln>
            <a:effectLst/>
          </c:spPr>
          <c:invertIfNegative val="0"/>
          <c:dLbls>
            <c:dLbl>
              <c:idx val="0"/>
              <c:layout>
                <c:manualLayout>
                  <c:x val="-5.7795126918069352E-2"/>
                  <c:y val="-6.168680450556528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(Auto)'!$D$16</c:f>
              <c:numCache>
                <c:formatCode>General</c:formatCode>
                <c:ptCount val="1"/>
                <c:pt idx="0">
                  <c:v>0</c:v>
                </c:pt>
              </c:numCache>
            </c:numRef>
          </c:xVal>
          <c:yVal>
            <c:numRef>
              <c:f>'T2-T4 Mapas Riesgo (Auto)'!$C$16</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D-F51E-431A-9DAA-49365C78E9D9}"/>
            </c:ext>
          </c:extLst>
        </c:ser>
        <c:ser>
          <c:idx val="15"/>
          <c:order val="15"/>
          <c:tx>
            <c:strRef>
              <c:f>'T2-T4 Mapas Riesgo (Auto)'!$B$18</c:f>
              <c:strCache>
                <c:ptCount val="1"/>
                <c:pt idx="0">
                  <c:v>R5c</c:v>
                </c:pt>
              </c:strCache>
            </c:strRef>
          </c:tx>
          <c:spPr>
            <a:solidFill>
              <a:schemeClr val="accent1">
                <a:tint val="84000"/>
                <a:alpha val="75000"/>
              </a:schemeClr>
            </a:solidFill>
            <a:ln>
              <a:noFill/>
            </a:ln>
            <a:effectLst/>
          </c:spPr>
          <c:invertIfNegative val="0"/>
          <c:dLbls>
            <c:dLbl>
              <c:idx val="0"/>
              <c:layout>
                <c:manualLayout>
                  <c:x val="1.6779230395568522E-2"/>
                  <c:y val="-4.699947009947835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(Auto)'!$D$18</c:f>
              <c:numCache>
                <c:formatCode>General</c:formatCode>
                <c:ptCount val="1"/>
                <c:pt idx="0">
                  <c:v>0</c:v>
                </c:pt>
              </c:numCache>
            </c:numRef>
          </c:xVal>
          <c:yVal>
            <c:numRef>
              <c:f>'T2-T4 Mapas Riesgo (Auto)'!$C$18</c:f>
              <c:numCache>
                <c:formatCode>General</c:formatCode>
                <c:ptCount val="1"/>
                <c:pt idx="0">
                  <c:v>0</c:v>
                </c:pt>
              </c:numCache>
            </c:numRef>
          </c:yVal>
          <c:bubbleSize>
            <c:numRef>
              <c:f>'T4 Mapa Riesgo Inherente'!#REF!</c:f>
              <c:numCache>
                <c:formatCode>General</c:formatCode>
                <c:ptCount val="1"/>
                <c:pt idx="0">
                  <c:v>1</c:v>
                </c:pt>
              </c:numCache>
            </c:numRef>
          </c:bubbleSize>
          <c:bubble3D val="0"/>
          <c:extLst>
            <c:ext xmlns:c16="http://schemas.microsoft.com/office/drawing/2014/chart" uri="{C3380CC4-5D6E-409C-BE32-E72D297353CC}">
              <c16:uniqueId val="{0000001F-F51E-431A-9DAA-49365C78E9D9}"/>
            </c:ext>
          </c:extLst>
        </c:ser>
        <c:ser>
          <c:idx val="17"/>
          <c:order val="16"/>
          <c:tx>
            <c:strRef>
              <c:f>'T2-T4 Mapas Riesgo (Auto)'!$B$20</c:f>
              <c:strCache>
                <c:ptCount val="1"/>
                <c:pt idx="0">
                  <c:v>R6b</c:v>
                </c:pt>
              </c:strCache>
            </c:strRef>
          </c:tx>
          <c:spPr>
            <a:solidFill>
              <a:schemeClr val="accent1">
                <a:tint val="74000"/>
                <a:alpha val="75000"/>
              </a:schemeClr>
            </a:solidFill>
            <a:ln>
              <a:noFill/>
            </a:ln>
            <a:effectLst/>
          </c:spPr>
          <c:invertIfNegative val="0"/>
          <c:dLbls>
            <c:dLbl>
              <c:idx val="0"/>
              <c:layout>
                <c:manualLayout>
                  <c:x val="1.8643589328409333E-2"/>
                  <c:y val="1.468733440608698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(Auto)'!$D$20</c:f>
              <c:numCache>
                <c:formatCode>General</c:formatCode>
                <c:ptCount val="1"/>
                <c:pt idx="0">
                  <c:v>0</c:v>
                </c:pt>
              </c:numCache>
            </c:numRef>
          </c:xVal>
          <c:yVal>
            <c:numRef>
              <c:f>'T2-T4 Mapas Riesgo (Auto)'!$C$20</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1-F51E-431A-9DAA-49365C78E9D9}"/>
            </c:ext>
          </c:extLst>
        </c:ser>
        <c:ser>
          <c:idx val="18"/>
          <c:order val="17"/>
          <c:tx>
            <c:strRef>
              <c:f>'T2-T4 Mapas Riesgo (Auto)'!$B$21</c:f>
              <c:strCache>
                <c:ptCount val="1"/>
                <c:pt idx="0">
                  <c:v>R6c</c:v>
                </c:pt>
              </c:strCache>
            </c:strRef>
          </c:tx>
          <c:spPr>
            <a:solidFill>
              <a:schemeClr val="accent1">
                <a:tint val="68000"/>
                <a:alpha val="75000"/>
              </a:schemeClr>
            </a:solidFill>
            <a:ln>
              <a:noFill/>
            </a:ln>
            <a:effectLst/>
          </c:spPr>
          <c:invertIfNegative val="0"/>
          <c:dLbls>
            <c:dLbl>
              <c:idx val="0"/>
              <c:layout>
                <c:manualLayout>
                  <c:x val="2.4236666126932309E-2"/>
                  <c:y val="6.756173826800013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(Auto)'!$D$21</c:f>
              <c:numCache>
                <c:formatCode>General</c:formatCode>
                <c:ptCount val="1"/>
                <c:pt idx="0">
                  <c:v>0</c:v>
                </c:pt>
              </c:numCache>
            </c:numRef>
          </c:xVal>
          <c:yVal>
            <c:numRef>
              <c:f>'T2-T4 Mapas Riesgo (Auto)'!$C$21</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3-F51E-431A-9DAA-49365C78E9D9}"/>
            </c:ext>
          </c:extLst>
        </c:ser>
        <c:ser>
          <c:idx val="19"/>
          <c:order val="18"/>
          <c:tx>
            <c:strRef>
              <c:f>'T2-T4 Mapas Riesgo (Auto)'!$B$22</c:f>
              <c:strCache>
                <c:ptCount val="1"/>
                <c:pt idx="0">
                  <c:v>R7a</c:v>
                </c:pt>
              </c:strCache>
            </c:strRef>
          </c:tx>
          <c:spPr>
            <a:solidFill>
              <a:schemeClr val="accent1">
                <a:tint val="63000"/>
                <a:alpha val="75000"/>
              </a:schemeClr>
            </a:solidFill>
            <a:ln>
              <a:noFill/>
            </a:ln>
            <a:effectLst/>
          </c:spPr>
          <c:invertIfNegative val="0"/>
          <c:dLbls>
            <c:dLbl>
              <c:idx val="0"/>
              <c:layout>
                <c:manualLayout>
                  <c:x val="-2.0507948261250485E-2"/>
                  <c:y val="6.462427138678274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(Auto)'!$D$22</c:f>
              <c:numCache>
                <c:formatCode>General</c:formatCode>
                <c:ptCount val="1"/>
                <c:pt idx="0">
                  <c:v>0</c:v>
                </c:pt>
              </c:numCache>
            </c:numRef>
          </c:xVal>
          <c:yVal>
            <c:numRef>
              <c:f>'T2-T4 Mapas Riesgo (Auto)'!$C$22</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5-F51E-431A-9DAA-49365C78E9D9}"/>
            </c:ext>
          </c:extLst>
        </c:ser>
        <c:ser>
          <c:idx val="20"/>
          <c:order val="19"/>
          <c:tx>
            <c:strRef>
              <c:f>'T2-T4 Mapas Riesgo (Auto)'!$B$23</c:f>
              <c:strCache>
                <c:ptCount val="1"/>
                <c:pt idx="0">
                  <c:v>R7b</c:v>
                </c:pt>
              </c:strCache>
            </c:strRef>
          </c:tx>
          <c:spPr>
            <a:solidFill>
              <a:schemeClr val="accent1">
                <a:tint val="57000"/>
                <a:alpha val="75000"/>
              </a:schemeClr>
            </a:solidFill>
            <a:ln>
              <a:noFill/>
            </a:ln>
            <a:effectLst/>
          </c:spPr>
          <c:invertIfNegative val="0"/>
          <c:dLbls>
            <c:dLbl>
              <c:idx val="0"/>
              <c:layout>
                <c:manualLayout>
                  <c:x val="-7.084563944795598E-2"/>
                  <c:y val="7.637413891165233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(Auto)'!$D$23</c:f>
              <c:numCache>
                <c:formatCode>General</c:formatCode>
                <c:ptCount val="1"/>
                <c:pt idx="0">
                  <c:v>0</c:v>
                </c:pt>
              </c:numCache>
            </c:numRef>
          </c:xVal>
          <c:yVal>
            <c:numRef>
              <c:f>'T2-T4 Mapas Riesgo (Auto)'!$C$23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7-F51E-431A-9DAA-49365C78E9D9}"/>
            </c:ext>
          </c:extLst>
        </c:ser>
        <c:ser>
          <c:idx val="21"/>
          <c:order val="20"/>
          <c:tx>
            <c:strRef>
              <c:f>'T2-T4 Mapas Riesgo (Auto)'!$B$24</c:f>
              <c:strCache>
                <c:ptCount val="1"/>
                <c:pt idx="0">
                  <c:v>R7c</c:v>
                </c:pt>
              </c:strCache>
            </c:strRef>
          </c:tx>
          <c:spPr>
            <a:solidFill>
              <a:schemeClr val="accent1">
                <a:tint val="52000"/>
                <a:alpha val="75000"/>
              </a:schemeClr>
            </a:solidFill>
            <a:ln>
              <a:noFill/>
            </a:ln>
            <a:effectLst/>
          </c:spPr>
          <c:invertIfNegative val="0"/>
          <c:dLbls>
            <c:dLbl>
              <c:idx val="0"/>
              <c:layout>
                <c:manualLayout>
                  <c:x val="-0.10440410023909302"/>
                  <c:y val="7.637413891165227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(Auto)'!$D$24</c:f>
              <c:numCache>
                <c:formatCode>General</c:formatCode>
                <c:ptCount val="1"/>
                <c:pt idx="0">
                  <c:v>0</c:v>
                </c:pt>
              </c:numCache>
            </c:numRef>
          </c:xVal>
          <c:yVal>
            <c:numRef>
              <c:f>'T2-T4 Mapas Riesgo (Auto)'!$C$24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9-F51E-431A-9DAA-49365C78E9D9}"/>
            </c:ext>
          </c:extLst>
        </c:ser>
        <c:ser>
          <c:idx val="22"/>
          <c:order val="21"/>
          <c:tx>
            <c:strRef>
              <c:f>'T2-T4 Mapas Riesgo (Auto)'!$B$25</c:f>
              <c:strCache>
                <c:ptCount val="1"/>
                <c:pt idx="0">
                  <c:v>R8a</c:v>
                </c:pt>
              </c:strCache>
            </c:strRef>
          </c:tx>
          <c:spPr>
            <a:solidFill>
              <a:schemeClr val="accent1">
                <a:tint val="47000"/>
                <a:alpha val="75000"/>
              </a:schemeClr>
            </a:solidFill>
            <a:ln>
              <a:noFill/>
            </a:ln>
            <a:effectLst/>
          </c:spPr>
          <c:invertIfNegative val="0"/>
          <c:dLbls>
            <c:dLbl>
              <c:idx val="0"/>
              <c:layout>
                <c:manualLayout>
                  <c:x val="-0.11186153597045695"/>
                  <c:y val="4.406200321826090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(Auto)'!$D$25</c:f>
              <c:numCache>
                <c:formatCode>General</c:formatCode>
                <c:ptCount val="1"/>
                <c:pt idx="0">
                  <c:v>0</c:v>
                </c:pt>
              </c:numCache>
            </c:numRef>
          </c:xVal>
          <c:yVal>
            <c:numRef>
              <c:f>'T2-T4 Mapas Riesgo (Auto)'!$C$25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B-F51E-431A-9DAA-49365C78E9D9}"/>
            </c:ext>
          </c:extLst>
        </c:ser>
        <c:ser>
          <c:idx val="23"/>
          <c:order val="22"/>
          <c:tx>
            <c:strRef>
              <c:f>'T2-T4 Mapas Riesgo (Auto)'!$B$26</c:f>
              <c:strCache>
                <c:ptCount val="1"/>
                <c:pt idx="0">
                  <c:v>R8b</c:v>
                </c:pt>
              </c:strCache>
            </c:strRef>
          </c:tx>
          <c:spPr>
            <a:solidFill>
              <a:schemeClr val="accent1">
                <a:tint val="41000"/>
                <a:alpha val="75000"/>
              </a:schemeClr>
            </a:solidFill>
            <a:ln>
              <a:noFill/>
            </a:ln>
            <a:effectLst/>
          </c:spPr>
          <c:invertIfNegative val="0"/>
          <c:dLbls>
            <c:dLbl>
              <c:idx val="0"/>
              <c:layout>
                <c:manualLayout>
                  <c:x val="-0.11745461276897966"/>
                  <c:y val="8.8124006436521643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(Auto)'!$D$26</c:f>
              <c:numCache>
                <c:formatCode>General</c:formatCode>
                <c:ptCount val="1"/>
                <c:pt idx="0">
                  <c:v>0</c:v>
                </c:pt>
              </c:numCache>
            </c:numRef>
          </c:xVal>
          <c:yVal>
            <c:numRef>
              <c:f>'T2-T4 Mapas Riesgo (Auto)'!$C$26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D-F51E-431A-9DAA-49365C78E9D9}"/>
            </c:ext>
          </c:extLst>
        </c:ser>
        <c:ser>
          <c:idx val="24"/>
          <c:order val="23"/>
          <c:tx>
            <c:strRef>
              <c:f>'T2-T4 Mapas Riesgo (Auto)'!$B$27</c:f>
              <c:strCache>
                <c:ptCount val="1"/>
                <c:pt idx="0">
                  <c:v>R8c</c:v>
                </c:pt>
              </c:strCache>
            </c:strRef>
          </c:tx>
          <c:spPr>
            <a:solidFill>
              <a:schemeClr val="accent1">
                <a:tint val="36000"/>
                <a:alpha val="75000"/>
              </a:schemeClr>
            </a:solidFill>
            <a:ln>
              <a:noFill/>
            </a:ln>
            <a:effectLst/>
          </c:spPr>
          <c:invertIfNegative val="0"/>
          <c:dLbls>
            <c:dLbl>
              <c:idx val="0"/>
              <c:layout>
                <c:manualLayout>
                  <c:x val="-0.1155902538361387"/>
                  <c:y val="-6.462427138678279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(Auto)'!$D$27</c:f>
              <c:numCache>
                <c:formatCode>General</c:formatCode>
                <c:ptCount val="1"/>
                <c:pt idx="0">
                  <c:v>0</c:v>
                </c:pt>
              </c:numCache>
            </c:numRef>
          </c:xVal>
          <c:yVal>
            <c:numRef>
              <c:f>'T2-T4 Mapas Riesgo (Auto)'!$C$27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F-F51E-431A-9DAA-49365C78E9D9}"/>
            </c:ext>
          </c:extLst>
        </c:ser>
        <c:ser>
          <c:idx val="16"/>
          <c:order val="24"/>
          <c:tx>
            <c:strRef>
              <c:f>'T2-T4 Mapas Riesgo (Auto)'!$J$1</c:f>
              <c:strCache>
                <c:ptCount val="1"/>
              </c:strCache>
            </c:strRef>
          </c:tx>
          <c:spPr>
            <a:solidFill>
              <a:schemeClr val="accent1">
                <a:tint val="79000"/>
                <a:alpha val="75000"/>
              </a:schemeClr>
            </a:solidFill>
            <a:ln w="25400">
              <a:noFill/>
            </a:ln>
            <a:effectLst/>
          </c:spPr>
          <c:invertIfNegative val="0"/>
          <c:dPt>
            <c:idx val="0"/>
            <c:invertIfNegative val="0"/>
            <c:bubble3D val="0"/>
            <c:spPr>
              <a:noFill/>
              <a:ln w="25400">
                <a:noFill/>
              </a:ln>
              <a:effectLst/>
            </c:spPr>
            <c:extLst>
              <c:ext xmlns:c16="http://schemas.microsoft.com/office/drawing/2014/chart" uri="{C3380CC4-5D6E-409C-BE32-E72D297353CC}">
                <c16:uniqueId val="{00000032-F51E-431A-9DAA-49365C78E9D9}"/>
              </c:ext>
            </c:extLst>
          </c:dPt>
          <c:xVal>
            <c:numRef>
              <c:f>'T2-T4 Mapas Riesgo (Auto)'!$L$1</c:f>
              <c:numCache>
                <c:formatCode>General</c:formatCode>
                <c:ptCount val="1"/>
                <c:pt idx="0">
                  <c:v>5</c:v>
                </c:pt>
              </c:numCache>
            </c:numRef>
          </c:xVal>
          <c:yVal>
            <c:numRef>
              <c:f>'T2-T4 Mapas Riesgo (Auto)'!$L$1</c:f>
              <c:numCache>
                <c:formatCode>General</c:formatCode>
                <c:ptCount val="1"/>
                <c:pt idx="0">
                  <c:v>5</c:v>
                </c:pt>
              </c:numCache>
            </c:numRef>
          </c:yVal>
          <c:bubbleSize>
            <c:numLit>
              <c:formatCode>General</c:formatCode>
              <c:ptCount val="1"/>
              <c:pt idx="0">
                <c:v>1</c:v>
              </c:pt>
            </c:numLit>
          </c:bubbleSize>
          <c:bubble3D val="0"/>
          <c:extLst>
            <c:ext xmlns:c16="http://schemas.microsoft.com/office/drawing/2014/chart" uri="{C3380CC4-5D6E-409C-BE32-E72D297353CC}">
              <c16:uniqueId val="{00000031-F51E-431A-9DAA-49365C78E9D9}"/>
            </c:ext>
          </c:extLst>
        </c:ser>
        <c:dLbls>
          <c:showLegendKey val="0"/>
          <c:showVal val="0"/>
          <c:showCatName val="0"/>
          <c:showSerName val="0"/>
          <c:showPercent val="0"/>
          <c:showBubbleSize val="0"/>
        </c:dLbls>
        <c:bubbleScale val="20"/>
        <c:showNegBubbles val="0"/>
        <c:sizeRepresents val="w"/>
        <c:axId val="509646991"/>
        <c:axId val="699377039"/>
      </c:bubbleChart>
      <c:valAx>
        <c:axId val="509646991"/>
        <c:scaling>
          <c:orientation val="minMax"/>
          <c:max val="5.5"/>
          <c:min val="0.5"/>
        </c:scaling>
        <c:delete val="1"/>
        <c:axPos val="b"/>
        <c:numFmt formatCode="General" sourceLinked="1"/>
        <c:majorTickMark val="out"/>
        <c:minorTickMark val="none"/>
        <c:tickLblPos val="nextTo"/>
        <c:crossAx val="699377039"/>
        <c:crossesAt val="0"/>
        <c:crossBetween val="midCat"/>
      </c:valAx>
      <c:valAx>
        <c:axId val="699377039"/>
        <c:scaling>
          <c:orientation val="minMax"/>
          <c:min val="0.5"/>
        </c:scaling>
        <c:delete val="1"/>
        <c:axPos val="l"/>
        <c:numFmt formatCode="General" sourceLinked="1"/>
        <c:majorTickMark val="out"/>
        <c:minorTickMark val="none"/>
        <c:tickLblPos val="nextTo"/>
        <c:crossAx val="509646991"/>
        <c:crosses val="autoZero"/>
        <c:crossBetween val="midCat"/>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ysClr val="windowText" lastClr="000000">
          <a:lumMod val="25000"/>
          <a:lumOff val="75000"/>
        </a:sys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9" Type="http://schemas.openxmlformats.org/officeDocument/2006/relationships/image" Target="../media/image20.png"/><Relationship Id="rId51" Type="http://schemas.openxmlformats.org/officeDocument/2006/relationships/customXml" Target="../ink/ink12.xml"/><Relationship Id="rId42" Type="http://schemas.openxmlformats.org/officeDocument/2006/relationships/image" Target="../media/image3.png"/><Relationship Id="rId47" Type="http://schemas.openxmlformats.org/officeDocument/2006/relationships/customXml" Target="../ink/ink8.xml"/><Relationship Id="rId50" Type="http://schemas.openxmlformats.org/officeDocument/2006/relationships/customXml" Target="../ink/ink11.xml"/><Relationship Id="rId55" Type="http://schemas.openxmlformats.org/officeDocument/2006/relationships/customXml" Target="../ink/ink16.xml"/><Relationship Id="rId46" Type="http://schemas.openxmlformats.org/officeDocument/2006/relationships/customXml" Target="../ink/ink7.xml"/><Relationship Id="rId59" Type="http://schemas.openxmlformats.org/officeDocument/2006/relationships/customXml" Target="../ink/ink20.xml"/><Relationship Id="rId41" Type="http://schemas.openxmlformats.org/officeDocument/2006/relationships/customXml" Target="../ink/ink3.xml"/><Relationship Id="rId54" Type="http://schemas.openxmlformats.org/officeDocument/2006/relationships/customXml" Target="../ink/ink15.xml"/><Relationship Id="rId62" Type="http://schemas.openxmlformats.org/officeDocument/2006/relationships/customXml" Target="../ink/ink23.xml"/><Relationship Id="rId1" Type="http://schemas.openxmlformats.org/officeDocument/2006/relationships/customXml" Target="../ink/ink1.xml"/><Relationship Id="rId40" Type="http://schemas.openxmlformats.org/officeDocument/2006/relationships/customXml" Target="../ink/ink2.xml"/><Relationship Id="rId45" Type="http://schemas.openxmlformats.org/officeDocument/2006/relationships/customXml" Target="../ink/ink6.xml"/><Relationship Id="rId53" Type="http://schemas.openxmlformats.org/officeDocument/2006/relationships/customXml" Target="../ink/ink14.xml"/><Relationship Id="rId58" Type="http://schemas.openxmlformats.org/officeDocument/2006/relationships/customXml" Target="../ink/ink19.xml"/><Relationship Id="rId49" Type="http://schemas.openxmlformats.org/officeDocument/2006/relationships/customXml" Target="../ink/ink10.xml"/><Relationship Id="rId57" Type="http://schemas.openxmlformats.org/officeDocument/2006/relationships/customXml" Target="../ink/ink18.xml"/><Relationship Id="rId61" Type="http://schemas.openxmlformats.org/officeDocument/2006/relationships/customXml" Target="../ink/ink22.xml"/><Relationship Id="rId44" Type="http://schemas.openxmlformats.org/officeDocument/2006/relationships/customXml" Target="../ink/ink5.xml"/><Relationship Id="rId52" Type="http://schemas.openxmlformats.org/officeDocument/2006/relationships/customXml" Target="../ink/ink13.xml"/><Relationship Id="rId60" Type="http://schemas.openxmlformats.org/officeDocument/2006/relationships/customXml" Target="../ink/ink21.xml"/><Relationship Id="rId43" Type="http://schemas.openxmlformats.org/officeDocument/2006/relationships/customXml" Target="../ink/ink4.xml"/><Relationship Id="rId48" Type="http://schemas.openxmlformats.org/officeDocument/2006/relationships/customXml" Target="../ink/ink9.xml"/><Relationship Id="rId56" Type="http://schemas.openxmlformats.org/officeDocument/2006/relationships/customXml" Target="../ink/ink1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0</xdr:row>
      <xdr:rowOff>158750</xdr:rowOff>
    </xdr:from>
    <xdr:to>
      <xdr:col>2</xdr:col>
      <xdr:colOff>1761490</xdr:colOff>
      <xdr:row>3</xdr:row>
      <xdr:rowOff>163195</xdr:rowOff>
    </xdr:to>
    <xdr:pic>
      <xdr:nvPicPr>
        <xdr:cNvPr id="5" name="2 Imagen" descr="Esc. Ingeniería-08.jp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9875" y="158750"/>
          <a:ext cx="1649730" cy="575945"/>
        </a:xfrm>
        <a:prstGeom prst="rect">
          <a:avLst/>
        </a:prstGeom>
      </xdr:spPr>
    </xdr:pic>
    <xdr:clientData/>
  </xdr:twoCellAnchor>
  <xdr:twoCellAnchor editAs="oneCell">
    <xdr:from>
      <xdr:col>4</xdr:col>
      <xdr:colOff>745436</xdr:colOff>
      <xdr:row>0</xdr:row>
      <xdr:rowOff>176186</xdr:rowOff>
    </xdr:from>
    <xdr:to>
      <xdr:col>5</xdr:col>
      <xdr:colOff>982650</xdr:colOff>
      <xdr:row>4</xdr:row>
      <xdr:rowOff>1658</xdr:rowOff>
    </xdr:to>
    <xdr:pic>
      <xdr:nvPicPr>
        <xdr:cNvPr id="6" name="Imagen 5">
          <a:extLst>
            <a:ext uri="{FF2B5EF4-FFF2-40B4-BE49-F238E27FC236}">
              <a16:creationId xmlns:a16="http://schemas.microsoft.com/office/drawing/2014/main" id="{D1C01C31-0E52-4DFB-B0C2-0D7616918B6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328" t="29701" r="721" b="-1389"/>
        <a:stretch/>
      </xdr:blipFill>
      <xdr:spPr>
        <a:xfrm>
          <a:off x="2493066" y="176186"/>
          <a:ext cx="1060174" cy="579852"/>
        </a:xfrm>
        <a:prstGeom prst="rect">
          <a:avLst/>
        </a:prstGeom>
      </xdr:spPr>
    </xdr:pic>
    <xdr:clientData/>
  </xdr:twoCellAnchor>
  <xdr:twoCellAnchor>
    <xdr:from>
      <xdr:col>4</xdr:col>
      <xdr:colOff>289560</xdr:colOff>
      <xdr:row>5</xdr:row>
      <xdr:rowOff>7620</xdr:rowOff>
    </xdr:from>
    <xdr:to>
      <xdr:col>7</xdr:col>
      <xdr:colOff>182218</xdr:colOff>
      <xdr:row>8</xdr:row>
      <xdr:rowOff>0</xdr:rowOff>
    </xdr:to>
    <xdr:sp macro="" textlink="">
      <xdr:nvSpPr>
        <xdr:cNvPr id="2" name="2 Marcador de fecha">
          <a:extLst>
            <a:ext uri="{FF2B5EF4-FFF2-40B4-BE49-F238E27FC236}">
              <a16:creationId xmlns:a16="http://schemas.microsoft.com/office/drawing/2014/main" id="{9D9C3C3D-BA3F-4F6F-8802-DE1C0F73A3A4}"/>
            </a:ext>
          </a:extLst>
        </xdr:cNvPr>
        <xdr:cNvSpPr>
          <a:spLocks noGrp="1"/>
        </xdr:cNvSpPr>
      </xdr:nvSpPr>
      <xdr:spPr>
        <a:xfrm>
          <a:off x="4312920" y="922020"/>
          <a:ext cx="3573118" cy="693420"/>
        </a:xfrm>
        <a:prstGeom prst="rect">
          <a:avLst/>
        </a:prstGeom>
      </xdr:spPr>
      <xdr:txBody>
        <a:bodyPr vert="horz" wrap="square" lIns="91440" tIns="45720" rIns="91440" bIns="45720" rtlCol="0"/>
        <a:lstStyle/>
        <a:p>
          <a:pPr algn="r">
            <a:spcAft>
              <a:spcPts val="0"/>
            </a:spcAft>
          </a:pPr>
          <a:r>
            <a:rPr lang="es-CL" sz="1100" kern="1200">
              <a:solidFill>
                <a:srgbClr val="000000"/>
              </a:solidFill>
              <a:effectLst/>
              <a:latin typeface="+mn-lt"/>
              <a:ea typeface="Times New Roman"/>
              <a:cs typeface="Times New Roman"/>
            </a:rPr>
            <a:t>Diplomado en Dirección y Administración</a:t>
          </a:r>
          <a:r>
            <a:rPr lang="es-CL" sz="1100" kern="1200" baseline="0">
              <a:solidFill>
                <a:srgbClr val="000000"/>
              </a:solidFill>
              <a:effectLst/>
              <a:latin typeface="+mn-lt"/>
              <a:ea typeface="Times New Roman"/>
              <a:cs typeface="Times New Roman"/>
            </a:rPr>
            <a:t> </a:t>
          </a:r>
          <a:r>
            <a:rPr lang="es-CL" sz="1100" kern="1200">
              <a:solidFill>
                <a:srgbClr val="000000"/>
              </a:solidFill>
              <a:effectLst/>
              <a:latin typeface="+mn-lt"/>
              <a:ea typeface="Times New Roman"/>
              <a:cs typeface="Times New Roman"/>
            </a:rPr>
            <a:t>de Proyectos</a:t>
          </a:r>
          <a:endParaRPr lang="es-CL" sz="1100">
            <a:effectLst/>
            <a:latin typeface="+mn-lt"/>
            <a:ea typeface="Times New Roman"/>
          </a:endParaRPr>
        </a:p>
        <a:p>
          <a:pPr algn="r">
            <a:spcAft>
              <a:spcPts val="0"/>
            </a:spcAft>
          </a:pPr>
          <a:r>
            <a:rPr lang="es-CL" sz="1100" kern="1200">
              <a:solidFill>
                <a:srgbClr val="000000"/>
              </a:solidFill>
              <a:effectLst/>
              <a:latin typeface="+mn-lt"/>
              <a:ea typeface="Times New Roman"/>
              <a:cs typeface="Times New Roman"/>
            </a:rPr>
            <a:t>Versión V</a:t>
          </a:r>
          <a:r>
            <a:rPr lang="es-CL" sz="1100" kern="1200" baseline="0">
              <a:solidFill>
                <a:srgbClr val="000000"/>
              </a:solidFill>
              <a:effectLst/>
              <a:latin typeface="+mn-lt"/>
              <a:ea typeface="Times New Roman"/>
              <a:cs typeface="Times New Roman"/>
            </a:rPr>
            <a:t> 88</a:t>
          </a:r>
          <a:r>
            <a:rPr lang="es-CL" sz="1100" kern="1200">
              <a:solidFill>
                <a:srgbClr val="000000"/>
              </a:solidFill>
              <a:effectLst/>
              <a:latin typeface="+mn-lt"/>
              <a:ea typeface="Times New Roman"/>
              <a:cs typeface="Times New Roman"/>
            </a:rPr>
            <a:t> (06-2024)</a:t>
          </a:r>
        </a:p>
        <a:p>
          <a:pPr algn="r">
            <a:spcAft>
              <a:spcPts val="0"/>
            </a:spcAft>
          </a:pPr>
          <a:r>
            <a:rPr lang="es-CL" sz="1100" kern="1200">
              <a:solidFill>
                <a:srgbClr val="000000"/>
              </a:solidFill>
              <a:effectLst/>
              <a:latin typeface="+mn-lt"/>
              <a:ea typeface="Times New Roman"/>
              <a:cs typeface="Times New Roman"/>
            </a:rPr>
            <a:t>Módulo 5.1: Gestión de Riesgos en Proyectos</a:t>
          </a:r>
          <a:endParaRPr lang="es-CL" sz="1100">
            <a:effectLst/>
            <a:latin typeface="+mn-lt"/>
            <a:ea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9</xdr:row>
      <xdr:rowOff>228520</xdr:rowOff>
    </xdr:from>
    <xdr:to>
      <xdr:col>7</xdr:col>
      <xdr:colOff>0</xdr:colOff>
      <xdr:row>9</xdr:row>
      <xdr:rowOff>228880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0D934D65-EF20-414B-90AE-A097881A1A2C}"/>
                </a:ext>
              </a:extLst>
            </xdr14:cNvPr>
            <xdr14:cNvContentPartPr/>
          </xdr14:nvContentPartPr>
          <xdr14:nvPr macro=""/>
          <xdr14:xfrm>
            <a:off x="20408860" y="2158920"/>
            <a:ext cx="360" cy="360"/>
          </xdr14:xfrm>
        </xdr:contentPart>
      </mc:Choice>
      <mc:Fallback xmlns="">
        <xdr:pic>
          <xdr:nvPicPr>
            <xdr:cNvPr id="22" name="Entrada de lápiz 21">
              <a:extLst>
                <a:ext uri="{FF2B5EF4-FFF2-40B4-BE49-F238E27FC236}">
                  <a16:creationId xmlns:a16="http://schemas.microsoft.com/office/drawing/2014/main" id="{5C3DDCF3-9C6C-4473-85AE-06840D15ABF8}"/>
                </a:ext>
              </a:extLst>
            </xdr:cNvPr>
            <xdr:cNvPicPr/>
          </xdr:nvPicPr>
          <xdr:blipFill>
            <a:blip xmlns:r="http://schemas.openxmlformats.org/officeDocument/2006/relationships" r:embed="rId39"/>
            <a:stretch>
              <a:fillRect/>
            </a:stretch>
          </xdr:blipFill>
          <xdr:spPr>
            <a:xfrm>
              <a:off x="20390860" y="2122920"/>
              <a:ext cx="36000" cy="72000"/>
            </a:xfrm>
            <a:prstGeom prst="rect">
              <a:avLst/>
            </a:prstGeom>
          </xdr:spPr>
        </xdr:pic>
      </mc:Fallback>
    </mc:AlternateContent>
    <xdr:clientData/>
  </xdr:twoCellAnchor>
  <xdr:twoCellAnchor editAs="oneCell">
    <xdr:from>
      <xdr:col>2</xdr:col>
      <xdr:colOff>851040</xdr:colOff>
      <xdr:row>10</xdr:row>
      <xdr:rowOff>0</xdr:rowOff>
    </xdr:from>
    <xdr:to>
      <xdr:col>2</xdr:col>
      <xdr:colOff>851400</xdr:colOff>
      <xdr:row>10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 name="Entrada de lápiz 2">
              <a:extLst>
                <a:ext uri="{FF2B5EF4-FFF2-40B4-BE49-F238E27FC236}">
                  <a16:creationId xmlns:a16="http://schemas.microsoft.com/office/drawing/2014/main" id="{5C53C3D4-15AA-4A50-9844-AE1E3B174CD2}"/>
                </a:ext>
              </a:extLst>
            </xdr14:cNvPr>
            <xdr14:cNvContentPartPr/>
          </xdr14:nvContentPartPr>
          <xdr14:nvPr macro=""/>
          <xdr14:xfrm>
            <a:off x="2222640" y="6235880"/>
            <a:ext cx="360" cy="360"/>
          </xdr14:xfrm>
        </xdr:contentPart>
      </mc:Choice>
      <mc:Fallback xmlns="">
        <xdr:pic>
          <xdr:nvPicPr>
            <xdr:cNvPr id="30" name="Entrada de lápiz 29">
              <a:extLst>
                <a:ext uri="{FF2B5EF4-FFF2-40B4-BE49-F238E27FC236}">
                  <a16:creationId xmlns:a16="http://schemas.microsoft.com/office/drawing/2014/main" id="{46661453-A118-4519-A25D-EA2FB3F29851}"/>
                </a:ext>
              </a:extLst>
            </xdr:cNvPr>
            <xdr:cNvPicPr/>
          </xdr:nvPicPr>
          <xdr:blipFill>
            <a:blip xmlns:r="http://schemas.openxmlformats.org/officeDocument/2006/relationships" r:embed="rId39"/>
            <a:stretch>
              <a:fillRect/>
            </a:stretch>
          </xdr:blipFill>
          <xdr:spPr>
            <a:xfrm>
              <a:off x="2204640" y="6199880"/>
              <a:ext cx="36000" cy="72000"/>
            </a:xfrm>
            <a:prstGeom prst="rect">
              <a:avLst/>
            </a:prstGeom>
          </xdr:spPr>
        </xdr:pic>
      </mc:Fallback>
    </mc:AlternateContent>
    <xdr:clientData/>
  </xdr:twoCellAnchor>
  <xdr:twoCellAnchor editAs="oneCell">
    <xdr:from>
      <xdr:col>7</xdr:col>
      <xdr:colOff>0</xdr:colOff>
      <xdr:row>18</xdr:row>
      <xdr:rowOff>0</xdr:rowOff>
    </xdr:from>
    <xdr:to>
      <xdr:col>7</xdr:col>
      <xdr:colOff>0</xdr:colOff>
      <xdr:row>18</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8" name="Entrada de lápiz 7">
              <a:extLst>
                <a:ext uri="{FF2B5EF4-FFF2-40B4-BE49-F238E27FC236}">
                  <a16:creationId xmlns:a16="http://schemas.microsoft.com/office/drawing/2014/main" id="{1AA7527A-F0F7-49F8-A5D4-8A7EB5285C69}"/>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twoCellAnchor>
  <xdr:oneCellAnchor>
    <xdr:from>
      <xdr:col>2</xdr:col>
      <xdr:colOff>851040</xdr:colOff>
      <xdr:row>16</xdr:row>
      <xdr:rowOff>0</xdr:rowOff>
    </xdr:from>
    <xdr:ext cx="360" cy="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 name="Entrada de lápiz 3">
              <a:extLst>
                <a:ext uri="{FF2B5EF4-FFF2-40B4-BE49-F238E27FC236}">
                  <a16:creationId xmlns:a16="http://schemas.microsoft.com/office/drawing/2014/main" id="{E4C5F648-367F-4E57-917A-DA092D3301C2}"/>
                </a:ext>
              </a:extLst>
            </xdr14:cNvPr>
            <xdr14:cNvContentPartPr/>
          </xdr14:nvContentPartPr>
          <xdr14:nvPr macro=""/>
          <xdr14:xfrm>
            <a:off x="2222640" y="6235880"/>
            <a:ext cx="360" cy="360"/>
          </xdr14:xfrm>
        </xdr:contentPart>
      </mc:Choice>
      <mc:Fallback xmlns="">
        <xdr:pic>
          <xdr:nvPicPr>
            <xdr:cNvPr id="30" name="Entrada de lápiz 29">
              <a:extLst>
                <a:ext uri="{FF2B5EF4-FFF2-40B4-BE49-F238E27FC236}">
                  <a16:creationId xmlns:a16="http://schemas.microsoft.com/office/drawing/2014/main" id="{46661453-A118-4519-A25D-EA2FB3F29851}"/>
                </a:ext>
              </a:extLst>
            </xdr:cNvPr>
            <xdr:cNvPicPr/>
          </xdr:nvPicPr>
          <xdr:blipFill>
            <a:blip xmlns:r="http://schemas.openxmlformats.org/officeDocument/2006/relationships" r:embed="rId39"/>
            <a:stretch>
              <a:fillRect/>
            </a:stretch>
          </xdr:blipFill>
          <xdr:spPr>
            <a:xfrm>
              <a:off x="2204640" y="6199880"/>
              <a:ext cx="36000" cy="72000"/>
            </a:xfrm>
            <a:prstGeom prst="rect">
              <a:avLst/>
            </a:prstGeom>
          </xdr:spPr>
        </xdr:pic>
      </mc:Fallback>
    </mc:AlternateContent>
    <xdr:clientData/>
  </xdr:oneCellAnchor>
  <xdr:oneCellAnchor>
    <xdr:from>
      <xdr:col>19</xdr:col>
      <xdr:colOff>1534635</xdr:colOff>
      <xdr:row>24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5" name="Entrada de lápiz 4">
              <a:extLst>
                <a:ext uri="{FF2B5EF4-FFF2-40B4-BE49-F238E27FC236}">
                  <a16:creationId xmlns:a16="http://schemas.microsoft.com/office/drawing/2014/main" id="{D57ED83C-DB93-443D-A889-ADEE6B663458}"/>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6" name="Entrada de lápiz 5">
              <a:extLst>
                <a:ext uri="{FF2B5EF4-FFF2-40B4-BE49-F238E27FC236}">
                  <a16:creationId xmlns:a16="http://schemas.microsoft.com/office/drawing/2014/main" id="{2074A101-1CE3-4619-A6CD-D3CD784F596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7" name="Entrada de lápiz 6">
              <a:extLst>
                <a:ext uri="{FF2B5EF4-FFF2-40B4-BE49-F238E27FC236}">
                  <a16:creationId xmlns:a16="http://schemas.microsoft.com/office/drawing/2014/main" id="{0A5F0CC0-477D-4405-982B-7BE65F0C1A7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9" name="Entrada de lápiz 8">
              <a:extLst>
                <a:ext uri="{FF2B5EF4-FFF2-40B4-BE49-F238E27FC236}">
                  <a16:creationId xmlns:a16="http://schemas.microsoft.com/office/drawing/2014/main" id="{5F82BA5B-266A-4F92-938D-E236A62EB31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10" name="Entrada de lápiz 9">
              <a:extLst>
                <a:ext uri="{FF2B5EF4-FFF2-40B4-BE49-F238E27FC236}">
                  <a16:creationId xmlns:a16="http://schemas.microsoft.com/office/drawing/2014/main" id="{723E52B7-FF2A-45B6-9B62-4AFE8E3D3FC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1" name="Entrada de lápiz 10">
              <a:extLst>
                <a:ext uri="{FF2B5EF4-FFF2-40B4-BE49-F238E27FC236}">
                  <a16:creationId xmlns:a16="http://schemas.microsoft.com/office/drawing/2014/main" id="{07E18DC6-D970-44EE-9822-CA804F969259}"/>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12" name="Entrada de lápiz 11">
              <a:extLst>
                <a:ext uri="{FF2B5EF4-FFF2-40B4-BE49-F238E27FC236}">
                  <a16:creationId xmlns:a16="http://schemas.microsoft.com/office/drawing/2014/main" id="{8E8539E2-2373-43AA-88B4-03B1D9CD88AC}"/>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3" name="Entrada de lápiz 12">
              <a:extLst>
                <a:ext uri="{FF2B5EF4-FFF2-40B4-BE49-F238E27FC236}">
                  <a16:creationId xmlns:a16="http://schemas.microsoft.com/office/drawing/2014/main" id="{E14F6F46-E35C-43FD-8CB9-5F2B298F7D2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14" name="Entrada de lápiz 13">
              <a:extLst>
                <a:ext uri="{FF2B5EF4-FFF2-40B4-BE49-F238E27FC236}">
                  <a16:creationId xmlns:a16="http://schemas.microsoft.com/office/drawing/2014/main" id="{3C2B9376-5C8D-453C-A2FF-9D4D8FC5D888}"/>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 name="Entrada de lápiz 14">
              <a:extLst>
                <a:ext uri="{FF2B5EF4-FFF2-40B4-BE49-F238E27FC236}">
                  <a16:creationId xmlns:a16="http://schemas.microsoft.com/office/drawing/2014/main" id="{F1170B19-9AD0-4241-AE3D-A19879DA01AF}"/>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16" name="Entrada de lápiz 15">
              <a:extLst>
                <a:ext uri="{FF2B5EF4-FFF2-40B4-BE49-F238E27FC236}">
                  <a16:creationId xmlns:a16="http://schemas.microsoft.com/office/drawing/2014/main" id="{096F80BC-B018-4000-AC99-670DDA28CB6A}"/>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7" name="Entrada de lápiz 16">
              <a:extLst>
                <a:ext uri="{FF2B5EF4-FFF2-40B4-BE49-F238E27FC236}">
                  <a16:creationId xmlns:a16="http://schemas.microsoft.com/office/drawing/2014/main" id="{39B39D2A-927A-4026-844B-6199EA762B74}"/>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8" name="Entrada de lápiz 17">
              <a:extLst>
                <a:ext uri="{FF2B5EF4-FFF2-40B4-BE49-F238E27FC236}">
                  <a16:creationId xmlns:a16="http://schemas.microsoft.com/office/drawing/2014/main" id="{6E76B420-75B1-4036-BEA6-659A168FDAE1}"/>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9" name="Entrada de lápiz 18">
              <a:extLst>
                <a:ext uri="{FF2B5EF4-FFF2-40B4-BE49-F238E27FC236}">
                  <a16:creationId xmlns:a16="http://schemas.microsoft.com/office/drawing/2014/main" id="{0F2C18FD-8B3A-4E05-ABA8-684E24E8F31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20" name="Entrada de lápiz 19">
              <a:extLst>
                <a:ext uri="{FF2B5EF4-FFF2-40B4-BE49-F238E27FC236}">
                  <a16:creationId xmlns:a16="http://schemas.microsoft.com/office/drawing/2014/main" id="{0D720C39-8BF3-4F6B-BD25-EA19AE6CA662}"/>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1" name="Entrada de lápiz 20">
              <a:extLst>
                <a:ext uri="{FF2B5EF4-FFF2-40B4-BE49-F238E27FC236}">
                  <a16:creationId xmlns:a16="http://schemas.microsoft.com/office/drawing/2014/main" id="{FF5B480E-BF30-4219-A7C9-BAAF423914C6}"/>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22" name="Entrada de lápiz 21">
              <a:extLst>
                <a:ext uri="{FF2B5EF4-FFF2-40B4-BE49-F238E27FC236}">
                  <a16:creationId xmlns:a16="http://schemas.microsoft.com/office/drawing/2014/main" id="{CEFDB5E7-21D7-4521-9CE7-F089EAA531B6}"/>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23" name="Entrada de lápiz 22">
              <a:extLst>
                <a:ext uri="{FF2B5EF4-FFF2-40B4-BE49-F238E27FC236}">
                  <a16:creationId xmlns:a16="http://schemas.microsoft.com/office/drawing/2014/main" id="{591D4A71-9F2A-4FB2-9238-892009192DF0}"/>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24" name="Entrada de lápiz 23">
              <a:extLst>
                <a:ext uri="{FF2B5EF4-FFF2-40B4-BE49-F238E27FC236}">
                  <a16:creationId xmlns:a16="http://schemas.microsoft.com/office/drawing/2014/main" id="{4133E448-A76B-4914-B4BF-470F1A4D4053}"/>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8</xdr:col>
      <xdr:colOff>575735</xdr:colOff>
      <xdr:row>22</xdr:row>
      <xdr:rowOff>169332</xdr:rowOff>
    </xdr:from>
    <xdr:to>
      <xdr:col>16</xdr:col>
      <xdr:colOff>880539</xdr:colOff>
      <xdr:row>44</xdr:row>
      <xdr:rowOff>84666</xdr:rowOff>
    </xdr:to>
    <xdr:grpSp>
      <xdr:nvGrpSpPr>
        <xdr:cNvPr id="21" name="Grupo 20">
          <a:extLst>
            <a:ext uri="{FF2B5EF4-FFF2-40B4-BE49-F238E27FC236}">
              <a16:creationId xmlns:a16="http://schemas.microsoft.com/office/drawing/2014/main" id="{BA141D44-F57B-4E91-ADC8-FF6DC960F9B3}"/>
            </a:ext>
          </a:extLst>
        </xdr:cNvPr>
        <xdr:cNvGrpSpPr/>
      </xdr:nvGrpSpPr>
      <xdr:grpSpPr>
        <a:xfrm>
          <a:off x="7239002" y="4605865"/>
          <a:ext cx="5791204" cy="4013201"/>
          <a:chOff x="4758266" y="5003799"/>
          <a:chExt cx="5791204" cy="4013201"/>
        </a:xfrm>
      </xdr:grpSpPr>
      <xdr:sp macro="" textlink="">
        <xdr:nvSpPr>
          <xdr:cNvPr id="17" name="CuadroTexto 16">
            <a:extLst>
              <a:ext uri="{FF2B5EF4-FFF2-40B4-BE49-F238E27FC236}">
                <a16:creationId xmlns:a16="http://schemas.microsoft.com/office/drawing/2014/main" id="{1D475A54-A725-47B0-B4AA-1A8F4030D148}"/>
              </a:ext>
            </a:extLst>
          </xdr:cNvPr>
          <xdr:cNvSpPr txBox="1"/>
        </xdr:nvSpPr>
        <xdr:spPr>
          <a:xfrm>
            <a:off x="5093908" y="5317062"/>
            <a:ext cx="5447091" cy="262467"/>
          </a:xfrm>
          <a:prstGeom prst="rect">
            <a:avLst/>
          </a:prstGeom>
          <a:solidFill>
            <a:schemeClr val="bg1">
              <a:lumMod val="6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CL" sz="1200" b="1">
                <a:solidFill>
                  <a:schemeClr val="bg1"/>
                </a:solidFill>
              </a:rPr>
              <a:t>IMPACTO</a:t>
            </a:r>
          </a:p>
        </xdr:txBody>
      </xdr:sp>
      <xdr:sp macro="" textlink="">
        <xdr:nvSpPr>
          <xdr:cNvPr id="18" name="CuadroTexto 17">
            <a:extLst>
              <a:ext uri="{FF2B5EF4-FFF2-40B4-BE49-F238E27FC236}">
                <a16:creationId xmlns:a16="http://schemas.microsoft.com/office/drawing/2014/main" id="{584B5438-F69F-4A2B-AC34-0A0D43400F0A}"/>
              </a:ext>
            </a:extLst>
          </xdr:cNvPr>
          <xdr:cNvSpPr txBox="1"/>
        </xdr:nvSpPr>
        <xdr:spPr>
          <a:xfrm>
            <a:off x="4758266" y="5580135"/>
            <a:ext cx="330200" cy="3436862"/>
          </a:xfrm>
          <a:prstGeom prst="rect">
            <a:avLst/>
          </a:prstGeom>
          <a:solidFill>
            <a:schemeClr val="accent3">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vert="wordArtVert" wrap="none" rtlCol="0" anchor="t">
            <a:noAutofit/>
          </a:bodyPr>
          <a:lstStyle/>
          <a:p>
            <a:pPr algn="ctr"/>
            <a:r>
              <a:rPr lang="es-CL" sz="1100" b="1">
                <a:solidFill>
                  <a:schemeClr val="bg1"/>
                </a:solidFill>
              </a:rPr>
              <a:t>PROBABILIDAD</a:t>
            </a:r>
            <a:endParaRPr lang="es-CL" sz="1400" b="1">
              <a:solidFill>
                <a:schemeClr val="bg1"/>
              </a:solidFill>
            </a:endParaRPr>
          </a:p>
        </xdr:txBody>
      </xdr:sp>
      <xdr:sp macro="" textlink="">
        <xdr:nvSpPr>
          <xdr:cNvPr id="19" name="CuadroTexto 18">
            <a:extLst>
              <a:ext uri="{FF2B5EF4-FFF2-40B4-BE49-F238E27FC236}">
                <a16:creationId xmlns:a16="http://schemas.microsoft.com/office/drawing/2014/main" id="{DA53A347-9974-46B2-BD8F-A751FDC8E5FC}"/>
              </a:ext>
            </a:extLst>
          </xdr:cNvPr>
          <xdr:cNvSpPr txBox="1"/>
        </xdr:nvSpPr>
        <xdr:spPr>
          <a:xfrm>
            <a:off x="5096933" y="5003799"/>
            <a:ext cx="5452537" cy="313267"/>
          </a:xfrm>
          <a:prstGeom prst="rect">
            <a:avLst/>
          </a:prstGeom>
          <a:solidFill>
            <a:schemeClr val="accent2">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s-CL" sz="1100" b="1">
                <a:solidFill>
                  <a:schemeClr val="bg1"/>
                </a:solidFill>
              </a:rPr>
              <a:t>MAPA</a:t>
            </a:r>
            <a:r>
              <a:rPr lang="es-CL" sz="1100" b="1" baseline="0">
                <a:solidFill>
                  <a:schemeClr val="bg1"/>
                </a:solidFill>
              </a:rPr>
              <a:t> DE RIESGO RESIDUAL</a:t>
            </a:r>
            <a:endParaRPr lang="es-CL" sz="1100" b="1">
              <a:solidFill>
                <a:schemeClr val="bg1"/>
              </a:solidFill>
            </a:endParaRPr>
          </a:p>
        </xdr:txBody>
      </xdr:sp>
      <xdr:graphicFrame macro="">
        <xdr:nvGraphicFramePr>
          <xdr:cNvPr id="20" name="Gráfico 19">
            <a:extLst>
              <a:ext uri="{FF2B5EF4-FFF2-40B4-BE49-F238E27FC236}">
                <a16:creationId xmlns:a16="http://schemas.microsoft.com/office/drawing/2014/main" id="{F7CE8F21-A1CC-4DF6-88BF-253DA64B2820}"/>
              </a:ext>
            </a:extLst>
          </xdr:cNvPr>
          <xdr:cNvGraphicFramePr>
            <a:graphicFrameLocks noChangeAspect="1"/>
          </xdr:cNvGraphicFramePr>
        </xdr:nvGraphicFramePr>
        <xdr:xfrm>
          <a:off x="5080000" y="5572150"/>
          <a:ext cx="5461000" cy="34448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592666</xdr:colOff>
      <xdr:row>1</xdr:row>
      <xdr:rowOff>143933</xdr:rowOff>
    </xdr:from>
    <xdr:to>
      <xdr:col>16</xdr:col>
      <xdr:colOff>897470</xdr:colOff>
      <xdr:row>21</xdr:row>
      <xdr:rowOff>95440</xdr:rowOff>
    </xdr:to>
    <xdr:grpSp>
      <xdr:nvGrpSpPr>
        <xdr:cNvPr id="7" name="Grupo 6">
          <a:extLst>
            <a:ext uri="{FF2B5EF4-FFF2-40B4-BE49-F238E27FC236}">
              <a16:creationId xmlns:a16="http://schemas.microsoft.com/office/drawing/2014/main" id="{5207CBC2-4817-4BFE-AA9D-A924D11D366B}"/>
            </a:ext>
          </a:extLst>
        </xdr:cNvPr>
        <xdr:cNvGrpSpPr/>
      </xdr:nvGrpSpPr>
      <xdr:grpSpPr>
        <a:xfrm>
          <a:off x="7255933" y="330200"/>
          <a:ext cx="5791204" cy="4015507"/>
          <a:chOff x="7696200" y="618070"/>
          <a:chExt cx="5791204" cy="4021664"/>
        </a:xfrm>
      </xdr:grpSpPr>
      <xdr:graphicFrame macro="">
        <xdr:nvGraphicFramePr>
          <xdr:cNvPr id="8" name="Gráfico 7">
            <a:extLst>
              <a:ext uri="{FF2B5EF4-FFF2-40B4-BE49-F238E27FC236}">
                <a16:creationId xmlns:a16="http://schemas.microsoft.com/office/drawing/2014/main" id="{63D110A6-8102-3A79-0760-7C1BEDE16D5F}"/>
              </a:ext>
            </a:extLst>
          </xdr:cNvPr>
          <xdr:cNvGraphicFramePr>
            <a:graphicFrameLocks/>
          </xdr:cNvGraphicFramePr>
        </xdr:nvGraphicFramePr>
        <xdr:xfrm>
          <a:off x="8025615" y="1193801"/>
          <a:ext cx="5444852" cy="343172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 name="CuadroTexto 8">
            <a:extLst>
              <a:ext uri="{FF2B5EF4-FFF2-40B4-BE49-F238E27FC236}">
                <a16:creationId xmlns:a16="http://schemas.microsoft.com/office/drawing/2014/main" id="{D3A819B5-8A2D-E3E6-8CD9-F33958FBAE5F}"/>
              </a:ext>
            </a:extLst>
          </xdr:cNvPr>
          <xdr:cNvSpPr txBox="1"/>
        </xdr:nvSpPr>
        <xdr:spPr>
          <a:xfrm>
            <a:off x="8031842" y="939799"/>
            <a:ext cx="5447091" cy="262467"/>
          </a:xfrm>
          <a:prstGeom prst="rect">
            <a:avLst/>
          </a:prstGeom>
          <a:solidFill>
            <a:schemeClr val="bg1">
              <a:lumMod val="6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CL" sz="1200" b="1">
                <a:solidFill>
                  <a:schemeClr val="bg1"/>
                </a:solidFill>
              </a:rPr>
              <a:t>IMPACTO</a:t>
            </a:r>
          </a:p>
        </xdr:txBody>
      </xdr:sp>
      <xdr:sp macro="" textlink="">
        <xdr:nvSpPr>
          <xdr:cNvPr id="10" name="CuadroTexto 9">
            <a:extLst>
              <a:ext uri="{FF2B5EF4-FFF2-40B4-BE49-F238E27FC236}">
                <a16:creationId xmlns:a16="http://schemas.microsoft.com/office/drawing/2014/main" id="{A6101B6A-C6C1-E6C5-FE38-B166379BEDFB}"/>
              </a:ext>
            </a:extLst>
          </xdr:cNvPr>
          <xdr:cNvSpPr txBox="1"/>
        </xdr:nvSpPr>
        <xdr:spPr>
          <a:xfrm>
            <a:off x="7696200" y="1202872"/>
            <a:ext cx="330200" cy="3436862"/>
          </a:xfrm>
          <a:prstGeom prst="rect">
            <a:avLst/>
          </a:prstGeom>
          <a:solidFill>
            <a:schemeClr val="accent3">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vert="wordArtVert" wrap="none" rtlCol="0" anchor="t">
            <a:noAutofit/>
          </a:bodyPr>
          <a:lstStyle/>
          <a:p>
            <a:pPr algn="ctr"/>
            <a:r>
              <a:rPr lang="es-CL" sz="1100" b="1">
                <a:solidFill>
                  <a:schemeClr val="bg1"/>
                </a:solidFill>
              </a:rPr>
              <a:t>PROBABILIDAD</a:t>
            </a:r>
            <a:endParaRPr lang="es-CL" sz="1400" b="1">
              <a:solidFill>
                <a:schemeClr val="bg1"/>
              </a:solidFill>
            </a:endParaRPr>
          </a:p>
        </xdr:txBody>
      </xdr:sp>
      <xdr:sp macro="" textlink="">
        <xdr:nvSpPr>
          <xdr:cNvPr id="11" name="CuadroTexto 10">
            <a:extLst>
              <a:ext uri="{FF2B5EF4-FFF2-40B4-BE49-F238E27FC236}">
                <a16:creationId xmlns:a16="http://schemas.microsoft.com/office/drawing/2014/main" id="{1D9D05FD-2A9D-DBFC-21DE-0D4509FEE1ED}"/>
              </a:ext>
            </a:extLst>
          </xdr:cNvPr>
          <xdr:cNvSpPr txBox="1"/>
        </xdr:nvSpPr>
        <xdr:spPr>
          <a:xfrm>
            <a:off x="8034867" y="618070"/>
            <a:ext cx="5452537" cy="313267"/>
          </a:xfrm>
          <a:prstGeom prst="rect">
            <a:avLst/>
          </a:prstGeom>
          <a:solidFill>
            <a:schemeClr val="accent2">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s-CL" sz="1100" b="1">
                <a:solidFill>
                  <a:schemeClr val="bg1"/>
                </a:solidFill>
              </a:rPr>
              <a:t>MAPA</a:t>
            </a:r>
            <a:r>
              <a:rPr lang="es-CL" sz="1100" b="1" baseline="0">
                <a:solidFill>
                  <a:schemeClr val="bg1"/>
                </a:solidFill>
              </a:rPr>
              <a:t> DE RIESGO INHERENTE</a:t>
            </a:r>
            <a:endParaRPr lang="es-CL" sz="1100" b="1">
              <a:solidFill>
                <a:schemeClr val="bg1"/>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371475</xdr:colOff>
      <xdr:row>15</xdr:row>
      <xdr:rowOff>85725</xdr:rowOff>
    </xdr:from>
    <xdr:to>
      <xdr:col>6</xdr:col>
      <xdr:colOff>371475</xdr:colOff>
      <xdr:row>21</xdr:row>
      <xdr:rowOff>98425</xdr:rowOff>
    </xdr:to>
    <xdr:cxnSp macro="">
      <xdr:nvCxnSpPr>
        <xdr:cNvPr id="2" name="158 Conector recto">
          <a:extLst>
            <a:ext uri="{FF2B5EF4-FFF2-40B4-BE49-F238E27FC236}">
              <a16:creationId xmlns:a16="http://schemas.microsoft.com/office/drawing/2014/main" id="{9C41D91F-0729-452B-B81B-917F33B9FFF5}"/>
            </a:ext>
          </a:extLst>
        </xdr:cNvPr>
        <xdr:cNvCxnSpPr/>
      </xdr:nvCxnSpPr>
      <xdr:spPr>
        <a:xfrm flipV="1">
          <a:off x="4890135" y="2927985"/>
          <a:ext cx="0" cy="112522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28575</xdr:colOff>
      <xdr:row>12</xdr:row>
      <xdr:rowOff>123825</xdr:rowOff>
    </xdr:from>
    <xdr:to>
      <xdr:col>2</xdr:col>
      <xdr:colOff>704850</xdr:colOff>
      <xdr:row>12</xdr:row>
      <xdr:rowOff>123825</xdr:rowOff>
    </xdr:to>
    <xdr:cxnSp macro="">
      <xdr:nvCxnSpPr>
        <xdr:cNvPr id="3" name="146 Conector recto de flecha">
          <a:extLst>
            <a:ext uri="{FF2B5EF4-FFF2-40B4-BE49-F238E27FC236}">
              <a16:creationId xmlns:a16="http://schemas.microsoft.com/office/drawing/2014/main" id="{AC336A79-033E-4161-AB78-0E74A67708A4}"/>
            </a:ext>
          </a:extLst>
        </xdr:cNvPr>
        <xdr:cNvCxnSpPr/>
      </xdr:nvCxnSpPr>
      <xdr:spPr>
        <a:xfrm>
          <a:off x="1179195" y="2394585"/>
          <a:ext cx="6762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381000</xdr:colOff>
      <xdr:row>21</xdr:row>
      <xdr:rowOff>95250</xdr:rowOff>
    </xdr:from>
    <xdr:to>
      <xdr:col>7</xdr:col>
      <xdr:colOff>9525</xdr:colOff>
      <xdr:row>21</xdr:row>
      <xdr:rowOff>95250</xdr:rowOff>
    </xdr:to>
    <xdr:cxnSp macro="">
      <xdr:nvCxnSpPr>
        <xdr:cNvPr id="4" name="154 Conector recto de flecha">
          <a:extLst>
            <a:ext uri="{FF2B5EF4-FFF2-40B4-BE49-F238E27FC236}">
              <a16:creationId xmlns:a16="http://schemas.microsoft.com/office/drawing/2014/main" id="{849D17ED-97EC-4F70-A119-EAE5BE8E76E3}"/>
            </a:ext>
          </a:extLst>
        </xdr:cNvPr>
        <xdr:cNvCxnSpPr/>
      </xdr:nvCxnSpPr>
      <xdr:spPr>
        <a:xfrm>
          <a:off x="4899660" y="4050030"/>
          <a:ext cx="46672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9</xdr:row>
      <xdr:rowOff>123825</xdr:rowOff>
    </xdr:from>
    <xdr:to>
      <xdr:col>10</xdr:col>
      <xdr:colOff>342900</xdr:colOff>
      <xdr:row>9</xdr:row>
      <xdr:rowOff>123825</xdr:rowOff>
    </xdr:to>
    <xdr:cxnSp macro="">
      <xdr:nvCxnSpPr>
        <xdr:cNvPr id="5" name="159 Conector recto">
          <a:extLst>
            <a:ext uri="{FF2B5EF4-FFF2-40B4-BE49-F238E27FC236}">
              <a16:creationId xmlns:a16="http://schemas.microsoft.com/office/drawing/2014/main" id="{8526C348-DFE6-4AF3-A681-9EC0BF958217}"/>
            </a:ext>
          </a:extLst>
        </xdr:cNvPr>
        <xdr:cNvCxnSpPr/>
      </xdr:nvCxnSpPr>
      <xdr:spPr>
        <a:xfrm>
          <a:off x="8665845" y="1823085"/>
          <a:ext cx="3333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12</xdr:row>
      <xdr:rowOff>95250</xdr:rowOff>
    </xdr:from>
    <xdr:to>
      <xdr:col>4</xdr:col>
      <xdr:colOff>400050</xdr:colOff>
      <xdr:row>12</xdr:row>
      <xdr:rowOff>95250</xdr:rowOff>
    </xdr:to>
    <xdr:cxnSp macro="">
      <xdr:nvCxnSpPr>
        <xdr:cNvPr id="6" name="160 Conector recto">
          <a:extLst>
            <a:ext uri="{FF2B5EF4-FFF2-40B4-BE49-F238E27FC236}">
              <a16:creationId xmlns:a16="http://schemas.microsoft.com/office/drawing/2014/main" id="{FF35F90E-D4C2-457A-9A75-8419320A0F84}"/>
            </a:ext>
          </a:extLst>
        </xdr:cNvPr>
        <xdr:cNvCxnSpPr/>
      </xdr:nvCxnSpPr>
      <xdr:spPr>
        <a:xfrm>
          <a:off x="2790825" y="2366010"/>
          <a:ext cx="3905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352425</xdr:colOff>
      <xdr:row>9</xdr:row>
      <xdr:rowOff>123825</xdr:rowOff>
    </xdr:from>
    <xdr:to>
      <xdr:col>10</xdr:col>
      <xdr:colOff>352425</xdr:colOff>
      <xdr:row>15</xdr:row>
      <xdr:rowOff>114300</xdr:rowOff>
    </xdr:to>
    <xdr:cxnSp macro="">
      <xdr:nvCxnSpPr>
        <xdr:cNvPr id="7" name="161 Conector recto">
          <a:extLst>
            <a:ext uri="{FF2B5EF4-FFF2-40B4-BE49-F238E27FC236}">
              <a16:creationId xmlns:a16="http://schemas.microsoft.com/office/drawing/2014/main" id="{DAF07718-6537-479D-BBF4-5DAF7C108225}"/>
            </a:ext>
          </a:extLst>
        </xdr:cNvPr>
        <xdr:cNvCxnSpPr/>
      </xdr:nvCxnSpPr>
      <xdr:spPr>
        <a:xfrm>
          <a:off x="9008745" y="1823085"/>
          <a:ext cx="0" cy="1133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361950</xdr:colOff>
      <xdr:row>12</xdr:row>
      <xdr:rowOff>123825</xdr:rowOff>
    </xdr:from>
    <xdr:to>
      <xdr:col>11</xdr:col>
      <xdr:colOff>0</xdr:colOff>
      <xdr:row>12</xdr:row>
      <xdr:rowOff>123825</xdr:rowOff>
    </xdr:to>
    <xdr:cxnSp macro="">
      <xdr:nvCxnSpPr>
        <xdr:cNvPr id="8" name="162 Conector recto de flecha">
          <a:extLst>
            <a:ext uri="{FF2B5EF4-FFF2-40B4-BE49-F238E27FC236}">
              <a16:creationId xmlns:a16="http://schemas.microsoft.com/office/drawing/2014/main" id="{913F1D07-5892-467E-8B86-B154DCC17A6F}"/>
            </a:ext>
          </a:extLst>
        </xdr:cNvPr>
        <xdr:cNvCxnSpPr/>
      </xdr:nvCxnSpPr>
      <xdr:spPr>
        <a:xfrm>
          <a:off x="9018270" y="2394585"/>
          <a:ext cx="62865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15</xdr:row>
      <xdr:rowOff>76200</xdr:rowOff>
    </xdr:from>
    <xdr:to>
      <xdr:col>6</xdr:col>
      <xdr:colOff>733425</xdr:colOff>
      <xdr:row>15</xdr:row>
      <xdr:rowOff>76200</xdr:rowOff>
    </xdr:to>
    <xdr:cxnSp macro="">
      <xdr:nvCxnSpPr>
        <xdr:cNvPr id="9" name="146 Conector recto de flecha">
          <a:extLst>
            <a:ext uri="{FF2B5EF4-FFF2-40B4-BE49-F238E27FC236}">
              <a16:creationId xmlns:a16="http://schemas.microsoft.com/office/drawing/2014/main" id="{6C808556-54CD-49B4-922E-926A33F25D98}"/>
            </a:ext>
          </a:extLst>
        </xdr:cNvPr>
        <xdr:cNvCxnSpPr/>
      </xdr:nvCxnSpPr>
      <xdr:spPr>
        <a:xfrm>
          <a:off x="4575810" y="2918460"/>
          <a:ext cx="6762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9</xdr:row>
      <xdr:rowOff>104775</xdr:rowOff>
    </xdr:from>
    <xdr:to>
      <xdr:col>8</xdr:col>
      <xdr:colOff>962025</xdr:colOff>
      <xdr:row>9</xdr:row>
      <xdr:rowOff>104775</xdr:rowOff>
    </xdr:to>
    <xdr:cxnSp macro="">
      <xdr:nvCxnSpPr>
        <xdr:cNvPr id="10" name="146 Conector recto de flecha">
          <a:extLst>
            <a:ext uri="{FF2B5EF4-FFF2-40B4-BE49-F238E27FC236}">
              <a16:creationId xmlns:a16="http://schemas.microsoft.com/office/drawing/2014/main" id="{7F13BFD4-7DA6-4813-AEFE-A2639518AFC5}"/>
            </a:ext>
          </a:extLst>
        </xdr:cNvPr>
        <xdr:cNvCxnSpPr/>
      </xdr:nvCxnSpPr>
      <xdr:spPr>
        <a:xfrm>
          <a:off x="6471285" y="1804035"/>
          <a:ext cx="9525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9</xdr:row>
      <xdr:rowOff>76200</xdr:rowOff>
    </xdr:from>
    <xdr:to>
      <xdr:col>6</xdr:col>
      <xdr:colOff>790575</xdr:colOff>
      <xdr:row>9</xdr:row>
      <xdr:rowOff>76200</xdr:rowOff>
    </xdr:to>
    <xdr:cxnSp macro="">
      <xdr:nvCxnSpPr>
        <xdr:cNvPr id="11" name="146 Conector recto de flecha">
          <a:extLst>
            <a:ext uri="{FF2B5EF4-FFF2-40B4-BE49-F238E27FC236}">
              <a16:creationId xmlns:a16="http://schemas.microsoft.com/office/drawing/2014/main" id="{40DF23D9-E3B5-47B2-9455-B898800B543A}"/>
            </a:ext>
          </a:extLst>
        </xdr:cNvPr>
        <xdr:cNvCxnSpPr/>
      </xdr:nvCxnSpPr>
      <xdr:spPr>
        <a:xfrm>
          <a:off x="4547235" y="1775460"/>
          <a:ext cx="7620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400050</xdr:colOff>
      <xdr:row>9</xdr:row>
      <xdr:rowOff>66675</xdr:rowOff>
    </xdr:from>
    <xdr:to>
      <xdr:col>4</xdr:col>
      <xdr:colOff>685800</xdr:colOff>
      <xdr:row>9</xdr:row>
      <xdr:rowOff>66675</xdr:rowOff>
    </xdr:to>
    <xdr:cxnSp macro="">
      <xdr:nvCxnSpPr>
        <xdr:cNvPr id="12" name="146 Conector recto de flecha">
          <a:extLst>
            <a:ext uri="{FF2B5EF4-FFF2-40B4-BE49-F238E27FC236}">
              <a16:creationId xmlns:a16="http://schemas.microsoft.com/office/drawing/2014/main" id="{3511BD41-F27A-4C50-9E3D-1D18C0764F86}"/>
            </a:ext>
          </a:extLst>
        </xdr:cNvPr>
        <xdr:cNvCxnSpPr/>
      </xdr:nvCxnSpPr>
      <xdr:spPr>
        <a:xfrm>
          <a:off x="3181350" y="1765935"/>
          <a:ext cx="28575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400050</xdr:colOff>
      <xdr:row>15</xdr:row>
      <xdr:rowOff>85725</xdr:rowOff>
    </xdr:from>
    <xdr:to>
      <xdr:col>4</xdr:col>
      <xdr:colOff>685800</xdr:colOff>
      <xdr:row>15</xdr:row>
      <xdr:rowOff>85725</xdr:rowOff>
    </xdr:to>
    <xdr:cxnSp macro="">
      <xdr:nvCxnSpPr>
        <xdr:cNvPr id="13" name="146 Conector recto de flecha">
          <a:extLst>
            <a:ext uri="{FF2B5EF4-FFF2-40B4-BE49-F238E27FC236}">
              <a16:creationId xmlns:a16="http://schemas.microsoft.com/office/drawing/2014/main" id="{1390D004-B0DD-4C04-9C9F-093D022A601B}"/>
            </a:ext>
          </a:extLst>
        </xdr:cNvPr>
        <xdr:cNvCxnSpPr/>
      </xdr:nvCxnSpPr>
      <xdr:spPr>
        <a:xfrm>
          <a:off x="3181350" y="2927985"/>
          <a:ext cx="28575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390525</xdr:colOff>
      <xdr:row>9</xdr:row>
      <xdr:rowOff>76200</xdr:rowOff>
    </xdr:from>
    <xdr:to>
      <xdr:col>4</xdr:col>
      <xdr:colOff>400050</xdr:colOff>
      <xdr:row>15</xdr:row>
      <xdr:rowOff>79376</xdr:rowOff>
    </xdr:to>
    <xdr:cxnSp macro="">
      <xdr:nvCxnSpPr>
        <xdr:cNvPr id="14" name="158 Conector recto">
          <a:extLst>
            <a:ext uri="{FF2B5EF4-FFF2-40B4-BE49-F238E27FC236}">
              <a16:creationId xmlns:a16="http://schemas.microsoft.com/office/drawing/2014/main" id="{D6D6564E-1D4B-4F7B-967C-06E1E82B9E6E}"/>
            </a:ext>
          </a:extLst>
        </xdr:cNvPr>
        <xdr:cNvCxnSpPr/>
      </xdr:nvCxnSpPr>
      <xdr:spPr>
        <a:xfrm flipH="1" flipV="1">
          <a:off x="3171825" y="1775460"/>
          <a:ext cx="9525" cy="1146176"/>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15</xdr:row>
      <xdr:rowOff>95250</xdr:rowOff>
    </xdr:from>
    <xdr:to>
      <xdr:col>10</xdr:col>
      <xdr:colOff>342900</xdr:colOff>
      <xdr:row>15</xdr:row>
      <xdr:rowOff>95250</xdr:rowOff>
    </xdr:to>
    <xdr:cxnSp macro="">
      <xdr:nvCxnSpPr>
        <xdr:cNvPr id="15" name="159 Conector recto">
          <a:extLst>
            <a:ext uri="{FF2B5EF4-FFF2-40B4-BE49-F238E27FC236}">
              <a16:creationId xmlns:a16="http://schemas.microsoft.com/office/drawing/2014/main" id="{1DC2EE20-087E-4BC8-B57B-8FF83AA6AAF2}"/>
            </a:ext>
          </a:extLst>
        </xdr:cNvPr>
        <xdr:cNvCxnSpPr/>
      </xdr:nvCxnSpPr>
      <xdr:spPr>
        <a:xfrm>
          <a:off x="8665845" y="2937510"/>
          <a:ext cx="3333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15</xdr:row>
      <xdr:rowOff>85725</xdr:rowOff>
    </xdr:from>
    <xdr:to>
      <xdr:col>8</xdr:col>
      <xdr:colOff>971550</xdr:colOff>
      <xdr:row>15</xdr:row>
      <xdr:rowOff>85725</xdr:rowOff>
    </xdr:to>
    <xdr:cxnSp macro="">
      <xdr:nvCxnSpPr>
        <xdr:cNvPr id="16" name="146 Conector recto de flecha">
          <a:extLst>
            <a:ext uri="{FF2B5EF4-FFF2-40B4-BE49-F238E27FC236}">
              <a16:creationId xmlns:a16="http://schemas.microsoft.com/office/drawing/2014/main" id="{78FA22AA-AF33-40DB-BCA6-385DC5868AD6}"/>
            </a:ext>
          </a:extLst>
        </xdr:cNvPr>
        <xdr:cNvCxnSpPr/>
      </xdr:nvCxnSpPr>
      <xdr:spPr>
        <a:xfrm>
          <a:off x="6480810" y="2927985"/>
          <a:ext cx="9525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438150</xdr:colOff>
      <xdr:row>15</xdr:row>
      <xdr:rowOff>76200</xdr:rowOff>
    </xdr:from>
    <xdr:to>
      <xdr:col>8</xdr:col>
      <xdr:colOff>438150</xdr:colOff>
      <xdr:row>21</xdr:row>
      <xdr:rowOff>88900</xdr:rowOff>
    </xdr:to>
    <xdr:cxnSp macro="">
      <xdr:nvCxnSpPr>
        <xdr:cNvPr id="17" name="158 Conector recto">
          <a:extLst>
            <a:ext uri="{FF2B5EF4-FFF2-40B4-BE49-F238E27FC236}">
              <a16:creationId xmlns:a16="http://schemas.microsoft.com/office/drawing/2014/main" id="{199C0896-FF3E-49B1-8B62-2888DE96F7BF}"/>
            </a:ext>
          </a:extLst>
        </xdr:cNvPr>
        <xdr:cNvCxnSpPr/>
      </xdr:nvCxnSpPr>
      <xdr:spPr>
        <a:xfrm flipV="1">
          <a:off x="6899910" y="2918460"/>
          <a:ext cx="0" cy="112522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95250</xdr:rowOff>
    </xdr:from>
    <xdr:to>
      <xdr:col>8</xdr:col>
      <xdr:colOff>447675</xdr:colOff>
      <xdr:row>21</xdr:row>
      <xdr:rowOff>95250</xdr:rowOff>
    </xdr:to>
    <xdr:cxnSp macro="">
      <xdr:nvCxnSpPr>
        <xdr:cNvPr id="18" name="159 Conector recto">
          <a:extLst>
            <a:ext uri="{FF2B5EF4-FFF2-40B4-BE49-F238E27FC236}">
              <a16:creationId xmlns:a16="http://schemas.microsoft.com/office/drawing/2014/main" id="{6D012CB2-5CDB-474A-B56A-7B2B8A72BE25}"/>
            </a:ext>
          </a:extLst>
        </xdr:cNvPr>
        <xdr:cNvCxnSpPr/>
      </xdr:nvCxnSpPr>
      <xdr:spPr>
        <a:xfrm>
          <a:off x="6461760" y="4050030"/>
          <a:ext cx="4476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01-14T14:08:56.863"/>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01-14T14:08:56.863"/>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3-30T00:58:56.797"/>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3-31T17:55:58.537"/>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5:58.538"/>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6:23.679"/>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6:50.4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8:01:58.57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8:02:01.2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3:27.120"/>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3:27.12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13.7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13.75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46.90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46.90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0.580"/>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0.58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3.49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3.49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4.56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4.564"/>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6.07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6.074"/>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52"/>
  <sheetViews>
    <sheetView showGridLines="0" tabSelected="1" zoomScaleNormal="100" zoomScaleSheetLayoutView="115" workbookViewId="0">
      <selection activeCell="B1" sqref="B1"/>
    </sheetView>
  </sheetViews>
  <sheetFormatPr baseColWidth="10" defaultRowHeight="14.4" x14ac:dyDescent="0.3"/>
  <cols>
    <col min="1" max="1" width="1.5546875" customWidth="1"/>
    <col min="2" max="2" width="1.77734375" customWidth="1"/>
    <col min="3" max="3" width="42.6640625" customWidth="1"/>
    <col min="4" max="4" width="12.6640625" customWidth="1"/>
    <col min="5" max="5" width="12.88671875" customWidth="1"/>
    <col min="6" max="6" width="29.21875" customWidth="1"/>
    <col min="12" max="12" width="1.77734375" customWidth="1"/>
  </cols>
  <sheetData>
    <row r="1" spans="2:12" x14ac:dyDescent="0.3">
      <c r="B1" s="3"/>
      <c r="C1" s="3"/>
      <c r="D1" s="3"/>
      <c r="E1" s="3"/>
      <c r="F1" s="244"/>
      <c r="G1" s="244"/>
      <c r="H1" s="244"/>
      <c r="I1" s="244"/>
      <c r="J1" s="244"/>
      <c r="K1" s="244"/>
      <c r="L1" s="3"/>
    </row>
    <row r="2" spans="2:12" x14ac:dyDescent="0.3">
      <c r="B2" s="3"/>
      <c r="C2" s="3"/>
      <c r="D2" s="3"/>
      <c r="E2" s="3"/>
      <c r="F2" s="3"/>
      <c r="G2" s="3"/>
      <c r="H2" s="3"/>
      <c r="I2" s="3"/>
      <c r="J2" s="3"/>
      <c r="K2" s="3"/>
      <c r="L2" s="3"/>
    </row>
    <row r="3" spans="2:12" x14ac:dyDescent="0.3">
      <c r="B3" s="3"/>
      <c r="C3" s="3"/>
      <c r="D3" s="3"/>
      <c r="E3" s="3"/>
      <c r="F3" s="3"/>
      <c r="G3" s="3"/>
      <c r="H3" s="3"/>
      <c r="I3" s="3"/>
      <c r="J3" s="3"/>
      <c r="K3" s="3"/>
      <c r="L3" s="3"/>
    </row>
    <row r="4" spans="2:12" x14ac:dyDescent="0.3">
      <c r="B4" s="3"/>
      <c r="C4" s="3"/>
      <c r="D4" s="3"/>
      <c r="E4" s="3"/>
      <c r="F4" s="3"/>
      <c r="G4" s="3"/>
      <c r="H4" s="3"/>
      <c r="I4" s="3"/>
      <c r="J4" s="3"/>
      <c r="K4" s="3"/>
      <c r="L4" s="3"/>
    </row>
    <row r="5" spans="2:12" x14ac:dyDescent="0.3">
      <c r="B5" s="3"/>
      <c r="C5" s="3"/>
      <c r="D5" s="3"/>
      <c r="E5" s="3"/>
      <c r="F5" s="3"/>
      <c r="G5" s="3"/>
      <c r="H5" s="3"/>
      <c r="I5" s="3"/>
      <c r="J5" s="3"/>
      <c r="K5" s="3"/>
      <c r="L5" s="3"/>
    </row>
    <row r="6" spans="2:12" x14ac:dyDescent="0.3">
      <c r="B6" s="3"/>
      <c r="C6" s="4" t="s">
        <v>28</v>
      </c>
      <c r="D6" s="3"/>
      <c r="E6" s="3"/>
      <c r="F6" s="3"/>
      <c r="G6" s="3"/>
      <c r="H6" s="3"/>
      <c r="I6" s="3"/>
      <c r="J6" s="3"/>
      <c r="K6" s="3"/>
      <c r="L6" s="3"/>
    </row>
    <row r="7" spans="2:12" ht="20.25" customHeight="1" x14ac:dyDescent="0.3">
      <c r="B7" s="3"/>
      <c r="C7" s="219" t="s">
        <v>52</v>
      </c>
      <c r="D7" s="182" t="s">
        <v>406</v>
      </c>
      <c r="F7" s="3"/>
      <c r="G7" s="3"/>
      <c r="H7" s="3"/>
      <c r="I7" s="3"/>
      <c r="J7" s="3"/>
      <c r="K7" s="3"/>
      <c r="L7" s="3"/>
    </row>
    <row r="8" spans="2:12" ht="21" customHeight="1" x14ac:dyDescent="0.3">
      <c r="B8" s="3"/>
      <c r="C8" s="186" t="s">
        <v>29</v>
      </c>
      <c r="D8" s="3"/>
      <c r="E8" s="3"/>
      <c r="F8" s="3"/>
      <c r="G8" s="3"/>
      <c r="H8" s="3"/>
      <c r="I8" s="3"/>
      <c r="J8" s="3"/>
      <c r="K8" s="3"/>
      <c r="L8" s="3"/>
    </row>
    <row r="9" spans="2:12" x14ac:dyDescent="0.3">
      <c r="B9" s="5" t="s">
        <v>30</v>
      </c>
      <c r="D9" s="245"/>
      <c r="E9" s="246"/>
      <c r="F9" s="246"/>
      <c r="G9" s="246"/>
      <c r="H9" s="246"/>
      <c r="I9" s="246"/>
      <c r="J9" s="246"/>
      <c r="K9" s="246"/>
      <c r="L9" s="3"/>
    </row>
    <row r="10" spans="2:12" x14ac:dyDescent="0.3">
      <c r="B10" s="5" t="s">
        <v>31</v>
      </c>
      <c r="D10" s="245"/>
      <c r="E10" s="246"/>
      <c r="F10" s="246"/>
      <c r="G10" s="246"/>
      <c r="H10" s="246"/>
      <c r="I10" s="246"/>
      <c r="J10" s="246"/>
      <c r="K10" s="246"/>
      <c r="L10" s="3"/>
    </row>
    <row r="11" spans="2:12" x14ac:dyDescent="0.3">
      <c r="B11" s="5" t="s">
        <v>32</v>
      </c>
      <c r="D11" s="245"/>
      <c r="E11" s="246"/>
      <c r="F11" s="246"/>
      <c r="G11" s="246"/>
      <c r="H11" s="246"/>
      <c r="I11" s="246"/>
      <c r="J11" s="246"/>
      <c r="K11" s="246"/>
      <c r="L11" s="3"/>
    </row>
    <row r="12" spans="2:12" x14ac:dyDescent="0.3">
      <c r="B12" s="5" t="s">
        <v>33</v>
      </c>
      <c r="D12" s="245"/>
      <c r="E12" s="246"/>
      <c r="F12" s="246"/>
      <c r="G12" s="246"/>
      <c r="H12" s="246"/>
      <c r="I12" s="246"/>
      <c r="J12" s="246"/>
      <c r="K12" s="246"/>
      <c r="L12" s="3"/>
    </row>
    <row r="13" spans="2:12" x14ac:dyDescent="0.3">
      <c r="B13" s="5" t="s">
        <v>38</v>
      </c>
      <c r="D13" s="3"/>
      <c r="E13" s="3"/>
      <c r="F13" s="3"/>
      <c r="G13" s="3"/>
      <c r="H13" s="3"/>
      <c r="I13" s="3"/>
      <c r="J13" s="3"/>
      <c r="K13" s="3"/>
      <c r="L13" s="3"/>
    </row>
    <row r="14" spans="2:12" x14ac:dyDescent="0.3">
      <c r="B14" s="5" t="s">
        <v>51</v>
      </c>
      <c r="D14" s="3"/>
      <c r="E14" s="3"/>
      <c r="F14" s="3"/>
      <c r="G14" s="3"/>
      <c r="H14" s="3"/>
      <c r="I14" s="3"/>
      <c r="J14" s="3"/>
      <c r="K14" s="3"/>
      <c r="L14" s="3"/>
    </row>
    <row r="15" spans="2:12" x14ac:dyDescent="0.3">
      <c r="B15" s="5" t="s">
        <v>343</v>
      </c>
      <c r="D15" s="3"/>
      <c r="E15" s="3"/>
      <c r="F15" s="3"/>
      <c r="G15" s="3"/>
      <c r="H15" s="3"/>
      <c r="I15" s="3"/>
      <c r="J15" s="3"/>
      <c r="K15" s="3"/>
      <c r="L15" s="3"/>
    </row>
    <row r="16" spans="2:12" x14ac:dyDescent="0.3">
      <c r="B16" s="3"/>
      <c r="C16" s="5"/>
      <c r="D16" s="3"/>
      <c r="E16" s="3"/>
      <c r="F16" s="3"/>
      <c r="G16" s="3"/>
      <c r="H16" s="3"/>
      <c r="I16" s="3"/>
      <c r="J16" s="3"/>
      <c r="K16" s="3"/>
      <c r="L16" s="3"/>
    </row>
    <row r="17" spans="3:6" x14ac:dyDescent="0.3">
      <c r="C17" s="183" t="s">
        <v>441</v>
      </c>
      <c r="D17" s="184"/>
      <c r="E17" s="184"/>
      <c r="F17" s="185"/>
    </row>
    <row r="18" spans="3:6" x14ac:dyDescent="0.3">
      <c r="C18" s="185"/>
      <c r="D18" s="185"/>
      <c r="E18" s="185"/>
      <c r="F18" s="185"/>
    </row>
    <row r="19" spans="3:6" x14ac:dyDescent="0.3">
      <c r="C19" s="187"/>
      <c r="D19" s="187"/>
      <c r="E19" s="187"/>
      <c r="F19" s="187"/>
    </row>
    <row r="20" spans="3:6" ht="28.8" x14ac:dyDescent="0.3">
      <c r="C20" s="188" t="s">
        <v>407</v>
      </c>
      <c r="D20" s="186" t="s">
        <v>408</v>
      </c>
      <c r="E20" s="189" t="s">
        <v>409</v>
      </c>
      <c r="F20" s="186" t="s">
        <v>410</v>
      </c>
    </row>
    <row r="21" spans="3:6" x14ac:dyDescent="0.3">
      <c r="C21" s="238" t="s">
        <v>411</v>
      </c>
      <c r="D21" s="239"/>
      <c r="E21" s="239"/>
      <c r="F21" s="240"/>
    </row>
    <row r="22" spans="3:6" ht="43.2" x14ac:dyDescent="0.3">
      <c r="C22" s="190" t="s">
        <v>412</v>
      </c>
      <c r="D22" s="191">
        <v>1</v>
      </c>
      <c r="E22" s="192"/>
      <c r="F22" s="193"/>
    </row>
    <row r="23" spans="3:6" ht="43.2" x14ac:dyDescent="0.3">
      <c r="C23" s="190" t="s">
        <v>413</v>
      </c>
      <c r="D23" s="191">
        <v>1</v>
      </c>
      <c r="E23" s="192"/>
      <c r="F23" s="193"/>
    </row>
    <row r="24" spans="3:6" ht="100.8" x14ac:dyDescent="0.3">
      <c r="C24" s="190" t="s">
        <v>414</v>
      </c>
      <c r="D24" s="191">
        <v>2</v>
      </c>
      <c r="E24" s="192"/>
      <c r="F24" s="193"/>
    </row>
    <row r="25" spans="3:6" ht="28.8" x14ac:dyDescent="0.3">
      <c r="C25" s="194" t="s">
        <v>415</v>
      </c>
      <c r="D25" s="195">
        <v>1</v>
      </c>
      <c r="E25" s="196"/>
      <c r="F25" s="197"/>
    </row>
    <row r="26" spans="3:6" ht="28.8" x14ac:dyDescent="0.3">
      <c r="C26" s="194" t="s">
        <v>416</v>
      </c>
      <c r="D26" s="195">
        <v>1</v>
      </c>
      <c r="E26" s="196"/>
      <c r="F26" s="197"/>
    </row>
    <row r="27" spans="3:6" ht="15" thickBot="1" x14ac:dyDescent="0.35">
      <c r="C27" s="198" t="s">
        <v>417</v>
      </c>
      <c r="D27" s="199">
        <f>SUM(D22:D26)+1</f>
        <v>7</v>
      </c>
      <c r="E27" s="199">
        <f>SUM(E23:E26)+1</f>
        <v>1</v>
      </c>
      <c r="F27" s="200"/>
    </row>
    <row r="28" spans="3:6" ht="15" thickBot="1" x14ac:dyDescent="0.35">
      <c r="C28" s="241" t="s">
        <v>418</v>
      </c>
      <c r="D28" s="242"/>
      <c r="E28" s="242"/>
      <c r="F28" s="243"/>
    </row>
    <row r="29" spans="3:6" ht="43.2" x14ac:dyDescent="0.3">
      <c r="C29" s="201" t="s">
        <v>419</v>
      </c>
      <c r="D29" s="202">
        <v>2</v>
      </c>
      <c r="E29" s="203"/>
      <c r="F29" s="204"/>
    </row>
    <row r="30" spans="3:6" ht="57.6" x14ac:dyDescent="0.3">
      <c r="C30" s="205" t="s">
        <v>420</v>
      </c>
      <c r="D30" s="206">
        <v>2</v>
      </c>
      <c r="E30" s="207"/>
      <c r="F30" s="208"/>
    </row>
    <row r="31" spans="3:6" ht="72" x14ac:dyDescent="0.3">
      <c r="C31" s="190" t="s">
        <v>421</v>
      </c>
      <c r="D31" s="191">
        <v>1</v>
      </c>
      <c r="E31" s="192"/>
      <c r="F31" s="193"/>
    </row>
    <row r="32" spans="3:6" x14ac:dyDescent="0.3">
      <c r="C32" s="194" t="s">
        <v>422</v>
      </c>
      <c r="D32" s="195">
        <v>1</v>
      </c>
      <c r="E32" s="209"/>
      <c r="F32" s="197"/>
    </row>
    <row r="33" spans="3:6" ht="15" thickBot="1" x14ac:dyDescent="0.35">
      <c r="C33" s="198" t="s">
        <v>423</v>
      </c>
      <c r="D33" s="199">
        <f>SUM(D29:D32)+1</f>
        <v>7</v>
      </c>
      <c r="E33" s="199">
        <f>SUM(E29:E32)+1</f>
        <v>1</v>
      </c>
      <c r="F33" s="200"/>
    </row>
    <row r="34" spans="3:6" ht="15" thickBot="1" x14ac:dyDescent="0.35">
      <c r="C34" s="241" t="s">
        <v>424</v>
      </c>
      <c r="D34" s="242"/>
      <c r="E34" s="242"/>
      <c r="F34" s="243"/>
    </row>
    <row r="35" spans="3:6" ht="43.2" x14ac:dyDescent="0.3">
      <c r="C35" s="201" t="s">
        <v>425</v>
      </c>
      <c r="D35" s="203">
        <v>1.5</v>
      </c>
      <c r="E35" s="203"/>
      <c r="F35" s="210"/>
    </row>
    <row r="36" spans="3:6" ht="28.8" x14ac:dyDescent="0.3">
      <c r="C36" s="205" t="s">
        <v>426</v>
      </c>
      <c r="D36" s="192">
        <v>1</v>
      </c>
      <c r="E36" s="192"/>
      <c r="F36" s="211"/>
    </row>
    <row r="37" spans="3:6" ht="28.8" x14ac:dyDescent="0.3">
      <c r="C37" s="205" t="s">
        <v>427</v>
      </c>
      <c r="D37" s="192">
        <v>1</v>
      </c>
      <c r="E37" s="192"/>
      <c r="F37" s="211"/>
    </row>
    <row r="38" spans="3:6" ht="57.6" x14ac:dyDescent="0.3">
      <c r="C38" s="205" t="s">
        <v>428</v>
      </c>
      <c r="D38" s="192">
        <v>1</v>
      </c>
      <c r="E38" s="192"/>
      <c r="F38" s="211"/>
    </row>
    <row r="39" spans="3:6" ht="43.2" x14ac:dyDescent="0.3">
      <c r="C39" s="205" t="s">
        <v>429</v>
      </c>
      <c r="D39" s="207">
        <v>1.5</v>
      </c>
      <c r="E39" s="207"/>
      <c r="F39" s="212"/>
    </row>
    <row r="40" spans="3:6" ht="15" thickBot="1" x14ac:dyDescent="0.35">
      <c r="C40" s="213" t="s">
        <v>430</v>
      </c>
      <c r="D40" s="214">
        <f>SUM(D35:D39)+1</f>
        <v>7</v>
      </c>
      <c r="E40" s="214">
        <f>SUM(E35:E39)+1</f>
        <v>1</v>
      </c>
      <c r="F40" s="215"/>
    </row>
    <row r="41" spans="3:6" ht="15" thickBot="1" x14ac:dyDescent="0.35">
      <c r="C41" s="241" t="s">
        <v>431</v>
      </c>
      <c r="D41" s="242"/>
      <c r="E41" s="242"/>
      <c r="F41" s="243"/>
    </row>
    <row r="42" spans="3:6" ht="57.6" x14ac:dyDescent="0.3">
      <c r="C42" s="201" t="s">
        <v>432</v>
      </c>
      <c r="D42" s="203">
        <v>1.5</v>
      </c>
      <c r="E42" s="203"/>
      <c r="F42" s="210"/>
    </row>
    <row r="43" spans="3:6" ht="57.6" x14ac:dyDescent="0.3">
      <c r="C43" s="205" t="s">
        <v>433</v>
      </c>
      <c r="D43" s="192">
        <v>1</v>
      </c>
      <c r="E43" s="192"/>
      <c r="F43" s="211"/>
    </row>
    <row r="44" spans="3:6" ht="28.8" x14ac:dyDescent="0.3">
      <c r="C44" s="205" t="s">
        <v>434</v>
      </c>
      <c r="D44" s="192">
        <v>1</v>
      </c>
      <c r="E44" s="192"/>
      <c r="F44" s="211"/>
    </row>
    <row r="45" spans="3:6" ht="29.4" thickBot="1" x14ac:dyDescent="0.35">
      <c r="C45" s="205" t="s">
        <v>435</v>
      </c>
      <c r="D45" s="192">
        <v>1</v>
      </c>
      <c r="E45" s="192"/>
      <c r="F45" s="211"/>
    </row>
    <row r="46" spans="3:6" ht="28.8" x14ac:dyDescent="0.3">
      <c r="C46" s="205" t="s">
        <v>436</v>
      </c>
      <c r="D46" s="207">
        <v>1.5</v>
      </c>
      <c r="E46" s="207"/>
      <c r="F46" s="210"/>
    </row>
    <row r="47" spans="3:6" ht="15" thickBot="1" x14ac:dyDescent="0.35">
      <c r="C47" s="213" t="s">
        <v>437</v>
      </c>
      <c r="D47" s="214">
        <f>SUM(D42:D46)+1</f>
        <v>7</v>
      </c>
      <c r="E47" s="214">
        <f>SUM(E42:E46)+1</f>
        <v>1</v>
      </c>
      <c r="F47" s="215"/>
    </row>
    <row r="48" spans="3:6" ht="15" thickBot="1" x14ac:dyDescent="0.35">
      <c r="C48" s="216" t="s">
        <v>438</v>
      </c>
      <c r="D48" s="217"/>
      <c r="E48" s="214">
        <f>+E27*0.2+E33*0.2+E40*0.2+E47*0.4</f>
        <v>1</v>
      </c>
      <c r="F48" s="185"/>
    </row>
    <row r="49" spans="3:6" x14ac:dyDescent="0.3">
      <c r="C49" s="185"/>
      <c r="D49" s="185"/>
      <c r="E49" s="185"/>
      <c r="F49" s="185"/>
    </row>
    <row r="50" spans="3:6" x14ac:dyDescent="0.3">
      <c r="C50" s="218" t="s">
        <v>439</v>
      </c>
      <c r="D50" s="185"/>
      <c r="E50" s="185"/>
      <c r="F50" s="185"/>
    </row>
    <row r="51" spans="3:6" x14ac:dyDescent="0.3">
      <c r="C51" s="218" t="s">
        <v>440</v>
      </c>
      <c r="D51" s="185"/>
      <c r="E51" s="185"/>
      <c r="F51" s="185"/>
    </row>
    <row r="52" spans="3:6" x14ac:dyDescent="0.3">
      <c r="C52" s="185"/>
      <c r="D52" s="185"/>
      <c r="E52" s="185"/>
      <c r="F52" s="185"/>
    </row>
  </sheetData>
  <mergeCells count="9">
    <mergeCell ref="C21:F21"/>
    <mergeCell ref="C28:F28"/>
    <mergeCell ref="C34:F34"/>
    <mergeCell ref="C41:F41"/>
    <mergeCell ref="F1:K1"/>
    <mergeCell ref="D9:K9"/>
    <mergeCell ref="D10:K10"/>
    <mergeCell ref="D11:K11"/>
    <mergeCell ref="D12:K12"/>
  </mergeCells>
  <printOptions horizontalCentered="1"/>
  <pageMargins left="0.70866141732283472" right="0.70866141732283472" top="0.74803149606299213" bottom="0.74803149606299213" header="0.31496062992125984" footer="0.31496062992125984"/>
  <pageSetup paperSize="123" scale="84"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8441-9BA4-4D7E-80A5-B56C5769E396}">
  <sheetPr>
    <pageSetUpPr fitToPage="1"/>
  </sheetPr>
  <dimension ref="A1:AN142"/>
  <sheetViews>
    <sheetView showGridLines="0" zoomScale="40" zoomScaleNormal="40" zoomScaleSheetLayoutView="85" workbookViewId="0">
      <pane xSplit="4" ySplit="10" topLeftCell="E11" activePane="bottomRight" state="frozen"/>
      <selection activeCell="I9" sqref="I9"/>
      <selection pane="topRight" activeCell="I9" sqref="I9"/>
      <selection pane="bottomLeft" activeCell="I9" sqref="I9"/>
      <selection pane="bottomRight"/>
    </sheetView>
  </sheetViews>
  <sheetFormatPr baseColWidth="10" defaultColWidth="11.44140625" defaultRowHeight="13.8" outlineLevelCol="1" x14ac:dyDescent="0.25"/>
  <cols>
    <col min="1" max="1" width="9.5546875" style="10" customWidth="1"/>
    <col min="2" max="2" width="16.44140625" style="6" customWidth="1" outlineLevel="1"/>
    <col min="3" max="3" width="23.33203125" style="6" customWidth="1"/>
    <col min="4" max="4" width="39" style="12" customWidth="1"/>
    <col min="5" max="5" width="38" style="6" customWidth="1" outlineLevel="1"/>
    <col min="6" max="6" width="47.44140625" style="6" customWidth="1"/>
    <col min="7" max="7" width="14.44140625" style="6" customWidth="1" outlineLevel="1"/>
    <col min="8" max="8" width="16" style="6" customWidth="1" outlineLevel="1"/>
    <col min="9" max="9" width="14.5546875" style="9" customWidth="1" outlineLevel="1"/>
    <col min="10" max="10" width="7.33203125" style="7" customWidth="1"/>
    <col min="11" max="11" width="6.33203125" style="7" customWidth="1"/>
    <col min="12" max="12" width="4.5546875" style="7" customWidth="1"/>
    <col min="13" max="13" width="6.33203125" style="7" customWidth="1"/>
    <col min="14" max="14" width="6.6640625" style="6" customWidth="1"/>
    <col min="15" max="15" width="6.5546875" style="7" customWidth="1"/>
    <col min="16" max="16" width="3.6640625" style="8" customWidth="1"/>
    <col min="17" max="17" width="15.33203125" style="13" customWidth="1"/>
    <col min="18" max="18" width="33.44140625" style="6" customWidth="1"/>
    <col min="19" max="19" width="24.5546875" style="6" customWidth="1"/>
    <col min="20" max="20" width="28.109375" style="7" customWidth="1"/>
    <col min="21" max="21" width="29.5546875" style="7" customWidth="1"/>
    <col min="22" max="22" width="30.33203125" style="6" customWidth="1"/>
    <col min="23" max="23" width="15.44140625" style="6" customWidth="1"/>
    <col min="24" max="24" width="24.6640625" style="6" customWidth="1"/>
    <col min="25" max="25" width="13.5546875" style="7" customWidth="1"/>
    <col min="26" max="26" width="7.6640625" style="7" customWidth="1"/>
    <col min="27" max="27" width="6.5546875" style="7" customWidth="1"/>
    <col min="28" max="28" width="6.33203125" style="7" customWidth="1"/>
    <col min="29" max="29" width="8.33203125" style="7" customWidth="1"/>
    <col min="30" max="30" width="6.5546875" style="7" customWidth="1"/>
    <col min="31" max="31" width="3.6640625" style="7" hidden="1" customWidth="1"/>
    <col min="32" max="34" width="6.5546875" style="7" hidden="1" customWidth="1"/>
    <col min="35" max="35" width="10.33203125" style="7" hidden="1" customWidth="1"/>
    <col min="36" max="37" width="11.44140625" style="7" hidden="1" customWidth="1"/>
    <col min="38" max="38" width="14.6640625" style="7" hidden="1" customWidth="1"/>
    <col min="39" max="39" width="15.33203125" style="7" hidden="1" customWidth="1"/>
    <col min="40" max="46" width="11.44140625" style="122" customWidth="1"/>
    <col min="47" max="47" width="16.6640625" style="122" customWidth="1"/>
    <col min="48" max="48" width="14.109375" style="122" customWidth="1"/>
    <col min="49" max="53" width="11.44140625" style="122" customWidth="1"/>
    <col min="54" max="16384" width="11.44140625" style="122"/>
  </cols>
  <sheetData>
    <row r="1" spans="1:40" x14ac:dyDescent="0.25">
      <c r="S1" s="16"/>
      <c r="V1" s="15"/>
      <c r="W1" s="15"/>
    </row>
    <row r="2" spans="1:40" s="123" customFormat="1" ht="43.2" customHeight="1" thickBot="1" x14ac:dyDescent="0.35">
      <c r="A2" s="50"/>
      <c r="B2" s="328" t="s">
        <v>255</v>
      </c>
      <c r="C2" s="328"/>
      <c r="D2" s="328"/>
      <c r="E2" s="328"/>
      <c r="F2" s="328"/>
      <c r="G2" s="328"/>
      <c r="H2" s="328"/>
      <c r="I2" s="328"/>
      <c r="J2" s="328"/>
      <c r="K2" s="328"/>
      <c r="L2" s="328"/>
      <c r="M2" s="328"/>
      <c r="N2" s="328"/>
      <c r="O2" s="328"/>
      <c r="P2" s="328"/>
      <c r="Q2" s="328"/>
      <c r="R2" s="328"/>
      <c r="S2" s="328"/>
      <c r="T2" s="328"/>
      <c r="U2" s="328"/>
      <c r="V2" s="328"/>
      <c r="W2" s="328"/>
      <c r="X2" s="328"/>
      <c r="Y2" s="328"/>
      <c r="Z2" s="328"/>
      <c r="AA2" s="328"/>
      <c r="AB2" s="328"/>
      <c r="AC2" s="328"/>
      <c r="AD2" s="328"/>
      <c r="AE2" s="328"/>
      <c r="AF2" s="328"/>
      <c r="AG2" s="328"/>
      <c r="AH2" s="328"/>
      <c r="AI2" s="328"/>
      <c r="AJ2" s="328"/>
      <c r="AK2" s="328"/>
      <c r="AL2" s="328"/>
      <c r="AM2" s="328"/>
    </row>
    <row r="3" spans="1:40" s="123" customFormat="1" ht="25.2" customHeight="1" thickBot="1" x14ac:dyDescent="0.35">
      <c r="A3" s="50"/>
      <c r="B3" s="68"/>
      <c r="C3" s="68"/>
      <c r="D3" s="131"/>
      <c r="E3" s="68"/>
      <c r="F3" s="68"/>
      <c r="G3" s="68"/>
      <c r="H3" s="68"/>
      <c r="I3" s="68"/>
      <c r="J3" s="68"/>
      <c r="K3" s="68"/>
      <c r="L3" s="68"/>
      <c r="M3" s="68"/>
      <c r="N3" s="68"/>
      <c r="O3" s="68"/>
      <c r="P3" s="68"/>
      <c r="Q3" s="68"/>
      <c r="R3" s="68"/>
      <c r="S3" s="68"/>
      <c r="T3" s="68"/>
      <c r="U3" s="68"/>
      <c r="V3" s="68"/>
      <c r="W3" s="288" t="s">
        <v>297</v>
      </c>
      <c r="X3" s="289"/>
      <c r="Y3" s="128" t="s">
        <v>332</v>
      </c>
      <c r="Z3" s="68"/>
      <c r="AA3" s="68"/>
      <c r="AB3" s="68"/>
      <c r="AC3" s="68"/>
      <c r="AD3" s="68"/>
      <c r="AE3" s="68"/>
      <c r="AF3" s="68"/>
      <c r="AG3" s="68"/>
      <c r="AH3" s="68"/>
      <c r="AI3" s="68"/>
      <c r="AJ3" s="68"/>
      <c r="AK3" s="68"/>
      <c r="AL3" s="68"/>
      <c r="AM3" s="68"/>
    </row>
    <row r="4" spans="1:40" ht="18.75" customHeight="1" thickBot="1" x14ac:dyDescent="0.3">
      <c r="A4" s="329" t="s">
        <v>9</v>
      </c>
      <c r="B4" s="330"/>
      <c r="C4" s="331"/>
      <c r="D4" s="332"/>
      <c r="E4" s="333"/>
      <c r="F4" s="334" t="s">
        <v>34</v>
      </c>
      <c r="G4" s="335"/>
      <c r="H4" s="336"/>
      <c r="I4" s="337"/>
      <c r="J4" s="337"/>
      <c r="K4" s="337"/>
      <c r="L4" s="337"/>
      <c r="M4" s="337"/>
      <c r="N4" s="337"/>
      <c r="O4" s="338"/>
      <c r="P4" s="12"/>
      <c r="Q4" s="12"/>
      <c r="R4" s="339" t="s">
        <v>53</v>
      </c>
      <c r="S4" s="340"/>
      <c r="T4" s="129"/>
      <c r="U4" s="339" t="s">
        <v>281</v>
      </c>
      <c r="V4" s="341"/>
      <c r="W4" s="342">
        <f>+T59</f>
        <v>0</v>
      </c>
      <c r="X4" s="343"/>
      <c r="Y4" s="127" t="e">
        <f>+W4/T4</f>
        <v>#DIV/0!</v>
      </c>
      <c r="Z4" s="290" t="s">
        <v>273</v>
      </c>
      <c r="AA4" s="291"/>
      <c r="AB4" s="291"/>
      <c r="AC4" s="291"/>
      <c r="AD4" s="292"/>
      <c r="AE4" s="12"/>
      <c r="AF4" s="12"/>
      <c r="AG4" s="12"/>
      <c r="AH4" s="12"/>
      <c r="AI4" s="12"/>
      <c r="AJ4" s="12"/>
      <c r="AK4" s="12"/>
      <c r="AL4" s="12"/>
      <c r="AM4" s="12"/>
    </row>
    <row r="5" spans="1:40" ht="18" customHeight="1" thickBot="1" x14ac:dyDescent="0.3">
      <c r="A5" s="297" t="s">
        <v>43</v>
      </c>
      <c r="B5" s="298"/>
      <c r="C5" s="299"/>
      <c r="D5" s="300"/>
      <c r="E5" s="301"/>
      <c r="F5" s="302" t="s">
        <v>49</v>
      </c>
      <c r="G5" s="303"/>
      <c r="H5" s="304"/>
      <c r="I5" s="305"/>
      <c r="J5" s="305"/>
      <c r="K5" s="305"/>
      <c r="L5" s="305"/>
      <c r="M5" s="305"/>
      <c r="N5" s="305"/>
      <c r="O5" s="306"/>
      <c r="P5" s="12"/>
      <c r="Q5" s="12"/>
      <c r="R5" s="129" t="s">
        <v>298</v>
      </c>
      <c r="S5" s="130" t="s">
        <v>299</v>
      </c>
      <c r="U5" s="324" t="s">
        <v>300</v>
      </c>
      <c r="V5" s="325"/>
      <c r="W5" s="326">
        <f>+V59</f>
        <v>0</v>
      </c>
      <c r="X5" s="327"/>
      <c r="Y5" s="128" t="e">
        <f>+W5/T4</f>
        <v>#DIV/0!</v>
      </c>
      <c r="Z5" s="290" t="s">
        <v>274</v>
      </c>
      <c r="AA5" s="291"/>
      <c r="AB5" s="291"/>
      <c r="AC5" s="291"/>
      <c r="AD5" s="292"/>
      <c r="AE5" s="12"/>
      <c r="AF5" s="12"/>
      <c r="AG5" s="12"/>
      <c r="AH5" s="12"/>
      <c r="AI5" s="12"/>
      <c r="AJ5" s="12"/>
      <c r="AK5" s="12"/>
      <c r="AL5" s="12"/>
      <c r="AM5" s="12"/>
    </row>
    <row r="6" spans="1:40" ht="18" customHeight="1" thickBot="1" x14ac:dyDescent="0.3">
      <c r="A6" s="297" t="s">
        <v>35</v>
      </c>
      <c r="B6" s="298"/>
      <c r="C6" s="299"/>
      <c r="D6" s="353"/>
      <c r="E6" s="354"/>
      <c r="F6" s="355" t="s">
        <v>50</v>
      </c>
      <c r="G6" s="356"/>
      <c r="H6" s="357"/>
      <c r="I6" s="358"/>
      <c r="J6" s="358"/>
      <c r="K6" s="358"/>
      <c r="L6" s="358"/>
      <c r="M6" s="358"/>
      <c r="N6" s="358"/>
      <c r="O6" s="359"/>
      <c r="P6" s="12"/>
      <c r="Q6" s="12"/>
      <c r="R6" s="129" t="s">
        <v>295</v>
      </c>
      <c r="S6" s="129" t="s">
        <v>296</v>
      </c>
      <c r="T6" s="12"/>
      <c r="U6" s="360" t="s">
        <v>44</v>
      </c>
      <c r="V6" s="361"/>
      <c r="W6" s="362">
        <f>+W4+W5</f>
        <v>0</v>
      </c>
      <c r="X6" s="363"/>
      <c r="Y6" s="128" t="e">
        <f>+W6/T4</f>
        <v>#DIV/0!</v>
      </c>
      <c r="Z6" s="12"/>
      <c r="AA6" s="12"/>
      <c r="AB6" s="12"/>
      <c r="AC6" s="12"/>
      <c r="AD6" s="12"/>
      <c r="AE6" s="12"/>
      <c r="AF6" s="12"/>
      <c r="AG6" s="12"/>
      <c r="AH6" s="12"/>
      <c r="AI6" s="12" t="s">
        <v>45</v>
      </c>
      <c r="AJ6" s="12"/>
      <c r="AK6" s="12"/>
      <c r="AL6" s="12"/>
      <c r="AM6" s="12"/>
    </row>
    <row r="7" spans="1:40" ht="6" customHeight="1" thickBot="1" x14ac:dyDescent="0.3">
      <c r="A7" s="14"/>
      <c r="B7" s="9"/>
      <c r="G7" s="9"/>
      <c r="H7" s="9"/>
    </row>
    <row r="8" spans="1:40" s="124" customFormat="1" ht="15" customHeight="1" thickBot="1" x14ac:dyDescent="0.35">
      <c r="A8" s="11"/>
      <c r="B8" s="307" t="s">
        <v>0</v>
      </c>
      <c r="C8" s="308"/>
      <c r="D8" s="308"/>
      <c r="E8" s="308"/>
      <c r="F8" s="309"/>
      <c r="G8" s="310" t="s">
        <v>36</v>
      </c>
      <c r="H8" s="311"/>
      <c r="I8" s="312"/>
      <c r="J8" s="313" t="s">
        <v>10</v>
      </c>
      <c r="K8" s="314"/>
      <c r="L8" s="314"/>
      <c r="M8" s="314"/>
      <c r="N8" s="314"/>
      <c r="O8" s="315"/>
      <c r="P8" s="344" t="s">
        <v>42</v>
      </c>
      <c r="Q8" s="345"/>
      <c r="R8" s="345"/>
      <c r="S8" s="345"/>
      <c r="T8" s="345"/>
      <c r="U8" s="345"/>
      <c r="V8" s="345"/>
      <c r="W8" s="345"/>
      <c r="X8" s="346"/>
      <c r="Y8" s="347" t="s">
        <v>1</v>
      </c>
      <c r="Z8" s="348"/>
      <c r="AA8" s="348"/>
      <c r="AB8" s="348"/>
      <c r="AC8" s="348"/>
      <c r="AD8" s="349"/>
      <c r="AE8" s="350" t="s">
        <v>21</v>
      </c>
      <c r="AF8" s="351"/>
      <c r="AG8" s="351"/>
      <c r="AH8" s="351"/>
      <c r="AI8" s="351"/>
      <c r="AJ8" s="351"/>
      <c r="AK8" s="351"/>
      <c r="AL8" s="351"/>
      <c r="AM8" s="352"/>
    </row>
    <row r="9" spans="1:40" s="125" customFormat="1" ht="31.5" customHeight="1" x14ac:dyDescent="0.25">
      <c r="A9" s="320" t="s">
        <v>2</v>
      </c>
      <c r="B9" s="322" t="s">
        <v>119</v>
      </c>
      <c r="C9" s="322" t="s">
        <v>117</v>
      </c>
      <c r="D9" s="322" t="s">
        <v>3</v>
      </c>
      <c r="E9" s="364" t="s">
        <v>4</v>
      </c>
      <c r="F9" s="322" t="s">
        <v>118</v>
      </c>
      <c r="G9" s="316" t="s">
        <v>120</v>
      </c>
      <c r="H9" s="316" t="s">
        <v>121</v>
      </c>
      <c r="I9" s="316" t="s">
        <v>122</v>
      </c>
      <c r="J9" s="318" t="s">
        <v>19</v>
      </c>
      <c r="K9" s="318" t="s">
        <v>5</v>
      </c>
      <c r="L9" s="318" t="s">
        <v>23</v>
      </c>
      <c r="M9" s="318" t="s">
        <v>20</v>
      </c>
      <c r="N9" s="366" t="s">
        <v>6</v>
      </c>
      <c r="O9" s="366"/>
      <c r="P9" s="318" t="s">
        <v>7</v>
      </c>
      <c r="Q9" s="366" t="s">
        <v>39</v>
      </c>
      <c r="R9" s="366" t="s">
        <v>282</v>
      </c>
      <c r="S9" s="366" t="s">
        <v>40</v>
      </c>
      <c r="T9" s="366" t="s">
        <v>330</v>
      </c>
      <c r="U9" s="366" t="s">
        <v>331</v>
      </c>
      <c r="V9" s="366" t="s">
        <v>41</v>
      </c>
      <c r="W9" s="366" t="s">
        <v>8</v>
      </c>
      <c r="X9" s="366" t="s">
        <v>37</v>
      </c>
      <c r="Y9" s="318" t="s">
        <v>24</v>
      </c>
      <c r="Z9" s="318" t="s">
        <v>25</v>
      </c>
      <c r="AA9" s="318" t="s">
        <v>23</v>
      </c>
      <c r="AB9" s="318" t="s">
        <v>26</v>
      </c>
      <c r="AC9" s="318" t="s">
        <v>47</v>
      </c>
      <c r="AD9" s="370" t="s">
        <v>11</v>
      </c>
      <c r="AE9" s="372" t="s">
        <v>27</v>
      </c>
      <c r="AF9" s="373"/>
      <c r="AG9" s="373"/>
      <c r="AH9" s="368" t="s">
        <v>15</v>
      </c>
      <c r="AI9" s="368" t="s">
        <v>22</v>
      </c>
      <c r="AJ9" s="368" t="s">
        <v>16</v>
      </c>
      <c r="AK9" s="368" t="s">
        <v>17</v>
      </c>
      <c r="AL9" s="368" t="s">
        <v>18</v>
      </c>
      <c r="AM9" s="369" t="s">
        <v>46</v>
      </c>
    </row>
    <row r="10" spans="1:40" s="125" customFormat="1" ht="61.2" customHeight="1" thickBot="1" x14ac:dyDescent="0.3">
      <c r="A10" s="321"/>
      <c r="B10" s="323"/>
      <c r="C10" s="323"/>
      <c r="D10" s="323"/>
      <c r="E10" s="365"/>
      <c r="F10" s="323"/>
      <c r="G10" s="317"/>
      <c r="H10" s="317"/>
      <c r="I10" s="317"/>
      <c r="J10" s="319"/>
      <c r="K10" s="319"/>
      <c r="L10" s="319"/>
      <c r="M10" s="319"/>
      <c r="N10" s="51" t="s">
        <v>48</v>
      </c>
      <c r="O10" s="51" t="s">
        <v>11</v>
      </c>
      <c r="P10" s="319"/>
      <c r="Q10" s="367"/>
      <c r="R10" s="367"/>
      <c r="S10" s="367"/>
      <c r="T10" s="367"/>
      <c r="U10" s="367"/>
      <c r="V10" s="367"/>
      <c r="W10" s="367"/>
      <c r="X10" s="367"/>
      <c r="Y10" s="319"/>
      <c r="Z10" s="319"/>
      <c r="AA10" s="319"/>
      <c r="AB10" s="319"/>
      <c r="AC10" s="319"/>
      <c r="AD10" s="371"/>
      <c r="AE10" s="66" t="s">
        <v>13</v>
      </c>
      <c r="AF10" s="67" t="s">
        <v>12</v>
      </c>
      <c r="AG10" s="67" t="s">
        <v>14</v>
      </c>
      <c r="AH10" s="368"/>
      <c r="AI10" s="368"/>
      <c r="AJ10" s="368"/>
      <c r="AK10" s="368"/>
      <c r="AL10" s="368"/>
      <c r="AM10" s="369"/>
      <c r="AN10" s="126"/>
    </row>
    <row r="11" spans="1:40" ht="43.8" customHeight="1" thickBot="1" x14ac:dyDescent="0.3">
      <c r="A11" s="270" t="s">
        <v>275</v>
      </c>
      <c r="B11" s="272"/>
      <c r="C11" s="272"/>
      <c r="D11" s="275" t="s">
        <v>267</v>
      </c>
      <c r="E11" s="277" t="s">
        <v>270</v>
      </c>
      <c r="F11" s="277" t="s">
        <v>278</v>
      </c>
      <c r="G11" s="272"/>
      <c r="H11" s="272"/>
      <c r="I11" s="279"/>
      <c r="J11" s="266"/>
      <c r="K11" s="295">
        <f>_xlfn.XLOOKUP(J11,'Listas Desplegables (LD)'!$J$8:$J$12,'Listas Desplegables (LD)'!$K$8:$K$12, 0,1)</f>
        <v>0</v>
      </c>
      <c r="L11" s="268"/>
      <c r="M11" s="255">
        <f>+K11*L11</f>
        <v>0</v>
      </c>
      <c r="N11" s="257" t="str">
        <f>+IF(M11&gt;=20,"IV",IF(OR(AND(M11&gt;=9,M11&lt;=16),AND(L11=5,K11=1)),"III",IF(OR(AND(M11&lt;=9,M11&gt;=6),AND(K11=1,L11=4),AND(K11=4,L11=1),AND(K11=1,L11=3)),"II",IF(OR(M11=2,M11=1,AND(L11=1,K11=3),AND(L11=2,K11=2)),"I"," "))))</f>
        <v xml:space="preserve"> </v>
      </c>
      <c r="O11" s="70">
        <v>2</v>
      </c>
      <c r="P11" s="71"/>
      <c r="Q11" s="72"/>
      <c r="R11" s="69"/>
      <c r="S11" s="266">
        <f>+J11</f>
        <v>0</v>
      </c>
      <c r="T11" s="73"/>
      <c r="U11" s="73"/>
      <c r="V11" s="73"/>
      <c r="W11" s="72"/>
      <c r="X11" s="132"/>
      <c r="Y11" s="266"/>
      <c r="Z11" s="268">
        <f>_xlfn.XLOOKUP(Y11,'Listas Desplegables (LD)'!$J$8:$J$12,'Listas Desplegables (LD)'!$K$8:$K$12, 0,1)</f>
        <v>0</v>
      </c>
      <c r="AA11" s="268"/>
      <c r="AB11" s="255">
        <f>Z11*AA11</f>
        <v>0</v>
      </c>
      <c r="AC11" s="257" t="str">
        <f>+IF(AB11&gt;=20,"IV",IF(OR(AND(AB11&gt;=9,AB11&lt;=16),AND(AA11=5,Z11=1)),"III",IF(OR(AND(AB11&lt;=9,AB11&gt;=6),AND(Z11=1,AA11=4),AND(Z11=4,AA11=1),AND(Z11=1,AA11=3)),"II",IF(OR(AB11=2,AB11=1,AND(AA11=1,Z11=3),AND(AA11=2,Z11=2)),"I"," "))))</f>
        <v xml:space="preserve"> </v>
      </c>
      <c r="AD11" s="74"/>
      <c r="AE11" s="75"/>
      <c r="AF11" s="70"/>
      <c r="AG11" s="70"/>
      <c r="AH11" s="76"/>
      <c r="AI11" s="70"/>
      <c r="AJ11" s="77"/>
      <c r="AK11" s="77"/>
      <c r="AL11" s="78"/>
      <c r="AM11" s="79"/>
    </row>
    <row r="12" spans="1:40" ht="43.8" customHeight="1" thickBot="1" x14ac:dyDescent="0.3">
      <c r="A12" s="271"/>
      <c r="B12" s="273"/>
      <c r="C12" s="273"/>
      <c r="D12" s="276"/>
      <c r="E12" s="278"/>
      <c r="F12" s="278"/>
      <c r="G12" s="273"/>
      <c r="H12" s="273"/>
      <c r="I12" s="280"/>
      <c r="J12" s="267"/>
      <c r="K12" s="296"/>
      <c r="L12" s="269"/>
      <c r="M12" s="256"/>
      <c r="N12" s="258"/>
      <c r="O12" s="81">
        <v>2</v>
      </c>
      <c r="P12" s="82"/>
      <c r="Q12" s="83"/>
      <c r="R12" s="80"/>
      <c r="S12" s="267"/>
      <c r="T12" s="84"/>
      <c r="U12" s="84"/>
      <c r="V12" s="84"/>
      <c r="W12" s="83"/>
      <c r="X12" s="133"/>
      <c r="Y12" s="267"/>
      <c r="Z12" s="269"/>
      <c r="AA12" s="269"/>
      <c r="AB12" s="256"/>
      <c r="AC12" s="258"/>
      <c r="AD12" s="85"/>
      <c r="AE12" s="75"/>
      <c r="AF12" s="70"/>
      <c r="AG12" s="70"/>
      <c r="AH12" s="76"/>
      <c r="AI12" s="70"/>
      <c r="AJ12" s="77"/>
      <c r="AK12" s="77"/>
      <c r="AL12" s="78"/>
      <c r="AM12" s="79"/>
    </row>
    <row r="13" spans="1:40" ht="45" customHeight="1" thickBot="1" x14ac:dyDescent="0.3">
      <c r="A13" s="259" t="s">
        <v>276</v>
      </c>
      <c r="B13" s="273"/>
      <c r="C13" s="273"/>
      <c r="D13" s="260" t="s">
        <v>268</v>
      </c>
      <c r="E13" s="261" t="s">
        <v>271</v>
      </c>
      <c r="F13" s="261" t="s">
        <v>279</v>
      </c>
      <c r="G13" s="273"/>
      <c r="H13" s="273"/>
      <c r="I13" s="280"/>
      <c r="J13" s="262"/>
      <c r="K13" s="263">
        <f>_xlfn.XLOOKUP(J13,'Listas Desplegables (LD)'!$J$8:$J$12,'Listas Desplegables (LD)'!$K$8:$K$12, 0,1)</f>
        <v>0</v>
      </c>
      <c r="L13" s="263"/>
      <c r="M13" s="264">
        <f>+K13*L13</f>
        <v>0</v>
      </c>
      <c r="N13" s="265" t="str">
        <f>+IF(M13&gt;=20,"IV",IF(OR(AND(M13&gt;=9,M13&lt;=16),AND(L13=5,K13=1)),"III",IF(OR(AND(M13&lt;=9,M13&gt;=6),AND(K13=1,L13=4),AND(K13=4,L13=1),AND(K13=1,L13=3)),"II",IF(OR(M13=2,M13=1,AND(L13=1,K13=3),AND(L13=2,K13=2)),"I"," "))))</f>
        <v xml:space="preserve"> </v>
      </c>
      <c r="O13" s="87">
        <v>1</v>
      </c>
      <c r="P13" s="88"/>
      <c r="Q13" s="89"/>
      <c r="R13" s="86"/>
      <c r="S13" s="262">
        <f>+J13</f>
        <v>0</v>
      </c>
      <c r="T13" s="90"/>
      <c r="U13" s="90"/>
      <c r="V13" s="90"/>
      <c r="W13" s="89"/>
      <c r="X13" s="134"/>
      <c r="Y13" s="262"/>
      <c r="Z13" s="263">
        <f>_xlfn.XLOOKUP(Y13,'Listas Desplegables (LD)'!$J$8:$J$12,'Listas Desplegables (LD)'!$K$8:$K$12, 0,1)</f>
        <v>0</v>
      </c>
      <c r="AA13" s="263"/>
      <c r="AB13" s="264">
        <f>Z13*AA13</f>
        <v>0</v>
      </c>
      <c r="AC13" s="265" t="str">
        <f>+IF(AB13&gt;=20,"IV",IF(OR(AND(AB13&gt;=9,AB13&lt;=16),AND(AA13=5,Z13=1)),"III",IF(OR(AND(AB13&lt;=9,AB13&gt;=6),AND(Z13=1,AA13=4),AND(Z13=4,AA13=1),AND(Z13=1,AA13=3)),"II",IF(OR(AB13=2,AB13=1,AND(AA13=1,Z13=3),AND(AA13=2,Z13=2)),"I"," "))))</f>
        <v xml:space="preserve"> </v>
      </c>
      <c r="AD13" s="91"/>
      <c r="AE13" s="92"/>
      <c r="AF13" s="93"/>
      <c r="AG13" s="93"/>
      <c r="AH13" s="94"/>
      <c r="AI13" s="93"/>
      <c r="AJ13" s="95"/>
      <c r="AK13" s="95"/>
      <c r="AL13" s="96"/>
      <c r="AM13" s="97"/>
    </row>
    <row r="14" spans="1:40" ht="45" customHeight="1" thickBot="1" x14ac:dyDescent="0.3">
      <c r="A14" s="259"/>
      <c r="B14" s="273"/>
      <c r="C14" s="273"/>
      <c r="D14" s="260"/>
      <c r="E14" s="261"/>
      <c r="F14" s="261"/>
      <c r="G14" s="273"/>
      <c r="H14" s="273"/>
      <c r="I14" s="280"/>
      <c r="J14" s="262"/>
      <c r="K14" s="263"/>
      <c r="L14" s="263"/>
      <c r="M14" s="264"/>
      <c r="N14" s="265"/>
      <c r="O14" s="87">
        <v>3</v>
      </c>
      <c r="P14" s="88"/>
      <c r="Q14" s="89"/>
      <c r="R14" s="86"/>
      <c r="S14" s="262"/>
      <c r="T14" s="90"/>
      <c r="U14" s="90"/>
      <c r="V14" s="90"/>
      <c r="W14" s="89"/>
      <c r="X14" s="89"/>
      <c r="Y14" s="262"/>
      <c r="Z14" s="263"/>
      <c r="AA14" s="263"/>
      <c r="AB14" s="264"/>
      <c r="AC14" s="265"/>
      <c r="AD14" s="91"/>
      <c r="AE14" s="92"/>
      <c r="AF14" s="93"/>
      <c r="AG14" s="93"/>
      <c r="AH14" s="94"/>
      <c r="AI14" s="93"/>
      <c r="AJ14" s="95"/>
      <c r="AK14" s="95"/>
      <c r="AL14" s="96"/>
      <c r="AM14" s="97"/>
    </row>
    <row r="15" spans="1:40" ht="43.2" customHeight="1" thickBot="1" x14ac:dyDescent="0.3">
      <c r="A15" s="282" t="s">
        <v>277</v>
      </c>
      <c r="B15" s="273"/>
      <c r="C15" s="273"/>
      <c r="D15" s="284" t="s">
        <v>269</v>
      </c>
      <c r="E15" s="286" t="s">
        <v>272</v>
      </c>
      <c r="F15" s="286" t="s">
        <v>280</v>
      </c>
      <c r="G15" s="273"/>
      <c r="H15" s="273"/>
      <c r="I15" s="280"/>
      <c r="J15" s="251"/>
      <c r="K15" s="253">
        <f>_xlfn.XLOOKUP(J15,'Listas Desplegables (LD)'!$J$8:$J$12,'Listas Desplegables (LD)'!$K$8:$K$12, 0,1)</f>
        <v>0</v>
      </c>
      <c r="L15" s="253"/>
      <c r="M15" s="247">
        <f>+K15*L15</f>
        <v>0</v>
      </c>
      <c r="N15" s="249" t="str">
        <f>+IF(M15&gt;=20,"IV",IF(OR(AND(M15&gt;=9,M15&lt;=16),AND(L15=5,K15=1)),"III",IF(OR(AND(M15&lt;=9,M15&gt;=6),AND(K15=1,L15=4),AND(K15=4,L15=1),AND(K15=1,L15=3)),"II",IF(OR(M15=2,M15=1,AND(L15=1,K15=3),AND(L15=2,K15=2)),"I"," "))))</f>
        <v xml:space="preserve"> </v>
      </c>
      <c r="O15" s="99">
        <v>2</v>
      </c>
      <c r="P15" s="100"/>
      <c r="Q15" s="101"/>
      <c r="R15" s="98"/>
      <c r="S15" s="251">
        <f>+J15</f>
        <v>0</v>
      </c>
      <c r="T15" s="102"/>
      <c r="U15" s="102"/>
      <c r="V15" s="102"/>
      <c r="W15" s="101"/>
      <c r="X15" s="101"/>
      <c r="Y15" s="251"/>
      <c r="Z15" s="253">
        <f>_xlfn.XLOOKUP(Y15,'Listas Desplegables (LD)'!$J$8:$J$12,'Listas Desplegables (LD)'!$K$8:$K$12, 0,1)</f>
        <v>0</v>
      </c>
      <c r="AA15" s="253"/>
      <c r="AB15" s="247">
        <f>Z15*AA15</f>
        <v>0</v>
      </c>
      <c r="AC15" s="249" t="str">
        <f>+IF(AB15&gt;=20,"IV",IF(OR(AND(AB15&gt;=9,AB15&lt;=16),AND(AA15=5,Z15=1)),"III",IF(OR(AND(AB15&lt;=9,AB15&gt;=6),AND(Z15=1,AA15=4),AND(Z15=4,AA15=1),AND(Z15=1,AA15=3)),"II",IF(OR(AB15=2,AB15=1,AND(AA15=1,Z15=3),AND(AA15=2,Z15=2)),"I"," "))))</f>
        <v xml:space="preserve"> </v>
      </c>
      <c r="AD15" s="103"/>
      <c r="AE15" s="104"/>
      <c r="AF15" s="105"/>
      <c r="AG15" s="105"/>
      <c r="AH15" s="106"/>
      <c r="AI15" s="105"/>
      <c r="AJ15" s="107"/>
      <c r="AK15" s="107"/>
      <c r="AL15" s="108"/>
      <c r="AM15" s="109"/>
    </row>
    <row r="16" spans="1:40" ht="43.2" customHeight="1" thickBot="1" x14ac:dyDescent="0.3">
      <c r="A16" s="283"/>
      <c r="B16" s="274"/>
      <c r="C16" s="274"/>
      <c r="D16" s="285"/>
      <c r="E16" s="287"/>
      <c r="F16" s="287"/>
      <c r="G16" s="274"/>
      <c r="H16" s="274"/>
      <c r="I16" s="281"/>
      <c r="J16" s="252"/>
      <c r="K16" s="254"/>
      <c r="L16" s="254"/>
      <c r="M16" s="248"/>
      <c r="N16" s="250"/>
      <c r="O16" s="111">
        <v>3</v>
      </c>
      <c r="P16" s="112"/>
      <c r="Q16" s="113"/>
      <c r="R16" s="110"/>
      <c r="S16" s="252"/>
      <c r="T16" s="114"/>
      <c r="U16" s="114"/>
      <c r="V16" s="114"/>
      <c r="W16" s="113"/>
      <c r="X16" s="113"/>
      <c r="Y16" s="252"/>
      <c r="Z16" s="254"/>
      <c r="AA16" s="254"/>
      <c r="AB16" s="248"/>
      <c r="AC16" s="250"/>
      <c r="AD16" s="115"/>
      <c r="AE16" s="116"/>
      <c r="AF16" s="117"/>
      <c r="AG16" s="117"/>
      <c r="AH16" s="118"/>
      <c r="AI16" s="117"/>
      <c r="AJ16" s="119"/>
      <c r="AK16" s="119"/>
      <c r="AL16" s="120"/>
      <c r="AM16" s="121"/>
    </row>
    <row r="17" spans="1:39" ht="43.8" customHeight="1" thickBot="1" x14ac:dyDescent="0.3">
      <c r="A17" s="270" t="s">
        <v>283</v>
      </c>
      <c r="B17" s="272"/>
      <c r="C17" s="272"/>
      <c r="D17" s="275" t="s">
        <v>267</v>
      </c>
      <c r="E17" s="277" t="s">
        <v>270</v>
      </c>
      <c r="F17" s="277" t="s">
        <v>278</v>
      </c>
      <c r="G17" s="272"/>
      <c r="H17" s="272"/>
      <c r="I17" s="279"/>
      <c r="J17" s="266"/>
      <c r="K17" s="268">
        <f>_xlfn.XLOOKUP(J17,'Listas Desplegables (LD)'!$J$8:$J$12,'Listas Desplegables (LD)'!$K$8:$K$12, 0,1)</f>
        <v>0</v>
      </c>
      <c r="L17" s="268"/>
      <c r="M17" s="255">
        <f>+K17*L17</f>
        <v>0</v>
      </c>
      <c r="N17" s="257" t="str">
        <f>+IF(M17&gt;=20,"IV",IF(OR(AND(M17&gt;=9,M17&lt;=16),AND(L17=5,K17=1)),"III",IF(OR(AND(M17&lt;=9,M17&gt;=6),AND(K17=1,L17=4),AND(K17=4,L17=1),AND(K17=1,L17=3)),"II",IF(OR(M17=2,M17=1,AND(L17=1,K17=3),AND(L17=2,K17=2)),"I"," "))))</f>
        <v xml:space="preserve"> </v>
      </c>
      <c r="O17" s="70"/>
      <c r="P17" s="71"/>
      <c r="Q17" s="72"/>
      <c r="R17" s="69"/>
      <c r="S17" s="266">
        <f>+J17</f>
        <v>0</v>
      </c>
      <c r="T17" s="73"/>
      <c r="U17" s="73"/>
      <c r="V17" s="73"/>
      <c r="W17" s="72"/>
      <c r="X17" s="72"/>
      <c r="Y17" s="266"/>
      <c r="Z17" s="268">
        <f>_xlfn.XLOOKUP(Y17,'Listas Desplegables (LD)'!$J$8:$J$12,'Listas Desplegables (LD)'!$K$8:$K$12, 0,1)</f>
        <v>0</v>
      </c>
      <c r="AA17" s="268"/>
      <c r="AB17" s="255">
        <f>Z17*AA17</f>
        <v>0</v>
      </c>
      <c r="AC17" s="257" t="str">
        <f>+IF(AB17&gt;=20,"IV",IF(OR(AND(AB17&gt;=9,AB17&lt;=16),AND(AA17=5,Z17=1)),"III",IF(OR(AND(AB17&lt;=9,AB17&gt;=6),AND(Z17=1,AA17=4),AND(Z17=4,AA17=1),AND(Z17=1,AA17=3)),"II",IF(OR(AB17=2,AB17=1,AND(AA17=1,Z17=3),AND(AA17=2,Z17=2)),"I"," "))))</f>
        <v xml:space="preserve"> </v>
      </c>
      <c r="AD17" s="74"/>
      <c r="AE17" s="75"/>
      <c r="AF17" s="70"/>
      <c r="AG17" s="70"/>
      <c r="AH17" s="76"/>
      <c r="AI17" s="70"/>
      <c r="AJ17" s="77"/>
      <c r="AK17" s="77"/>
      <c r="AL17" s="78"/>
      <c r="AM17" s="79"/>
    </row>
    <row r="18" spans="1:39" ht="43.8" customHeight="1" thickBot="1" x14ac:dyDescent="0.3">
      <c r="A18" s="271"/>
      <c r="B18" s="273"/>
      <c r="C18" s="273"/>
      <c r="D18" s="276"/>
      <c r="E18" s="278"/>
      <c r="F18" s="278"/>
      <c r="G18" s="273"/>
      <c r="H18" s="273"/>
      <c r="I18" s="280"/>
      <c r="J18" s="267"/>
      <c r="K18" s="269"/>
      <c r="L18" s="269"/>
      <c r="M18" s="256"/>
      <c r="N18" s="258"/>
      <c r="O18" s="81"/>
      <c r="P18" s="82"/>
      <c r="Q18" s="83"/>
      <c r="R18" s="80"/>
      <c r="S18" s="267"/>
      <c r="T18" s="84"/>
      <c r="U18" s="84"/>
      <c r="V18" s="84"/>
      <c r="W18" s="83"/>
      <c r="X18" s="83"/>
      <c r="Y18" s="267"/>
      <c r="Z18" s="269"/>
      <c r="AA18" s="269"/>
      <c r="AB18" s="256"/>
      <c r="AC18" s="258"/>
      <c r="AD18" s="85"/>
      <c r="AE18" s="75"/>
      <c r="AF18" s="70"/>
      <c r="AG18" s="70"/>
      <c r="AH18" s="76"/>
      <c r="AI18" s="70"/>
      <c r="AJ18" s="77"/>
      <c r="AK18" s="77"/>
      <c r="AL18" s="78"/>
      <c r="AM18" s="79"/>
    </row>
    <row r="19" spans="1:39" ht="45" customHeight="1" thickBot="1" x14ac:dyDescent="0.3">
      <c r="A19" s="259" t="s">
        <v>284</v>
      </c>
      <c r="B19" s="273"/>
      <c r="C19" s="273"/>
      <c r="D19" s="260" t="s">
        <v>268</v>
      </c>
      <c r="E19" s="261" t="s">
        <v>271</v>
      </c>
      <c r="F19" s="261" t="s">
        <v>279</v>
      </c>
      <c r="G19" s="273"/>
      <c r="H19" s="273"/>
      <c r="I19" s="280"/>
      <c r="J19" s="262"/>
      <c r="K19" s="263">
        <f>_xlfn.XLOOKUP(J19,'Listas Desplegables (LD)'!$J$8:$J$12,'Listas Desplegables (LD)'!$K$8:$K$12, 0,1)</f>
        <v>0</v>
      </c>
      <c r="L19" s="263"/>
      <c r="M19" s="264">
        <f>+K19*L19</f>
        <v>0</v>
      </c>
      <c r="N19" s="265" t="str">
        <f>+IF(M19&gt;=20,"IV",IF(OR(AND(M19&gt;=9,M19&lt;=16),AND(L19=5,K19=1)),"III",IF(OR(AND(M19&lt;=9,M19&gt;=6),AND(K19=1,L19=4),AND(K19=4,L19=1),AND(K19=1,L19=3)),"II",IF(OR(M19=2,M19=1,AND(L19=1,K19=3),AND(L19=2,K19=2)),"I"," "))))</f>
        <v xml:space="preserve"> </v>
      </c>
      <c r="O19" s="87">
        <v>2</v>
      </c>
      <c r="P19" s="88"/>
      <c r="Q19" s="89"/>
      <c r="R19" s="86"/>
      <c r="S19" s="262">
        <f>+J19</f>
        <v>0</v>
      </c>
      <c r="T19" s="90"/>
      <c r="U19" s="90"/>
      <c r="V19" s="90"/>
      <c r="W19" s="89"/>
      <c r="X19" s="134"/>
      <c r="Y19" s="262"/>
      <c r="Z19" s="263">
        <f>_xlfn.XLOOKUP(Y19,'Listas Desplegables (LD)'!$J$8:$J$12,'Listas Desplegables (LD)'!$K$8:$K$12, 0,1)</f>
        <v>0</v>
      </c>
      <c r="AA19" s="263"/>
      <c r="AB19" s="264">
        <f>Z19*AA19</f>
        <v>0</v>
      </c>
      <c r="AC19" s="265" t="str">
        <f>+IF(AB19&gt;=20,"IV",IF(OR(AND(AB19&gt;=9,AB19&lt;=16),AND(AA19=5,Z19=1)),"III",IF(OR(AND(AB19&lt;=9,AB19&gt;=6),AND(Z19=1,AA19=4),AND(Z19=4,AA19=1),AND(Z19=1,AA19=3)),"II",IF(OR(AB19=2,AB19=1,AND(AA19=1,Z19=3),AND(AA19=2,Z19=2)),"I"," "))))</f>
        <v xml:space="preserve"> </v>
      </c>
      <c r="AD19" s="91"/>
      <c r="AE19" s="92"/>
      <c r="AF19" s="93"/>
      <c r="AG19" s="93"/>
      <c r="AH19" s="94"/>
      <c r="AI19" s="93"/>
      <c r="AJ19" s="95"/>
      <c r="AK19" s="95"/>
      <c r="AL19" s="96"/>
      <c r="AM19" s="97"/>
    </row>
    <row r="20" spans="1:39" ht="45" customHeight="1" thickBot="1" x14ac:dyDescent="0.3">
      <c r="A20" s="259"/>
      <c r="B20" s="273"/>
      <c r="C20" s="273"/>
      <c r="D20" s="260"/>
      <c r="E20" s="261"/>
      <c r="F20" s="261"/>
      <c r="G20" s="273"/>
      <c r="H20" s="273"/>
      <c r="I20" s="280"/>
      <c r="J20" s="262"/>
      <c r="K20" s="263"/>
      <c r="L20" s="263"/>
      <c r="M20" s="264"/>
      <c r="N20" s="265"/>
      <c r="O20" s="87">
        <v>2</v>
      </c>
      <c r="P20" s="88"/>
      <c r="Q20" s="89"/>
      <c r="R20" s="86"/>
      <c r="S20" s="262"/>
      <c r="T20" s="90"/>
      <c r="U20" s="90"/>
      <c r="V20" s="90"/>
      <c r="W20" s="89"/>
      <c r="X20" s="134"/>
      <c r="Y20" s="262"/>
      <c r="Z20" s="263"/>
      <c r="AA20" s="263"/>
      <c r="AB20" s="264"/>
      <c r="AC20" s="265"/>
      <c r="AD20" s="91"/>
      <c r="AE20" s="92"/>
      <c r="AF20" s="93"/>
      <c r="AG20" s="93"/>
      <c r="AH20" s="94"/>
      <c r="AI20" s="93"/>
      <c r="AJ20" s="95"/>
      <c r="AK20" s="95"/>
      <c r="AL20" s="96"/>
      <c r="AM20" s="97"/>
    </row>
    <row r="21" spans="1:39" ht="43.2" customHeight="1" thickBot="1" x14ac:dyDescent="0.3">
      <c r="A21" s="282" t="s">
        <v>285</v>
      </c>
      <c r="B21" s="273"/>
      <c r="C21" s="273"/>
      <c r="D21" s="284" t="s">
        <v>269</v>
      </c>
      <c r="E21" s="286" t="s">
        <v>272</v>
      </c>
      <c r="F21" s="286" t="s">
        <v>280</v>
      </c>
      <c r="G21" s="273"/>
      <c r="H21" s="273"/>
      <c r="I21" s="280"/>
      <c r="J21" s="251"/>
      <c r="K21" s="253">
        <f>_xlfn.XLOOKUP(J21,'Listas Desplegables (LD)'!$J$8:$J$12,'Listas Desplegables (LD)'!$K$8:$K$12, 0,1)</f>
        <v>0</v>
      </c>
      <c r="L21" s="253"/>
      <c r="M21" s="247">
        <f>+K21*L21</f>
        <v>0</v>
      </c>
      <c r="N21" s="249" t="str">
        <f>+IF(M21&gt;=20,"IV",IF(OR(AND(M21&gt;=9,M21&lt;=16),AND(L21=5,K21=1)),"III",IF(OR(AND(M21&lt;=9,M21&gt;=6),AND(K21=1,L21=4),AND(K21=4,L21=1),AND(K21=1,L21=3)),"II",IF(OR(M21=2,M21=1,AND(L21=1,K21=3),AND(L21=2,K21=2)),"I"," "))))</f>
        <v xml:space="preserve"> </v>
      </c>
      <c r="O21" s="99">
        <v>3</v>
      </c>
      <c r="P21" s="100"/>
      <c r="Q21" s="101"/>
      <c r="R21" s="98"/>
      <c r="S21" s="251">
        <f>+J21</f>
        <v>0</v>
      </c>
      <c r="T21" s="102"/>
      <c r="U21" s="102"/>
      <c r="V21" s="102"/>
      <c r="W21" s="101"/>
      <c r="X21" s="135"/>
      <c r="Y21" s="251"/>
      <c r="Z21" s="253">
        <f>_xlfn.XLOOKUP(Y21,'Listas Desplegables (LD)'!$J$8:$J$12,'Listas Desplegables (LD)'!$K$8:$K$12, 0,1)</f>
        <v>0</v>
      </c>
      <c r="AA21" s="253"/>
      <c r="AB21" s="247">
        <f>Z21*AA21</f>
        <v>0</v>
      </c>
      <c r="AC21" s="249" t="str">
        <f>+IF(AB21&gt;=20,"IV",IF(OR(AND(AB21&gt;=9,AB21&lt;=16),AND(AA21=5,Z21=1)),"III",IF(OR(AND(AB21&lt;=9,AB21&gt;=6),AND(Z21=1,AA21=4),AND(Z21=4,AA21=1),AND(Z21=1,AA21=3)),"II",IF(OR(AB21=2,AB21=1,AND(AA21=1,Z21=3),AND(AA21=2,Z21=2)),"I"," "))))</f>
        <v xml:space="preserve"> </v>
      </c>
      <c r="AD21" s="103"/>
      <c r="AE21" s="104"/>
      <c r="AF21" s="105"/>
      <c r="AG21" s="105"/>
      <c r="AH21" s="106"/>
      <c r="AI21" s="105"/>
      <c r="AJ21" s="107"/>
      <c r="AK21" s="107"/>
      <c r="AL21" s="108"/>
      <c r="AM21" s="109"/>
    </row>
    <row r="22" spans="1:39" ht="43.2" customHeight="1" thickBot="1" x14ac:dyDescent="0.3">
      <c r="A22" s="283"/>
      <c r="B22" s="274"/>
      <c r="C22" s="274"/>
      <c r="D22" s="285"/>
      <c r="E22" s="287"/>
      <c r="F22" s="287"/>
      <c r="G22" s="274"/>
      <c r="H22" s="274"/>
      <c r="I22" s="281"/>
      <c r="J22" s="252"/>
      <c r="K22" s="254"/>
      <c r="L22" s="254"/>
      <c r="M22" s="248"/>
      <c r="N22" s="250"/>
      <c r="O22" s="111">
        <v>2</v>
      </c>
      <c r="P22" s="112"/>
      <c r="Q22" s="113"/>
      <c r="R22" s="110"/>
      <c r="S22" s="252"/>
      <c r="T22" s="114"/>
      <c r="U22" s="114"/>
      <c r="V22" s="114"/>
      <c r="W22" s="113"/>
      <c r="X22" s="113"/>
      <c r="Y22" s="252"/>
      <c r="Z22" s="254"/>
      <c r="AA22" s="254"/>
      <c r="AB22" s="248"/>
      <c r="AC22" s="250"/>
      <c r="AD22" s="115"/>
      <c r="AE22" s="116"/>
      <c r="AF22" s="117"/>
      <c r="AG22" s="117"/>
      <c r="AH22" s="118"/>
      <c r="AI22" s="117"/>
      <c r="AJ22" s="119"/>
      <c r="AK22" s="119"/>
      <c r="AL22" s="120"/>
      <c r="AM22" s="121"/>
    </row>
    <row r="23" spans="1:39" ht="61.2" customHeight="1" thickBot="1" x14ac:dyDescent="0.3">
      <c r="A23" s="270" t="s">
        <v>286</v>
      </c>
      <c r="B23" s="272"/>
      <c r="C23" s="272"/>
      <c r="D23" s="275" t="s">
        <v>267</v>
      </c>
      <c r="E23" s="277" t="s">
        <v>270</v>
      </c>
      <c r="F23" s="277" t="s">
        <v>278</v>
      </c>
      <c r="G23" s="272"/>
      <c r="H23" s="272"/>
      <c r="I23" s="279"/>
      <c r="J23" s="266"/>
      <c r="K23" s="268">
        <f>_xlfn.XLOOKUP(J23,'Listas Desplegables (LD)'!$J$8:$J$12,'Listas Desplegables (LD)'!$K$8:$K$12, 0,1)</f>
        <v>0</v>
      </c>
      <c r="L23" s="268"/>
      <c r="M23" s="255">
        <f>+K23*L23</f>
        <v>0</v>
      </c>
      <c r="N23" s="293" t="str">
        <f>+IF(M23&gt;=20,"IV",IF(OR(AND(M23&gt;=9,M23&lt;=16),AND(L23=5,K23=1)),"III",IF(OR(AND(M23&lt;=9,M23&gt;=6),AND(K23=1,L23=4),AND(K23=4,L23=1),AND(K23=1,L23=3)),"II",IF(OR(M23=2,M23=1,AND(L23=1,K23=3),AND(L23=2,K23=2)),"I"," "))))</f>
        <v xml:space="preserve"> </v>
      </c>
      <c r="O23" s="70">
        <v>1</v>
      </c>
      <c r="P23" s="71"/>
      <c r="Q23" s="72"/>
      <c r="R23" s="69"/>
      <c r="S23" s="266">
        <f>+J23</f>
        <v>0</v>
      </c>
      <c r="T23" s="73"/>
      <c r="U23" s="73"/>
      <c r="V23" s="73"/>
      <c r="W23" s="72"/>
      <c r="X23" s="72"/>
      <c r="Y23" s="266"/>
      <c r="Z23" s="268">
        <f>_xlfn.XLOOKUP(Y23,'Listas Desplegables (LD)'!$J$8:$J$12,'Listas Desplegables (LD)'!$K$8:$K$12, 0,1)</f>
        <v>0</v>
      </c>
      <c r="AA23" s="268"/>
      <c r="AB23" s="255">
        <f>Z23*AA23</f>
        <v>0</v>
      </c>
      <c r="AC23" s="257" t="str">
        <f>+IF(AB23&gt;=20,"IV",IF(OR(AND(AB23&gt;=9,AB23&lt;=16),AND(AA23=5,Z23=1)),"III",IF(OR(AND(AB23&lt;=9,AB23&gt;=6),AND(Z23=1,AA23=4),AND(Z23=4,AA23=1),AND(Z23=1,AA23=3)),"II",IF(OR(AB23=2,AB23=1,AND(AA23=1,Z23=3),AND(AA23=2,Z23=2)),"I"," "))))</f>
        <v xml:space="preserve"> </v>
      </c>
      <c r="AD23" s="74"/>
      <c r="AE23" s="75"/>
      <c r="AF23" s="70"/>
      <c r="AG23" s="70"/>
      <c r="AH23" s="76"/>
      <c r="AI23" s="70"/>
      <c r="AJ23" s="77"/>
      <c r="AK23" s="77"/>
      <c r="AL23" s="78"/>
      <c r="AM23" s="79"/>
    </row>
    <row r="24" spans="1:39" ht="43.8" customHeight="1" thickBot="1" x14ac:dyDescent="0.3">
      <c r="A24" s="271"/>
      <c r="B24" s="273"/>
      <c r="C24" s="273"/>
      <c r="D24" s="276"/>
      <c r="E24" s="278"/>
      <c r="F24" s="278"/>
      <c r="G24" s="273"/>
      <c r="H24" s="273"/>
      <c r="I24" s="280"/>
      <c r="J24" s="267"/>
      <c r="K24" s="269"/>
      <c r="L24" s="269"/>
      <c r="M24" s="256"/>
      <c r="N24" s="294"/>
      <c r="O24" s="81"/>
      <c r="P24" s="82"/>
      <c r="Q24" s="83"/>
      <c r="R24" s="80"/>
      <c r="S24" s="267"/>
      <c r="T24" s="84"/>
      <c r="U24" s="84"/>
      <c r="V24" s="84"/>
      <c r="W24" s="83"/>
      <c r="X24" s="83"/>
      <c r="Y24" s="267"/>
      <c r="Z24" s="269"/>
      <c r="AA24" s="269"/>
      <c r="AB24" s="256"/>
      <c r="AC24" s="258"/>
      <c r="AD24" s="85"/>
      <c r="AE24" s="75"/>
      <c r="AF24" s="70"/>
      <c r="AG24" s="70"/>
      <c r="AH24" s="76"/>
      <c r="AI24" s="70"/>
      <c r="AJ24" s="77"/>
      <c r="AK24" s="77"/>
      <c r="AL24" s="78"/>
      <c r="AM24" s="79"/>
    </row>
    <row r="25" spans="1:39" ht="45" customHeight="1" thickBot="1" x14ac:dyDescent="0.3">
      <c r="A25" s="259" t="s">
        <v>287</v>
      </c>
      <c r="B25" s="273"/>
      <c r="C25" s="273"/>
      <c r="D25" s="260" t="s">
        <v>268</v>
      </c>
      <c r="E25" s="261" t="s">
        <v>271</v>
      </c>
      <c r="F25" s="261" t="s">
        <v>279</v>
      </c>
      <c r="G25" s="273"/>
      <c r="H25" s="273"/>
      <c r="I25" s="280"/>
      <c r="J25" s="262"/>
      <c r="K25" s="263">
        <f>_xlfn.XLOOKUP(J25,'Listas Desplegables (LD)'!$J$8:$J$12,'Listas Desplegables (LD)'!$K$8:$K$12, 0,1)</f>
        <v>0</v>
      </c>
      <c r="L25" s="263"/>
      <c r="M25" s="264">
        <f>+K25*L25</f>
        <v>0</v>
      </c>
      <c r="N25" s="265" t="str">
        <f>+IF(M25&gt;=20,"IV",IF(OR(AND(M25&gt;=9,M25&lt;=16),AND(L25=5,K25=1)),"III",IF(OR(AND(M25&lt;=9,M25&gt;=6),AND(K25=1,L25=4),AND(K25=4,L25=1),AND(K25=1,L25=3)),"II",IF(OR(M25=2,M25=1,AND(L25=1,K25=3),AND(L25=2,K25=2)),"I"," "))))</f>
        <v xml:space="preserve"> </v>
      </c>
      <c r="O25" s="87">
        <v>2</v>
      </c>
      <c r="P25" s="88"/>
      <c r="Q25" s="89"/>
      <c r="R25" s="86"/>
      <c r="S25" s="262">
        <f>+J25</f>
        <v>0</v>
      </c>
      <c r="T25" s="90"/>
      <c r="U25" s="90"/>
      <c r="V25" s="90"/>
      <c r="W25" s="89"/>
      <c r="X25" s="89"/>
      <c r="Y25" s="262"/>
      <c r="Z25" s="263">
        <f>_xlfn.XLOOKUP(Y25,'Listas Desplegables (LD)'!$J$8:$J$12,'Listas Desplegables (LD)'!$K$8:$K$12, 0,1)</f>
        <v>0</v>
      </c>
      <c r="AA25" s="263"/>
      <c r="AB25" s="264">
        <f>Z25*AA25</f>
        <v>0</v>
      </c>
      <c r="AC25" s="265" t="str">
        <f>+IF(AB25&gt;=20,"IV",IF(OR(AND(AB25&gt;=9,AB25&lt;=16),AND(AA25=5,Z25=1)),"III",IF(OR(AND(AB25&lt;=9,AB25&gt;=6),AND(Z25=1,AA25=4),AND(Z25=4,AA25=1),AND(Z25=1,AA25=3)),"II",IF(OR(AB25=2,AB25=1,AND(AA25=1,Z25=3),AND(AA25=2,Z25=2)),"I"," "))))</f>
        <v xml:space="preserve"> </v>
      </c>
      <c r="AD25" s="91"/>
      <c r="AE25" s="92"/>
      <c r="AF25" s="93"/>
      <c r="AG25" s="93"/>
      <c r="AH25" s="94"/>
      <c r="AI25" s="93"/>
      <c r="AJ25" s="95"/>
      <c r="AK25" s="95"/>
      <c r="AL25" s="96"/>
      <c r="AM25" s="97"/>
    </row>
    <row r="26" spans="1:39" ht="45" customHeight="1" thickBot="1" x14ac:dyDescent="0.3">
      <c r="A26" s="259"/>
      <c r="B26" s="273"/>
      <c r="C26" s="273"/>
      <c r="D26" s="260"/>
      <c r="E26" s="261"/>
      <c r="F26" s="261"/>
      <c r="G26" s="273"/>
      <c r="H26" s="273"/>
      <c r="I26" s="280"/>
      <c r="J26" s="262"/>
      <c r="K26" s="263"/>
      <c r="L26" s="263"/>
      <c r="M26" s="264"/>
      <c r="N26" s="265"/>
      <c r="O26" s="87"/>
      <c r="P26" s="88"/>
      <c r="Q26" s="89"/>
      <c r="R26" s="86"/>
      <c r="S26" s="262"/>
      <c r="T26" s="90"/>
      <c r="U26" s="90"/>
      <c r="V26" s="90"/>
      <c r="W26" s="89"/>
      <c r="X26" s="89"/>
      <c r="Y26" s="262"/>
      <c r="Z26" s="263"/>
      <c r="AA26" s="263"/>
      <c r="AB26" s="264"/>
      <c r="AC26" s="265"/>
      <c r="AD26" s="91"/>
      <c r="AE26" s="92"/>
      <c r="AF26" s="93"/>
      <c r="AG26" s="93"/>
      <c r="AH26" s="94"/>
      <c r="AI26" s="93"/>
      <c r="AJ26" s="95"/>
      <c r="AK26" s="95"/>
      <c r="AL26" s="96"/>
      <c r="AM26" s="97"/>
    </row>
    <row r="27" spans="1:39" ht="43.2" customHeight="1" thickBot="1" x14ac:dyDescent="0.3">
      <c r="A27" s="282" t="s">
        <v>288</v>
      </c>
      <c r="B27" s="273"/>
      <c r="C27" s="273"/>
      <c r="D27" s="284" t="s">
        <v>269</v>
      </c>
      <c r="E27" s="286" t="s">
        <v>272</v>
      </c>
      <c r="F27" s="286" t="s">
        <v>280</v>
      </c>
      <c r="G27" s="273"/>
      <c r="H27" s="273"/>
      <c r="I27" s="280"/>
      <c r="J27" s="251"/>
      <c r="K27" s="253">
        <f>_xlfn.XLOOKUP(J27,'Listas Desplegables (LD)'!$J$8:$J$12,'Listas Desplegables (LD)'!$K$8:$K$12, 0,1)</f>
        <v>0</v>
      </c>
      <c r="L27" s="253"/>
      <c r="M27" s="247">
        <f>+K27*L27</f>
        <v>0</v>
      </c>
      <c r="N27" s="249" t="str">
        <f>+IF(M27&gt;=20,"IV",IF(OR(AND(M27&gt;=9,M27&lt;=16),AND(L27=5,K27=1)),"III",IF(OR(AND(M27&lt;=9,M27&gt;=6),AND(K27=1,L27=4),AND(K27=4,L27=1),AND(K27=1,L27=3)),"II",IF(OR(M27=2,M27=1,AND(L27=1,K27=3),AND(L27=2,K27=2)),"I"," "))))</f>
        <v xml:space="preserve"> </v>
      </c>
      <c r="O27" s="99"/>
      <c r="P27" s="100"/>
      <c r="Q27" s="101"/>
      <c r="R27" s="98"/>
      <c r="S27" s="251">
        <f>+J27</f>
        <v>0</v>
      </c>
      <c r="T27" s="102"/>
      <c r="U27" s="102"/>
      <c r="V27" s="102">
        <f>+U27*S27</f>
        <v>0</v>
      </c>
      <c r="W27" s="101"/>
      <c r="X27" s="101"/>
      <c r="Y27" s="251"/>
      <c r="Z27" s="253">
        <f>_xlfn.XLOOKUP(Y27,'Listas Desplegables (LD)'!$J$8:$J$12,'Listas Desplegables (LD)'!$K$8:$K$12, 0,1)</f>
        <v>0</v>
      </c>
      <c r="AA27" s="253"/>
      <c r="AB27" s="247">
        <f>Z27*AA27</f>
        <v>0</v>
      </c>
      <c r="AC27" s="249" t="str">
        <f>+IF(AB27&gt;=20,"IV",IF(OR(AND(AB27&gt;=9,AB27&lt;=16),AND(AA27=5,Z27=1)),"III",IF(OR(AND(AB27&lt;=9,AB27&gt;=6),AND(Z27=1,AA27=4),AND(Z27=4,AA27=1),AND(Z27=1,AA27=3)),"II",IF(OR(AB27=2,AB27=1,AND(AA27=1,Z27=3),AND(AA27=2,Z27=2)),"I"," "))))</f>
        <v xml:space="preserve"> </v>
      </c>
      <c r="AD27" s="103"/>
      <c r="AE27" s="104"/>
      <c r="AF27" s="105"/>
      <c r="AG27" s="105"/>
      <c r="AH27" s="106"/>
      <c r="AI27" s="105"/>
      <c r="AJ27" s="107"/>
      <c r="AK27" s="107"/>
      <c r="AL27" s="108"/>
      <c r="AM27" s="109"/>
    </row>
    <row r="28" spans="1:39" ht="43.2" customHeight="1" thickBot="1" x14ac:dyDescent="0.3">
      <c r="A28" s="283"/>
      <c r="B28" s="274"/>
      <c r="C28" s="274"/>
      <c r="D28" s="285"/>
      <c r="E28" s="287"/>
      <c r="F28" s="287"/>
      <c r="G28" s="274"/>
      <c r="H28" s="274"/>
      <c r="I28" s="281"/>
      <c r="J28" s="252"/>
      <c r="K28" s="254"/>
      <c r="L28" s="254"/>
      <c r="M28" s="248"/>
      <c r="N28" s="250"/>
      <c r="O28" s="111"/>
      <c r="P28" s="112"/>
      <c r="Q28" s="113"/>
      <c r="R28" s="110"/>
      <c r="S28" s="252"/>
      <c r="T28" s="114"/>
      <c r="U28" s="114"/>
      <c r="V28" s="114">
        <f>+U28*S27</f>
        <v>0</v>
      </c>
      <c r="W28" s="113"/>
      <c r="X28" s="113"/>
      <c r="Y28" s="252"/>
      <c r="Z28" s="254"/>
      <c r="AA28" s="254"/>
      <c r="AB28" s="248"/>
      <c r="AC28" s="250"/>
      <c r="AD28" s="115"/>
      <c r="AE28" s="116"/>
      <c r="AF28" s="117"/>
      <c r="AG28" s="117"/>
      <c r="AH28" s="118"/>
      <c r="AI28" s="117"/>
      <c r="AJ28" s="119"/>
      <c r="AK28" s="119"/>
      <c r="AL28" s="120"/>
      <c r="AM28" s="121"/>
    </row>
    <row r="29" spans="1:39" ht="43.8" customHeight="1" thickBot="1" x14ac:dyDescent="0.3">
      <c r="A29" s="270" t="s">
        <v>289</v>
      </c>
      <c r="B29" s="272"/>
      <c r="C29" s="272"/>
      <c r="D29" s="275" t="s">
        <v>267</v>
      </c>
      <c r="E29" s="277" t="s">
        <v>270</v>
      </c>
      <c r="F29" s="277" t="s">
        <v>278</v>
      </c>
      <c r="G29" s="272"/>
      <c r="H29" s="272"/>
      <c r="I29" s="279"/>
      <c r="J29" s="266"/>
      <c r="K29" s="268">
        <f>_xlfn.XLOOKUP(J29,'Listas Desplegables (LD)'!$J$8:$J$12,'Listas Desplegables (LD)'!$K$8:$K$12, 0,1)</f>
        <v>0</v>
      </c>
      <c r="L29" s="268"/>
      <c r="M29" s="255">
        <f>+K29*L29</f>
        <v>0</v>
      </c>
      <c r="N29" s="257" t="str">
        <f>+IF(M29&gt;=20,"IV",IF(OR(AND(M29&gt;=9,M29&lt;=16),AND(L29=5,K29=1)),"III",IF(OR(AND(M29&lt;=9,M29&gt;=6),AND(K29=1,L29=4),AND(K29=4,L29=1),AND(K29=1,L29=3)),"II",IF(OR(M29=2,M29=1,AND(L29=1,K29=3),AND(L29=2,K29=2)),"I"," "))))</f>
        <v xml:space="preserve"> </v>
      </c>
      <c r="O29" s="70"/>
      <c r="P29" s="71"/>
      <c r="Q29" s="72"/>
      <c r="R29" s="69"/>
      <c r="S29" s="266">
        <f>+J29</f>
        <v>0</v>
      </c>
      <c r="T29" s="73"/>
      <c r="U29" s="73"/>
      <c r="V29" s="73">
        <f>+U29*S29</f>
        <v>0</v>
      </c>
      <c r="W29" s="72"/>
      <c r="X29" s="72"/>
      <c r="Y29" s="266"/>
      <c r="Z29" s="268">
        <f>_xlfn.XLOOKUP(Y29,'Listas Desplegables (LD)'!$J$8:$J$12,'Listas Desplegables (LD)'!$K$8:$K$12, 0,1)</f>
        <v>0</v>
      </c>
      <c r="AA29" s="268"/>
      <c r="AB29" s="255">
        <f>Z29*AA29</f>
        <v>0</v>
      </c>
      <c r="AC29" s="257" t="str">
        <f>+IF(AB29&gt;=20,"IV",IF(OR(AND(AB29&gt;=9,AB29&lt;=16),AND(AA29=5,Z29=1)),"III",IF(OR(AND(AB29&lt;=9,AB29&gt;=6),AND(Z29=1,AA29=4),AND(Z29=4,AA29=1),AND(Z29=1,AA29=3)),"II",IF(OR(AB29=2,AB29=1,AND(AA29=1,Z29=3),AND(AA29=2,Z29=2)),"I"," "))))</f>
        <v xml:space="preserve"> </v>
      </c>
      <c r="AD29" s="74"/>
      <c r="AE29" s="75"/>
      <c r="AF29" s="70"/>
      <c r="AG29" s="70"/>
      <c r="AH29" s="76"/>
      <c r="AI29" s="70"/>
      <c r="AJ29" s="77"/>
      <c r="AK29" s="77"/>
      <c r="AL29" s="78"/>
      <c r="AM29" s="79"/>
    </row>
    <row r="30" spans="1:39" ht="43.8" customHeight="1" thickBot="1" x14ac:dyDescent="0.3">
      <c r="A30" s="271"/>
      <c r="B30" s="273"/>
      <c r="C30" s="273"/>
      <c r="D30" s="276"/>
      <c r="E30" s="278"/>
      <c r="F30" s="278"/>
      <c r="G30" s="273"/>
      <c r="H30" s="273"/>
      <c r="I30" s="280"/>
      <c r="J30" s="267"/>
      <c r="K30" s="269"/>
      <c r="L30" s="269"/>
      <c r="M30" s="256"/>
      <c r="N30" s="258"/>
      <c r="O30" s="81"/>
      <c r="P30" s="82"/>
      <c r="Q30" s="83"/>
      <c r="R30" s="80"/>
      <c r="S30" s="267"/>
      <c r="T30" s="84"/>
      <c r="U30" s="84"/>
      <c r="V30" s="84">
        <f>+U30*S29</f>
        <v>0</v>
      </c>
      <c r="W30" s="83"/>
      <c r="X30" s="83"/>
      <c r="Y30" s="267"/>
      <c r="Z30" s="269"/>
      <c r="AA30" s="269"/>
      <c r="AB30" s="256"/>
      <c r="AC30" s="258"/>
      <c r="AD30" s="85"/>
      <c r="AE30" s="75"/>
      <c r="AF30" s="70"/>
      <c r="AG30" s="70"/>
      <c r="AH30" s="76"/>
      <c r="AI30" s="70"/>
      <c r="AJ30" s="77"/>
      <c r="AK30" s="77"/>
      <c r="AL30" s="78"/>
      <c r="AM30" s="79"/>
    </row>
    <row r="31" spans="1:39" ht="45" customHeight="1" thickBot="1" x14ac:dyDescent="0.3">
      <c r="A31" s="259" t="s">
        <v>290</v>
      </c>
      <c r="B31" s="273"/>
      <c r="C31" s="273"/>
      <c r="D31" s="260" t="s">
        <v>268</v>
      </c>
      <c r="E31" s="261" t="s">
        <v>271</v>
      </c>
      <c r="F31" s="261" t="s">
        <v>279</v>
      </c>
      <c r="G31" s="273"/>
      <c r="H31" s="273"/>
      <c r="I31" s="280"/>
      <c r="J31" s="262"/>
      <c r="K31" s="263">
        <f>_xlfn.XLOOKUP(J31,'Listas Desplegables (LD)'!$J$8:$J$12,'Listas Desplegables (LD)'!$K$8:$K$12, 0,1)</f>
        <v>0</v>
      </c>
      <c r="L31" s="263"/>
      <c r="M31" s="264">
        <f>+K31*L31</f>
        <v>0</v>
      </c>
      <c r="N31" s="265" t="str">
        <f>+IF(M31&gt;=20,"IV",IF(OR(AND(M31&gt;=9,M31&lt;=16),AND(L31=5,K31=1)),"III",IF(OR(AND(M31&lt;=9,M31&gt;=6),AND(K31=1,L31=4),AND(K31=4,L31=1),AND(K31=1,L31=3)),"II",IF(OR(M31=2,M31=1,AND(L31=1,K31=3),AND(L31=2,K31=2)),"I"," "))))</f>
        <v xml:space="preserve"> </v>
      </c>
      <c r="O31" s="87"/>
      <c r="P31" s="88"/>
      <c r="Q31" s="89"/>
      <c r="R31" s="86"/>
      <c r="S31" s="262">
        <f>+J31</f>
        <v>0</v>
      </c>
      <c r="T31" s="90"/>
      <c r="U31" s="90"/>
      <c r="V31" s="90">
        <f>+U31*S31</f>
        <v>0</v>
      </c>
      <c r="W31" s="89"/>
      <c r="X31" s="89"/>
      <c r="Y31" s="262"/>
      <c r="Z31" s="263">
        <f>_xlfn.XLOOKUP(Y31,'Listas Desplegables (LD)'!$J$8:$J$12,'Listas Desplegables (LD)'!$K$8:$K$12, 0,1)</f>
        <v>0</v>
      </c>
      <c r="AA31" s="263"/>
      <c r="AB31" s="264">
        <f>Z31*AA31</f>
        <v>0</v>
      </c>
      <c r="AC31" s="265" t="str">
        <f>+IF(AB31&gt;=20,"IV",IF(OR(AND(AB31&gt;=9,AB31&lt;=16),AND(AA31=5,Z31=1)),"III",IF(OR(AND(AB31&lt;=9,AB31&gt;=6),AND(Z31=1,AA31=4),AND(Z31=4,AA31=1),AND(Z31=1,AA31=3)),"II",IF(OR(AB31=2,AB31=1,AND(AA31=1,Z31=3),AND(AA31=2,Z31=2)),"I"," "))))</f>
        <v xml:space="preserve"> </v>
      </c>
      <c r="AD31" s="91"/>
      <c r="AE31" s="92"/>
      <c r="AF31" s="93"/>
      <c r="AG31" s="93"/>
      <c r="AH31" s="94"/>
      <c r="AI31" s="93"/>
      <c r="AJ31" s="95"/>
      <c r="AK31" s="95"/>
      <c r="AL31" s="96"/>
      <c r="AM31" s="97"/>
    </row>
    <row r="32" spans="1:39" ht="45" customHeight="1" thickBot="1" x14ac:dyDescent="0.3">
      <c r="A32" s="259"/>
      <c r="B32" s="273"/>
      <c r="C32" s="273"/>
      <c r="D32" s="260"/>
      <c r="E32" s="261"/>
      <c r="F32" s="261"/>
      <c r="G32" s="273"/>
      <c r="H32" s="273"/>
      <c r="I32" s="280"/>
      <c r="J32" s="262"/>
      <c r="K32" s="263"/>
      <c r="L32" s="263"/>
      <c r="M32" s="264"/>
      <c r="N32" s="265"/>
      <c r="O32" s="87"/>
      <c r="P32" s="88"/>
      <c r="Q32" s="89"/>
      <c r="R32" s="86"/>
      <c r="S32" s="262"/>
      <c r="T32" s="90"/>
      <c r="U32" s="90"/>
      <c r="V32" s="90">
        <f>+U32*S31</f>
        <v>0</v>
      </c>
      <c r="W32" s="89"/>
      <c r="X32" s="89"/>
      <c r="Y32" s="262"/>
      <c r="Z32" s="263"/>
      <c r="AA32" s="263"/>
      <c r="AB32" s="264"/>
      <c r="AC32" s="265"/>
      <c r="AD32" s="91"/>
      <c r="AE32" s="92"/>
      <c r="AF32" s="93"/>
      <c r="AG32" s="93"/>
      <c r="AH32" s="94"/>
      <c r="AI32" s="93"/>
      <c r="AJ32" s="95"/>
      <c r="AK32" s="95"/>
      <c r="AL32" s="96"/>
      <c r="AM32" s="97"/>
    </row>
    <row r="33" spans="1:39" ht="43.2" customHeight="1" thickBot="1" x14ac:dyDescent="0.3">
      <c r="A33" s="282" t="s">
        <v>291</v>
      </c>
      <c r="B33" s="273"/>
      <c r="C33" s="273"/>
      <c r="D33" s="284" t="s">
        <v>269</v>
      </c>
      <c r="E33" s="286" t="s">
        <v>272</v>
      </c>
      <c r="F33" s="286" t="s">
        <v>280</v>
      </c>
      <c r="G33" s="273"/>
      <c r="H33" s="273"/>
      <c r="I33" s="280"/>
      <c r="J33" s="251"/>
      <c r="K33" s="253">
        <f>_xlfn.XLOOKUP(J33,'Listas Desplegables (LD)'!$J$8:$J$12,'Listas Desplegables (LD)'!$K$8:$K$12, 0,1)</f>
        <v>0</v>
      </c>
      <c r="L33" s="253"/>
      <c r="M33" s="247">
        <f>+K33*L33</f>
        <v>0</v>
      </c>
      <c r="N33" s="249" t="str">
        <f>+IF(M33&gt;=20,"IV",IF(OR(AND(M33&gt;=9,M33&lt;=16),AND(L33=5,K33=1)),"III",IF(OR(AND(M33&lt;=9,M33&gt;=6),AND(K33=1,L33=4),AND(K33=4,L33=1),AND(K33=1,L33=3)),"II",IF(OR(M33=2,M33=1,AND(L33=1,K33=3),AND(L33=2,K33=2)),"I"," "))))</f>
        <v xml:space="preserve"> </v>
      </c>
      <c r="O33" s="99"/>
      <c r="P33" s="100"/>
      <c r="Q33" s="101"/>
      <c r="R33" s="98"/>
      <c r="S33" s="251">
        <f>+J33</f>
        <v>0</v>
      </c>
      <c r="T33" s="102"/>
      <c r="U33" s="102"/>
      <c r="V33" s="102">
        <f>+U33*S33</f>
        <v>0</v>
      </c>
      <c r="W33" s="101"/>
      <c r="X33" s="101"/>
      <c r="Y33" s="251"/>
      <c r="Z33" s="253">
        <f>_xlfn.XLOOKUP(Y33,'Listas Desplegables (LD)'!$J$8:$J$12,'Listas Desplegables (LD)'!$K$8:$K$12, 0,1)</f>
        <v>0</v>
      </c>
      <c r="AA33" s="253"/>
      <c r="AB33" s="247">
        <f>Z33*AA33</f>
        <v>0</v>
      </c>
      <c r="AC33" s="249" t="str">
        <f>+IF(AB33&gt;=20,"IV",IF(OR(AND(AB33&gt;=9,AB33&lt;=16),AND(AA33=5,Z33=1)),"III",IF(OR(AND(AB33&lt;=9,AB33&gt;=6),AND(Z33=1,AA33=4),AND(Z33=4,AA33=1),AND(Z33=1,AA33=3)),"II",IF(OR(AB33=2,AB33=1,AND(AA33=1,Z33=3),AND(AA33=2,Z33=2)),"I"," "))))</f>
        <v xml:space="preserve"> </v>
      </c>
      <c r="AD33" s="103"/>
      <c r="AE33" s="104"/>
      <c r="AF33" s="105"/>
      <c r="AG33" s="105"/>
      <c r="AH33" s="106"/>
      <c r="AI33" s="105"/>
      <c r="AJ33" s="107"/>
      <c r="AK33" s="107"/>
      <c r="AL33" s="108"/>
      <c r="AM33" s="109"/>
    </row>
    <row r="34" spans="1:39" ht="43.2" customHeight="1" thickBot="1" x14ac:dyDescent="0.3">
      <c r="A34" s="283"/>
      <c r="B34" s="274"/>
      <c r="C34" s="274"/>
      <c r="D34" s="285"/>
      <c r="E34" s="287"/>
      <c r="F34" s="287"/>
      <c r="G34" s="274"/>
      <c r="H34" s="274"/>
      <c r="I34" s="281"/>
      <c r="J34" s="252"/>
      <c r="K34" s="254"/>
      <c r="L34" s="254"/>
      <c r="M34" s="248"/>
      <c r="N34" s="250"/>
      <c r="O34" s="111"/>
      <c r="P34" s="112"/>
      <c r="Q34" s="113"/>
      <c r="R34" s="110"/>
      <c r="S34" s="252"/>
      <c r="T34" s="114"/>
      <c r="U34" s="114"/>
      <c r="V34" s="114">
        <f>+U34*S33</f>
        <v>0</v>
      </c>
      <c r="W34" s="113"/>
      <c r="X34" s="113"/>
      <c r="Y34" s="252"/>
      <c r="Z34" s="254"/>
      <c r="AA34" s="254"/>
      <c r="AB34" s="248"/>
      <c r="AC34" s="250"/>
      <c r="AD34" s="115"/>
      <c r="AE34" s="116"/>
      <c r="AF34" s="117"/>
      <c r="AG34" s="117"/>
      <c r="AH34" s="118"/>
      <c r="AI34" s="117"/>
      <c r="AJ34" s="119"/>
      <c r="AK34" s="119"/>
      <c r="AL34" s="120"/>
      <c r="AM34" s="121"/>
    </row>
    <row r="35" spans="1:39" ht="43.8" customHeight="1" thickBot="1" x14ac:dyDescent="0.3">
      <c r="A35" s="270" t="s">
        <v>292</v>
      </c>
      <c r="B35" s="272"/>
      <c r="C35" s="272"/>
      <c r="D35" s="275" t="s">
        <v>267</v>
      </c>
      <c r="E35" s="277" t="s">
        <v>270</v>
      </c>
      <c r="F35" s="277" t="s">
        <v>278</v>
      </c>
      <c r="G35" s="272"/>
      <c r="H35" s="272"/>
      <c r="I35" s="279"/>
      <c r="J35" s="266"/>
      <c r="K35" s="268">
        <f>_xlfn.XLOOKUP(J35,'Listas Desplegables (LD)'!$J$8:$J$12,'Listas Desplegables (LD)'!$K$8:$K$12, 0,1)</f>
        <v>0</v>
      </c>
      <c r="L35" s="268"/>
      <c r="M35" s="255">
        <f>+K35*L35</f>
        <v>0</v>
      </c>
      <c r="N35" s="257" t="str">
        <f>+IF(M35&gt;=20,"IV",IF(OR(AND(M35&gt;=9,M35&lt;=16),AND(L35=5,K35=1)),"III",IF(OR(AND(M35&lt;=9,M35&gt;=6),AND(K35=1,L35=4),AND(K35=4,L35=1),AND(K35=1,L35=3)),"II",IF(OR(M35=2,M35=1,AND(L35=1,K35=3),AND(L35=2,K35=2)),"I"," "))))</f>
        <v xml:space="preserve"> </v>
      </c>
      <c r="O35" s="70"/>
      <c r="P35" s="71"/>
      <c r="Q35" s="72"/>
      <c r="R35" s="69"/>
      <c r="S35" s="266">
        <f>+J35</f>
        <v>0</v>
      </c>
      <c r="T35" s="73"/>
      <c r="U35" s="73"/>
      <c r="V35" s="73">
        <f>+U35*S35</f>
        <v>0</v>
      </c>
      <c r="W35" s="72"/>
      <c r="X35" s="72"/>
      <c r="Y35" s="266"/>
      <c r="Z35" s="268">
        <f>_xlfn.XLOOKUP(Y35,'Listas Desplegables (LD)'!$J$8:$J$12,'Listas Desplegables (LD)'!$K$8:$K$12, 0,1)</f>
        <v>0</v>
      </c>
      <c r="AA35" s="268"/>
      <c r="AB35" s="255">
        <f>Z35*AA35</f>
        <v>0</v>
      </c>
      <c r="AC35" s="257" t="str">
        <f>+IF(AB35&gt;=20,"IV",IF(OR(AND(AB35&gt;=9,AB35&lt;=16),AND(AA35=5,Z35=1)),"III",IF(OR(AND(AB35&lt;=9,AB35&gt;=6),AND(Z35=1,AA35=4),AND(Z35=4,AA35=1),AND(Z35=1,AA35=3)),"II",IF(OR(AB35=2,AB35=1,AND(AA35=1,Z35=3),AND(AA35=2,Z35=2)),"I"," "))))</f>
        <v xml:space="preserve"> </v>
      </c>
      <c r="AD35" s="74"/>
      <c r="AE35" s="75"/>
      <c r="AF35" s="70"/>
      <c r="AG35" s="70"/>
      <c r="AH35" s="76"/>
      <c r="AI35" s="70"/>
      <c r="AJ35" s="77"/>
      <c r="AK35" s="77"/>
      <c r="AL35" s="78"/>
      <c r="AM35" s="79"/>
    </row>
    <row r="36" spans="1:39" ht="43.8" customHeight="1" thickBot="1" x14ac:dyDescent="0.3">
      <c r="A36" s="271"/>
      <c r="B36" s="273"/>
      <c r="C36" s="273"/>
      <c r="D36" s="276"/>
      <c r="E36" s="278"/>
      <c r="F36" s="278"/>
      <c r="G36" s="273"/>
      <c r="H36" s="273"/>
      <c r="I36" s="280"/>
      <c r="J36" s="267"/>
      <c r="K36" s="269"/>
      <c r="L36" s="269"/>
      <c r="M36" s="256"/>
      <c r="N36" s="258"/>
      <c r="O36" s="81"/>
      <c r="P36" s="82"/>
      <c r="Q36" s="83"/>
      <c r="R36" s="80"/>
      <c r="S36" s="267"/>
      <c r="T36" s="84"/>
      <c r="U36" s="84"/>
      <c r="V36" s="84">
        <f>+U36*S35</f>
        <v>0</v>
      </c>
      <c r="W36" s="83"/>
      <c r="X36" s="83"/>
      <c r="Y36" s="267"/>
      <c r="Z36" s="269"/>
      <c r="AA36" s="269"/>
      <c r="AB36" s="256"/>
      <c r="AC36" s="258"/>
      <c r="AD36" s="85"/>
      <c r="AE36" s="75"/>
      <c r="AF36" s="70"/>
      <c r="AG36" s="70"/>
      <c r="AH36" s="76"/>
      <c r="AI36" s="70"/>
      <c r="AJ36" s="77"/>
      <c r="AK36" s="77"/>
      <c r="AL36" s="78"/>
      <c r="AM36" s="79"/>
    </row>
    <row r="37" spans="1:39" ht="45" customHeight="1" thickBot="1" x14ac:dyDescent="0.3">
      <c r="A37" s="259" t="s">
        <v>293</v>
      </c>
      <c r="B37" s="273"/>
      <c r="C37" s="273"/>
      <c r="D37" s="260" t="s">
        <v>268</v>
      </c>
      <c r="E37" s="261" t="s">
        <v>271</v>
      </c>
      <c r="F37" s="261" t="s">
        <v>279</v>
      </c>
      <c r="G37" s="273"/>
      <c r="H37" s="273"/>
      <c r="I37" s="280"/>
      <c r="J37" s="262"/>
      <c r="K37" s="263">
        <f>_xlfn.XLOOKUP(J37,'Listas Desplegables (LD)'!$J$8:$J$12,'Listas Desplegables (LD)'!$K$8:$K$12, 0,1)</f>
        <v>0</v>
      </c>
      <c r="L37" s="263"/>
      <c r="M37" s="264">
        <f>+K37*L37</f>
        <v>0</v>
      </c>
      <c r="N37" s="265" t="str">
        <f>+IF(M37&gt;=20,"IV",IF(OR(AND(M37&gt;=9,M37&lt;=16),AND(L37=5,K37=1)),"III",IF(OR(AND(M37&lt;=9,M37&gt;=6),AND(K37=1,L37=4),AND(K37=4,L37=1),AND(K37=1,L37=3)),"II",IF(OR(M37=2,M37=1,AND(L37=1,K37=3),AND(L37=2,K37=2)),"I"," "))))</f>
        <v xml:space="preserve"> </v>
      </c>
      <c r="O37" s="87"/>
      <c r="P37" s="88"/>
      <c r="Q37" s="89"/>
      <c r="R37" s="86"/>
      <c r="S37" s="262">
        <f>+J37</f>
        <v>0</v>
      </c>
      <c r="T37" s="90"/>
      <c r="U37" s="90"/>
      <c r="V37" s="90">
        <f>+U37*S37</f>
        <v>0</v>
      </c>
      <c r="W37" s="89"/>
      <c r="X37" s="89"/>
      <c r="Y37" s="262"/>
      <c r="Z37" s="263">
        <f>_xlfn.XLOOKUP(Y37,'Listas Desplegables (LD)'!$J$8:$J$12,'Listas Desplegables (LD)'!$K$8:$K$12, 0,1)</f>
        <v>0</v>
      </c>
      <c r="AA37" s="263"/>
      <c r="AB37" s="264">
        <f>Z37*AA37</f>
        <v>0</v>
      </c>
      <c r="AC37" s="265" t="str">
        <f>+IF(AB37&gt;=20,"IV",IF(OR(AND(AB37&gt;=9,AB37&lt;=16),AND(AA37=5,Z37=1)),"III",IF(OR(AND(AB37&lt;=9,AB37&gt;=6),AND(Z37=1,AA37=4),AND(Z37=4,AA37=1),AND(Z37=1,AA37=3)),"II",IF(OR(AB37=2,AB37=1,AND(AA37=1,Z37=3),AND(AA37=2,Z37=2)),"I"," "))))</f>
        <v xml:space="preserve"> </v>
      </c>
      <c r="AD37" s="91"/>
      <c r="AE37" s="92"/>
      <c r="AF37" s="93"/>
      <c r="AG37" s="93"/>
      <c r="AH37" s="94"/>
      <c r="AI37" s="93"/>
      <c r="AJ37" s="95"/>
      <c r="AK37" s="95"/>
      <c r="AL37" s="96"/>
      <c r="AM37" s="97"/>
    </row>
    <row r="38" spans="1:39" ht="45" customHeight="1" thickBot="1" x14ac:dyDescent="0.3">
      <c r="A38" s="259"/>
      <c r="B38" s="273"/>
      <c r="C38" s="273"/>
      <c r="D38" s="260"/>
      <c r="E38" s="261"/>
      <c r="F38" s="261"/>
      <c r="G38" s="273"/>
      <c r="H38" s="273"/>
      <c r="I38" s="280"/>
      <c r="J38" s="262"/>
      <c r="K38" s="263"/>
      <c r="L38" s="263"/>
      <c r="M38" s="264"/>
      <c r="N38" s="265"/>
      <c r="O38" s="87"/>
      <c r="P38" s="88"/>
      <c r="Q38" s="89"/>
      <c r="R38" s="86"/>
      <c r="S38" s="262"/>
      <c r="T38" s="90"/>
      <c r="U38" s="90"/>
      <c r="V38" s="90">
        <f>+U38*S37</f>
        <v>0</v>
      </c>
      <c r="W38" s="89"/>
      <c r="X38" s="89"/>
      <c r="Y38" s="262"/>
      <c r="Z38" s="263"/>
      <c r="AA38" s="263"/>
      <c r="AB38" s="264"/>
      <c r="AC38" s="265"/>
      <c r="AD38" s="91"/>
      <c r="AE38" s="92"/>
      <c r="AF38" s="93"/>
      <c r="AG38" s="93"/>
      <c r="AH38" s="94"/>
      <c r="AI38" s="93"/>
      <c r="AJ38" s="95"/>
      <c r="AK38" s="95"/>
      <c r="AL38" s="96"/>
      <c r="AM38" s="97"/>
    </row>
    <row r="39" spans="1:39" ht="43.2" customHeight="1" thickBot="1" x14ac:dyDescent="0.3">
      <c r="A39" s="282" t="s">
        <v>294</v>
      </c>
      <c r="B39" s="273"/>
      <c r="C39" s="273"/>
      <c r="D39" s="284" t="s">
        <v>269</v>
      </c>
      <c r="E39" s="286" t="s">
        <v>272</v>
      </c>
      <c r="F39" s="286" t="s">
        <v>280</v>
      </c>
      <c r="G39" s="273"/>
      <c r="H39" s="273"/>
      <c r="I39" s="280"/>
      <c r="J39" s="251"/>
      <c r="K39" s="253">
        <f>_xlfn.XLOOKUP(J39,'Listas Desplegables (LD)'!$J$8:$J$12,'Listas Desplegables (LD)'!$K$8:$K$12, 0,1)</f>
        <v>0</v>
      </c>
      <c r="L39" s="253"/>
      <c r="M39" s="247">
        <f>+K39*L39</f>
        <v>0</v>
      </c>
      <c r="N39" s="249" t="str">
        <f>+IF(M39&gt;=20,"IV",IF(OR(AND(M39&gt;=9,M39&lt;=16),AND(L39=5,K39=1)),"III",IF(OR(AND(M39&lt;=9,M39&gt;=6),AND(K39=1,L39=4),AND(K39=4,L39=1),AND(K39=1,L39=3)),"II",IF(OR(M39=2,M39=1,AND(L39=1,K39=3),AND(L39=2,K39=2)),"I"," "))))</f>
        <v xml:space="preserve"> </v>
      </c>
      <c r="O39" s="99"/>
      <c r="P39" s="100"/>
      <c r="Q39" s="101"/>
      <c r="R39" s="98"/>
      <c r="S39" s="251">
        <f>+J39</f>
        <v>0</v>
      </c>
      <c r="T39" s="102"/>
      <c r="U39" s="102"/>
      <c r="V39" s="102">
        <f>+U39*S39</f>
        <v>0</v>
      </c>
      <c r="W39" s="101"/>
      <c r="X39" s="101"/>
      <c r="Y39" s="251"/>
      <c r="Z39" s="253">
        <f>_xlfn.XLOOKUP(Y39,'Listas Desplegables (LD)'!$J$8:$J$12,'Listas Desplegables (LD)'!$K$8:$K$12, 0,1)</f>
        <v>0</v>
      </c>
      <c r="AA39" s="253"/>
      <c r="AB39" s="247">
        <f>Z39*AA39</f>
        <v>0</v>
      </c>
      <c r="AC39" s="249" t="str">
        <f>+IF(AB39&gt;=20,"IV",IF(OR(AND(AB39&gt;=9,AB39&lt;=16),AND(AA39=5,Z39=1)),"III",IF(OR(AND(AB39&lt;=9,AB39&gt;=6),AND(Z39=1,AA39=4),AND(Z39=4,AA39=1),AND(Z39=1,AA39=3)),"II",IF(OR(AB39=2,AB39=1,AND(AA39=1,Z39=3),AND(AA39=2,Z39=2)),"I"," "))))</f>
        <v xml:space="preserve"> </v>
      </c>
      <c r="AD39" s="103"/>
      <c r="AE39" s="104"/>
      <c r="AF39" s="105"/>
      <c r="AG39" s="105"/>
      <c r="AH39" s="106"/>
      <c r="AI39" s="105"/>
      <c r="AJ39" s="107"/>
      <c r="AK39" s="107"/>
      <c r="AL39" s="108"/>
      <c r="AM39" s="109"/>
    </row>
    <row r="40" spans="1:39" ht="43.2" customHeight="1" thickBot="1" x14ac:dyDescent="0.3">
      <c r="A40" s="283"/>
      <c r="B40" s="274"/>
      <c r="C40" s="274"/>
      <c r="D40" s="285"/>
      <c r="E40" s="287"/>
      <c r="F40" s="287"/>
      <c r="G40" s="274"/>
      <c r="H40" s="274"/>
      <c r="I40" s="281"/>
      <c r="J40" s="252"/>
      <c r="K40" s="254"/>
      <c r="L40" s="254"/>
      <c r="M40" s="248"/>
      <c r="N40" s="250"/>
      <c r="O40" s="111"/>
      <c r="P40" s="112"/>
      <c r="Q40" s="113"/>
      <c r="R40" s="110"/>
      <c r="S40" s="252"/>
      <c r="T40" s="114"/>
      <c r="U40" s="114"/>
      <c r="V40" s="114">
        <f>+U40*S39</f>
        <v>0</v>
      </c>
      <c r="W40" s="113"/>
      <c r="X40" s="113"/>
      <c r="Y40" s="252"/>
      <c r="Z40" s="254"/>
      <c r="AA40" s="254"/>
      <c r="AB40" s="248"/>
      <c r="AC40" s="250"/>
      <c r="AD40" s="115"/>
      <c r="AE40" s="116"/>
      <c r="AF40" s="117"/>
      <c r="AG40" s="117"/>
      <c r="AH40" s="118"/>
      <c r="AI40" s="117"/>
      <c r="AJ40" s="119"/>
      <c r="AK40" s="119"/>
      <c r="AL40" s="120"/>
      <c r="AM40" s="121"/>
    </row>
    <row r="41" spans="1:39" ht="43.8" customHeight="1" thickBot="1" x14ac:dyDescent="0.3">
      <c r="A41" s="270" t="s">
        <v>333</v>
      </c>
      <c r="B41" s="272"/>
      <c r="C41" s="272"/>
      <c r="D41" s="275" t="s">
        <v>267</v>
      </c>
      <c r="E41" s="277" t="s">
        <v>270</v>
      </c>
      <c r="F41" s="277" t="s">
        <v>278</v>
      </c>
      <c r="G41" s="272"/>
      <c r="H41" s="272"/>
      <c r="I41" s="279"/>
      <c r="J41" s="266"/>
      <c r="K41" s="268">
        <f>_xlfn.XLOOKUP(J41,'Listas Desplegables (LD)'!$J$8:$J$12,'Listas Desplegables (LD)'!$K$8:$K$12, 0,1)</f>
        <v>0</v>
      </c>
      <c r="L41" s="268"/>
      <c r="M41" s="255">
        <f>+K41*L41</f>
        <v>0</v>
      </c>
      <c r="N41" s="257" t="str">
        <f>+IF(M41&gt;=20,"IV",IF(OR(AND(M41&gt;=9,M41&lt;=16),AND(L41=5,K41=1)),"III",IF(OR(AND(M41&lt;=9,M41&gt;=6),AND(K41=1,L41=4),AND(K41=4,L41=1),AND(K41=1,L41=3)),"II",IF(OR(M41=2,M41=1,AND(L41=1,K41=3),AND(L41=2,K41=2)),"I"," "))))</f>
        <v xml:space="preserve"> </v>
      </c>
      <c r="O41" s="70"/>
      <c r="P41" s="71"/>
      <c r="Q41" s="72"/>
      <c r="R41" s="69"/>
      <c r="S41" s="266">
        <f>+J41</f>
        <v>0</v>
      </c>
      <c r="T41" s="73"/>
      <c r="U41" s="73"/>
      <c r="V41" s="73">
        <f>+U41*S41</f>
        <v>0</v>
      </c>
      <c r="W41" s="72"/>
      <c r="X41" s="72"/>
      <c r="Y41" s="266"/>
      <c r="Z41" s="268">
        <f>_xlfn.XLOOKUP(Y41,'Listas Desplegables (LD)'!$J$8:$J$12,'Listas Desplegables (LD)'!$K$8:$K$12, 0,1)</f>
        <v>0</v>
      </c>
      <c r="AA41" s="268"/>
      <c r="AB41" s="255">
        <f>Z41*AA41</f>
        <v>0</v>
      </c>
      <c r="AC41" s="257" t="str">
        <f>+IF(AB41&gt;=20,"IV",IF(OR(AND(AB41&gt;=9,AB41&lt;=16),AND(AA41=5,Z41=1)),"III",IF(OR(AND(AB41&lt;=9,AB41&gt;=6),AND(Z41=1,AA41=4),AND(Z41=4,AA41=1),AND(Z41=1,AA41=3)),"II",IF(OR(AB41=2,AB41=1,AND(AA41=1,Z41=3),AND(AA41=2,Z41=2)),"I"," "))))</f>
        <v xml:space="preserve"> </v>
      </c>
      <c r="AD41" s="74"/>
      <c r="AE41" s="75"/>
      <c r="AF41" s="70"/>
      <c r="AG41" s="70"/>
      <c r="AH41" s="76"/>
      <c r="AI41" s="70"/>
      <c r="AJ41" s="77"/>
      <c r="AK41" s="77"/>
      <c r="AL41" s="78"/>
      <c r="AM41" s="79"/>
    </row>
    <row r="42" spans="1:39" ht="43.8" customHeight="1" thickBot="1" x14ac:dyDescent="0.3">
      <c r="A42" s="271"/>
      <c r="B42" s="273"/>
      <c r="C42" s="273"/>
      <c r="D42" s="276"/>
      <c r="E42" s="278"/>
      <c r="F42" s="278"/>
      <c r="G42" s="273"/>
      <c r="H42" s="273"/>
      <c r="I42" s="280"/>
      <c r="J42" s="267"/>
      <c r="K42" s="269"/>
      <c r="L42" s="269"/>
      <c r="M42" s="256"/>
      <c r="N42" s="258"/>
      <c r="O42" s="81"/>
      <c r="P42" s="82"/>
      <c r="Q42" s="83"/>
      <c r="R42" s="80"/>
      <c r="S42" s="267"/>
      <c r="T42" s="84"/>
      <c r="U42" s="84"/>
      <c r="V42" s="84">
        <f>+U42*S41</f>
        <v>0</v>
      </c>
      <c r="W42" s="83"/>
      <c r="X42" s="83"/>
      <c r="Y42" s="267"/>
      <c r="Z42" s="269"/>
      <c r="AA42" s="269"/>
      <c r="AB42" s="256"/>
      <c r="AC42" s="258"/>
      <c r="AD42" s="85"/>
      <c r="AE42" s="75"/>
      <c r="AF42" s="70"/>
      <c r="AG42" s="70"/>
      <c r="AH42" s="76"/>
      <c r="AI42" s="70"/>
      <c r="AJ42" s="77"/>
      <c r="AK42" s="77"/>
      <c r="AL42" s="78"/>
      <c r="AM42" s="79"/>
    </row>
    <row r="43" spans="1:39" ht="45" customHeight="1" thickBot="1" x14ac:dyDescent="0.3">
      <c r="A43" s="259" t="s">
        <v>334</v>
      </c>
      <c r="B43" s="273"/>
      <c r="C43" s="273"/>
      <c r="D43" s="260" t="s">
        <v>268</v>
      </c>
      <c r="E43" s="261" t="s">
        <v>271</v>
      </c>
      <c r="F43" s="261" t="s">
        <v>279</v>
      </c>
      <c r="G43" s="273"/>
      <c r="H43" s="273"/>
      <c r="I43" s="280"/>
      <c r="J43" s="262"/>
      <c r="K43" s="263">
        <f>_xlfn.XLOOKUP(J43,'Listas Desplegables (LD)'!$J$8:$J$12,'Listas Desplegables (LD)'!$K$8:$K$12, 0,1)</f>
        <v>0</v>
      </c>
      <c r="L43" s="263"/>
      <c r="M43" s="264">
        <f>+K43*L43</f>
        <v>0</v>
      </c>
      <c r="N43" s="265" t="str">
        <f>+IF(M43&gt;=20,"IV",IF(OR(AND(M43&gt;=9,M43&lt;=16),AND(L43=5,K43=1)),"III",IF(OR(AND(M43&lt;=9,M43&gt;=6),AND(K43=1,L43=4),AND(K43=4,L43=1),AND(K43=1,L43=3)),"II",IF(OR(M43=2,M43=1,AND(L43=1,K43=3),AND(L43=2,K43=2)),"I"," "))))</f>
        <v xml:space="preserve"> </v>
      </c>
      <c r="O43" s="87"/>
      <c r="P43" s="88"/>
      <c r="Q43" s="89"/>
      <c r="R43" s="86"/>
      <c r="S43" s="262">
        <f>+J43</f>
        <v>0</v>
      </c>
      <c r="T43" s="90"/>
      <c r="U43" s="90"/>
      <c r="V43" s="90">
        <f>+U43*S43</f>
        <v>0</v>
      </c>
      <c r="W43" s="89"/>
      <c r="X43" s="89"/>
      <c r="Y43" s="262"/>
      <c r="Z43" s="263">
        <f>_xlfn.XLOOKUP(Y43,'Listas Desplegables (LD)'!$J$8:$J$12,'Listas Desplegables (LD)'!$K$8:$K$12, 0,1)</f>
        <v>0</v>
      </c>
      <c r="AA43" s="263"/>
      <c r="AB43" s="264">
        <f>Z43*AA43</f>
        <v>0</v>
      </c>
      <c r="AC43" s="265" t="str">
        <f>+IF(AB43&gt;=20,"IV",IF(OR(AND(AB43&gt;=9,AB43&lt;=16),AND(AA43=5,Z43=1)),"III",IF(OR(AND(AB43&lt;=9,AB43&gt;=6),AND(Z43=1,AA43=4),AND(Z43=4,AA43=1),AND(Z43=1,AA43=3)),"II",IF(OR(AB43=2,AB43=1,AND(AA43=1,Z43=3),AND(AA43=2,Z43=2)),"I"," "))))</f>
        <v xml:space="preserve"> </v>
      </c>
      <c r="AD43" s="91"/>
      <c r="AE43" s="92"/>
      <c r="AF43" s="93"/>
      <c r="AG43" s="93"/>
      <c r="AH43" s="94"/>
      <c r="AI43" s="93"/>
      <c r="AJ43" s="95"/>
      <c r="AK43" s="95"/>
      <c r="AL43" s="96"/>
      <c r="AM43" s="97"/>
    </row>
    <row r="44" spans="1:39" ht="45" customHeight="1" thickBot="1" x14ac:dyDescent="0.3">
      <c r="A44" s="259"/>
      <c r="B44" s="273"/>
      <c r="C44" s="273"/>
      <c r="D44" s="260"/>
      <c r="E44" s="261"/>
      <c r="F44" s="261"/>
      <c r="G44" s="273"/>
      <c r="H44" s="273"/>
      <c r="I44" s="280"/>
      <c r="J44" s="262"/>
      <c r="K44" s="263"/>
      <c r="L44" s="263"/>
      <c r="M44" s="264"/>
      <c r="N44" s="265"/>
      <c r="O44" s="87"/>
      <c r="P44" s="88"/>
      <c r="Q44" s="89"/>
      <c r="R44" s="86"/>
      <c r="S44" s="262"/>
      <c r="T44" s="90"/>
      <c r="U44" s="90"/>
      <c r="V44" s="90">
        <f>+U44*S43</f>
        <v>0</v>
      </c>
      <c r="W44" s="89"/>
      <c r="X44" s="89"/>
      <c r="Y44" s="262"/>
      <c r="Z44" s="263"/>
      <c r="AA44" s="263"/>
      <c r="AB44" s="264"/>
      <c r="AC44" s="265"/>
      <c r="AD44" s="91"/>
      <c r="AE44" s="92"/>
      <c r="AF44" s="93"/>
      <c r="AG44" s="93"/>
      <c r="AH44" s="94"/>
      <c r="AI44" s="93"/>
      <c r="AJ44" s="95"/>
      <c r="AK44" s="95"/>
      <c r="AL44" s="96"/>
      <c r="AM44" s="97"/>
    </row>
    <row r="45" spans="1:39" ht="43.2" customHeight="1" thickBot="1" x14ac:dyDescent="0.3">
      <c r="A45" s="282" t="s">
        <v>335</v>
      </c>
      <c r="B45" s="273"/>
      <c r="C45" s="273"/>
      <c r="D45" s="284" t="s">
        <v>269</v>
      </c>
      <c r="E45" s="286" t="s">
        <v>272</v>
      </c>
      <c r="F45" s="286" t="s">
        <v>280</v>
      </c>
      <c r="G45" s="273"/>
      <c r="H45" s="273"/>
      <c r="I45" s="280"/>
      <c r="J45" s="251"/>
      <c r="K45" s="253">
        <f>_xlfn.XLOOKUP(J45,'Listas Desplegables (LD)'!$J$8:$J$12,'Listas Desplegables (LD)'!$K$8:$K$12, 0,1)</f>
        <v>0</v>
      </c>
      <c r="L45" s="253"/>
      <c r="M45" s="247">
        <f>+K45*L45</f>
        <v>0</v>
      </c>
      <c r="N45" s="249" t="str">
        <f>+IF(M45&gt;=20,"IV",IF(OR(AND(M45&gt;=9,M45&lt;=16),AND(L45=5,K45=1)),"III",IF(OR(AND(M45&lt;=9,M45&gt;=6),AND(K45=1,L45=4),AND(K45=4,L45=1),AND(K45=1,L45=3)),"II",IF(OR(M45=2,M45=1,AND(L45=1,K45=3),AND(L45=2,K45=2)),"I"," "))))</f>
        <v xml:space="preserve"> </v>
      </c>
      <c r="O45" s="99"/>
      <c r="P45" s="100"/>
      <c r="Q45" s="101"/>
      <c r="R45" s="98"/>
      <c r="S45" s="251">
        <f>+J45</f>
        <v>0</v>
      </c>
      <c r="T45" s="102"/>
      <c r="U45" s="102"/>
      <c r="V45" s="102">
        <f>+U45*S45</f>
        <v>0</v>
      </c>
      <c r="W45" s="101"/>
      <c r="X45" s="101"/>
      <c r="Y45" s="251"/>
      <c r="Z45" s="253">
        <f>_xlfn.XLOOKUP(Y45,'Listas Desplegables (LD)'!$J$8:$J$12,'Listas Desplegables (LD)'!$K$8:$K$12, 0,1)</f>
        <v>0</v>
      </c>
      <c r="AA45" s="253"/>
      <c r="AB45" s="247">
        <f>Z45*AA45</f>
        <v>0</v>
      </c>
      <c r="AC45" s="249" t="str">
        <f>+IF(AB45&gt;=20,"IV",IF(OR(AND(AB45&gt;=9,AB45&lt;=16),AND(AA45=5,Z45=1)),"III",IF(OR(AND(AB45&lt;=9,AB45&gt;=6),AND(Z45=1,AA45=4),AND(Z45=4,AA45=1),AND(Z45=1,AA45=3)),"II",IF(OR(AB45=2,AB45=1,AND(AA45=1,Z45=3),AND(AA45=2,Z45=2)),"I"," "))))</f>
        <v xml:space="preserve"> </v>
      </c>
      <c r="AD45" s="103"/>
      <c r="AE45" s="104"/>
      <c r="AF45" s="105"/>
      <c r="AG45" s="105"/>
      <c r="AH45" s="106"/>
      <c r="AI45" s="105"/>
      <c r="AJ45" s="107"/>
      <c r="AK45" s="107"/>
      <c r="AL45" s="108"/>
      <c r="AM45" s="109"/>
    </row>
    <row r="46" spans="1:39" ht="43.2" customHeight="1" thickBot="1" x14ac:dyDescent="0.3">
      <c r="A46" s="283"/>
      <c r="B46" s="274"/>
      <c r="C46" s="274"/>
      <c r="D46" s="285"/>
      <c r="E46" s="287"/>
      <c r="F46" s="287"/>
      <c r="G46" s="274"/>
      <c r="H46" s="274"/>
      <c r="I46" s="281"/>
      <c r="J46" s="252"/>
      <c r="K46" s="254"/>
      <c r="L46" s="254"/>
      <c r="M46" s="248"/>
      <c r="N46" s="250"/>
      <c r="O46" s="111"/>
      <c r="P46" s="112"/>
      <c r="Q46" s="113"/>
      <c r="R46" s="110"/>
      <c r="S46" s="252"/>
      <c r="T46" s="114"/>
      <c r="U46" s="114"/>
      <c r="V46" s="114">
        <f>+U46*S45</f>
        <v>0</v>
      </c>
      <c r="W46" s="113"/>
      <c r="X46" s="113"/>
      <c r="Y46" s="252"/>
      <c r="Z46" s="254"/>
      <c r="AA46" s="254"/>
      <c r="AB46" s="248"/>
      <c r="AC46" s="250"/>
      <c r="AD46" s="115"/>
      <c r="AE46" s="116"/>
      <c r="AF46" s="117"/>
      <c r="AG46" s="117"/>
      <c r="AH46" s="118"/>
      <c r="AI46" s="117"/>
      <c r="AJ46" s="119"/>
      <c r="AK46" s="119"/>
      <c r="AL46" s="120"/>
      <c r="AM46" s="121"/>
    </row>
    <row r="47" spans="1:39" ht="43.8" customHeight="1" thickBot="1" x14ac:dyDescent="0.3">
      <c r="A47" s="270" t="s">
        <v>336</v>
      </c>
      <c r="B47" s="272"/>
      <c r="C47" s="272"/>
      <c r="D47" s="275" t="s">
        <v>267</v>
      </c>
      <c r="E47" s="277" t="s">
        <v>270</v>
      </c>
      <c r="F47" s="277" t="s">
        <v>278</v>
      </c>
      <c r="G47" s="272"/>
      <c r="H47" s="272"/>
      <c r="I47" s="279"/>
      <c r="J47" s="266"/>
      <c r="K47" s="268">
        <f>_xlfn.XLOOKUP(J47,'Listas Desplegables (LD)'!$J$8:$J$12,'Listas Desplegables (LD)'!$K$8:$K$12, 0,1)</f>
        <v>0</v>
      </c>
      <c r="L47" s="268"/>
      <c r="M47" s="255">
        <f>+K47*L47</f>
        <v>0</v>
      </c>
      <c r="N47" s="257" t="str">
        <f>+IF(M47&gt;=20,"IV",IF(OR(AND(M47&gt;=9,M47&lt;=16),AND(L47=5,K47=1)),"III",IF(OR(AND(M47&lt;=9,M47&gt;=6),AND(K47=1,L47=4),AND(K47=4,L47=1),AND(K47=1,L47=3)),"II",IF(OR(M47=2,M47=1,AND(L47=1,K47=3),AND(L47=2,K47=2)),"I"," "))))</f>
        <v xml:space="preserve"> </v>
      </c>
      <c r="O47" s="70"/>
      <c r="P47" s="71"/>
      <c r="Q47" s="72"/>
      <c r="R47" s="69"/>
      <c r="S47" s="266">
        <f>+J47</f>
        <v>0</v>
      </c>
      <c r="T47" s="73"/>
      <c r="U47" s="73"/>
      <c r="V47" s="73">
        <f>+U47*S47</f>
        <v>0</v>
      </c>
      <c r="W47" s="72"/>
      <c r="X47" s="72"/>
      <c r="Y47" s="266"/>
      <c r="Z47" s="268">
        <f>_xlfn.XLOOKUP(Y47,'Listas Desplegables (LD)'!$J$8:$J$12,'Listas Desplegables (LD)'!$K$8:$K$12, 0,1)</f>
        <v>0</v>
      </c>
      <c r="AA47" s="268"/>
      <c r="AB47" s="255">
        <f>Z47*AA47</f>
        <v>0</v>
      </c>
      <c r="AC47" s="257" t="str">
        <f>+IF(AB47&gt;=20,"IV",IF(OR(AND(AB47&gt;=9,AB47&lt;=16),AND(AA47=5,Z47=1)),"III",IF(OR(AND(AB47&lt;=9,AB47&gt;=6),AND(Z47=1,AA47=4),AND(Z47=4,AA47=1),AND(Z47=1,AA47=3)),"II",IF(OR(AB47=2,AB47=1,AND(AA47=1,Z47=3),AND(AA47=2,Z47=2)),"I"," "))))</f>
        <v xml:space="preserve"> </v>
      </c>
      <c r="AD47" s="74"/>
      <c r="AE47" s="75"/>
      <c r="AF47" s="70"/>
      <c r="AG47" s="70"/>
      <c r="AH47" s="76"/>
      <c r="AI47" s="70"/>
      <c r="AJ47" s="77"/>
      <c r="AK47" s="77"/>
      <c r="AL47" s="78"/>
      <c r="AM47" s="79"/>
    </row>
    <row r="48" spans="1:39" ht="43.8" customHeight="1" thickBot="1" x14ac:dyDescent="0.3">
      <c r="A48" s="271"/>
      <c r="B48" s="273"/>
      <c r="C48" s="273"/>
      <c r="D48" s="276"/>
      <c r="E48" s="278"/>
      <c r="F48" s="278"/>
      <c r="G48" s="273"/>
      <c r="H48" s="273"/>
      <c r="I48" s="280"/>
      <c r="J48" s="267"/>
      <c r="K48" s="269"/>
      <c r="L48" s="269"/>
      <c r="M48" s="256"/>
      <c r="N48" s="258"/>
      <c r="O48" s="81"/>
      <c r="P48" s="82"/>
      <c r="Q48" s="83"/>
      <c r="R48" s="80"/>
      <c r="S48" s="267"/>
      <c r="T48" s="84"/>
      <c r="U48" s="84"/>
      <c r="V48" s="84">
        <f>+U48*S47</f>
        <v>0</v>
      </c>
      <c r="W48" s="83"/>
      <c r="X48" s="83"/>
      <c r="Y48" s="267"/>
      <c r="Z48" s="269"/>
      <c r="AA48" s="269"/>
      <c r="AB48" s="256"/>
      <c r="AC48" s="258"/>
      <c r="AD48" s="85"/>
      <c r="AE48" s="75"/>
      <c r="AF48" s="70"/>
      <c r="AG48" s="70"/>
      <c r="AH48" s="76"/>
      <c r="AI48" s="70"/>
      <c r="AJ48" s="77"/>
      <c r="AK48" s="77"/>
      <c r="AL48" s="78"/>
      <c r="AM48" s="79"/>
    </row>
    <row r="49" spans="1:39" ht="45" customHeight="1" thickBot="1" x14ac:dyDescent="0.3">
      <c r="A49" s="259" t="s">
        <v>337</v>
      </c>
      <c r="B49" s="273"/>
      <c r="C49" s="273"/>
      <c r="D49" s="260" t="s">
        <v>268</v>
      </c>
      <c r="E49" s="261" t="s">
        <v>271</v>
      </c>
      <c r="F49" s="261" t="s">
        <v>279</v>
      </c>
      <c r="G49" s="273"/>
      <c r="H49" s="273"/>
      <c r="I49" s="280"/>
      <c r="J49" s="262"/>
      <c r="K49" s="263">
        <f>_xlfn.XLOOKUP(J49,'Listas Desplegables (LD)'!$J$8:$J$12,'Listas Desplegables (LD)'!$K$8:$K$12, 0,1)</f>
        <v>0</v>
      </c>
      <c r="L49" s="263"/>
      <c r="M49" s="264">
        <f>+K49*L49</f>
        <v>0</v>
      </c>
      <c r="N49" s="265" t="str">
        <f>+IF(M49&gt;=20,"IV",IF(OR(AND(M49&gt;=9,M49&lt;=16),AND(L49=5,K49=1)),"III",IF(OR(AND(M49&lt;=9,M49&gt;=6),AND(K49=1,L49=4),AND(K49=4,L49=1),AND(K49=1,L49=3)),"II",IF(OR(M49=2,M49=1,AND(L49=1,K49=3),AND(L49=2,K49=2)),"I"," "))))</f>
        <v xml:space="preserve"> </v>
      </c>
      <c r="O49" s="87"/>
      <c r="P49" s="88"/>
      <c r="Q49" s="89"/>
      <c r="R49" s="86"/>
      <c r="S49" s="262">
        <f>+J49</f>
        <v>0</v>
      </c>
      <c r="T49" s="90"/>
      <c r="U49" s="90"/>
      <c r="V49" s="90">
        <f>+U49*S49</f>
        <v>0</v>
      </c>
      <c r="W49" s="89"/>
      <c r="X49" s="89"/>
      <c r="Y49" s="262"/>
      <c r="Z49" s="263">
        <f>_xlfn.XLOOKUP(Y49,'Listas Desplegables (LD)'!$J$8:$J$12,'Listas Desplegables (LD)'!$K$8:$K$12, 0,1)</f>
        <v>0</v>
      </c>
      <c r="AA49" s="263"/>
      <c r="AB49" s="264">
        <f>Z49*AA49</f>
        <v>0</v>
      </c>
      <c r="AC49" s="265" t="str">
        <f>+IF(AB49&gt;=20,"IV",IF(OR(AND(AB49&gt;=9,AB49&lt;=16),AND(AA49=5,Z49=1)),"III",IF(OR(AND(AB49&lt;=9,AB49&gt;=6),AND(Z49=1,AA49=4),AND(Z49=4,AA49=1),AND(Z49=1,AA49=3)),"II",IF(OR(AB49=2,AB49=1,AND(AA49=1,Z49=3),AND(AA49=2,Z49=2)),"I"," "))))</f>
        <v xml:space="preserve"> </v>
      </c>
      <c r="AD49" s="91"/>
      <c r="AE49" s="92"/>
      <c r="AF49" s="93"/>
      <c r="AG49" s="93"/>
      <c r="AH49" s="94"/>
      <c r="AI49" s="93"/>
      <c r="AJ49" s="95"/>
      <c r="AK49" s="95"/>
      <c r="AL49" s="96"/>
      <c r="AM49" s="97"/>
    </row>
    <row r="50" spans="1:39" ht="45" customHeight="1" thickBot="1" x14ac:dyDescent="0.3">
      <c r="A50" s="259"/>
      <c r="B50" s="273"/>
      <c r="C50" s="273"/>
      <c r="D50" s="260"/>
      <c r="E50" s="261"/>
      <c r="F50" s="261"/>
      <c r="G50" s="273"/>
      <c r="H50" s="273"/>
      <c r="I50" s="280"/>
      <c r="J50" s="262"/>
      <c r="K50" s="263"/>
      <c r="L50" s="263"/>
      <c r="M50" s="264"/>
      <c r="N50" s="265"/>
      <c r="O50" s="87"/>
      <c r="P50" s="88"/>
      <c r="Q50" s="89"/>
      <c r="R50" s="86"/>
      <c r="S50" s="262"/>
      <c r="T50" s="90"/>
      <c r="U50" s="90"/>
      <c r="V50" s="90">
        <f>+U50*S49</f>
        <v>0</v>
      </c>
      <c r="W50" s="89"/>
      <c r="X50" s="89"/>
      <c r="Y50" s="262"/>
      <c r="Z50" s="263"/>
      <c r="AA50" s="263"/>
      <c r="AB50" s="264"/>
      <c r="AC50" s="265"/>
      <c r="AD50" s="91"/>
      <c r="AE50" s="92"/>
      <c r="AF50" s="93"/>
      <c r="AG50" s="93"/>
      <c r="AH50" s="94"/>
      <c r="AI50" s="93"/>
      <c r="AJ50" s="95"/>
      <c r="AK50" s="95"/>
      <c r="AL50" s="96"/>
      <c r="AM50" s="97"/>
    </row>
    <row r="51" spans="1:39" ht="43.2" customHeight="1" thickBot="1" x14ac:dyDescent="0.3">
      <c r="A51" s="282" t="s">
        <v>338</v>
      </c>
      <c r="B51" s="273"/>
      <c r="C51" s="273"/>
      <c r="D51" s="284" t="s">
        <v>269</v>
      </c>
      <c r="E51" s="286" t="s">
        <v>272</v>
      </c>
      <c r="F51" s="286" t="s">
        <v>280</v>
      </c>
      <c r="G51" s="273"/>
      <c r="H51" s="273"/>
      <c r="I51" s="280"/>
      <c r="J51" s="251"/>
      <c r="K51" s="253">
        <f>_xlfn.XLOOKUP(J51,'Listas Desplegables (LD)'!$J$8:$J$12,'Listas Desplegables (LD)'!$K$8:$K$12, 0,1)</f>
        <v>0</v>
      </c>
      <c r="L51" s="253"/>
      <c r="M51" s="247">
        <f>+K51*L51</f>
        <v>0</v>
      </c>
      <c r="N51" s="249" t="str">
        <f>+IF(M51&gt;=20,"IV",IF(OR(AND(M51&gt;=9,M51&lt;=16),AND(L51=5,K51=1)),"III",IF(OR(AND(M51&lt;=9,M51&gt;=6),AND(K51=1,L51=4),AND(K51=4,L51=1),AND(K51=1,L51=3)),"II",IF(OR(M51=2,M51=1,AND(L51=1,K51=3),AND(L51=2,K51=2)),"I"," "))))</f>
        <v xml:space="preserve"> </v>
      </c>
      <c r="O51" s="99"/>
      <c r="P51" s="100"/>
      <c r="Q51" s="101"/>
      <c r="R51" s="98"/>
      <c r="S51" s="251">
        <f>+J51</f>
        <v>0</v>
      </c>
      <c r="T51" s="102"/>
      <c r="U51" s="102"/>
      <c r="V51" s="102">
        <f>+U51*S51</f>
        <v>0</v>
      </c>
      <c r="W51" s="101"/>
      <c r="X51" s="101"/>
      <c r="Y51" s="251"/>
      <c r="Z51" s="253">
        <f>_xlfn.XLOOKUP(Y51,'Listas Desplegables (LD)'!$J$8:$J$12,'Listas Desplegables (LD)'!$K$8:$K$12, 0,1)</f>
        <v>0</v>
      </c>
      <c r="AA51" s="253"/>
      <c r="AB51" s="247">
        <f>Z51*AA51</f>
        <v>0</v>
      </c>
      <c r="AC51" s="249" t="str">
        <f>+IF(AB51&gt;=20,"IV",IF(OR(AND(AB51&gt;=9,AB51&lt;=16),AND(AA51=5,Z51=1)),"III",IF(OR(AND(AB51&lt;=9,AB51&gt;=6),AND(Z51=1,AA51=4),AND(Z51=4,AA51=1),AND(Z51=1,AA51=3)),"II",IF(OR(AB51=2,AB51=1,AND(AA51=1,Z51=3),AND(AA51=2,Z51=2)),"I"," "))))</f>
        <v xml:space="preserve"> </v>
      </c>
      <c r="AD51" s="103"/>
      <c r="AE51" s="104"/>
      <c r="AF51" s="105"/>
      <c r="AG51" s="105"/>
      <c r="AH51" s="106"/>
      <c r="AI51" s="105"/>
      <c r="AJ51" s="107"/>
      <c r="AK51" s="107"/>
      <c r="AL51" s="108"/>
      <c r="AM51" s="109"/>
    </row>
    <row r="52" spans="1:39" ht="43.2" customHeight="1" thickBot="1" x14ac:dyDescent="0.3">
      <c r="A52" s="283"/>
      <c r="B52" s="274"/>
      <c r="C52" s="274"/>
      <c r="D52" s="285"/>
      <c r="E52" s="287"/>
      <c r="F52" s="287"/>
      <c r="G52" s="274"/>
      <c r="H52" s="274"/>
      <c r="I52" s="281"/>
      <c r="J52" s="252"/>
      <c r="K52" s="254"/>
      <c r="L52" s="254"/>
      <c r="M52" s="248"/>
      <c r="N52" s="250"/>
      <c r="O52" s="111"/>
      <c r="P52" s="112"/>
      <c r="Q52" s="113"/>
      <c r="R52" s="110"/>
      <c r="S52" s="252"/>
      <c r="T52" s="114"/>
      <c r="U52" s="114"/>
      <c r="V52" s="114">
        <f>+U52*S51</f>
        <v>0</v>
      </c>
      <c r="W52" s="113"/>
      <c r="X52" s="113"/>
      <c r="Y52" s="252"/>
      <c r="Z52" s="254"/>
      <c r="AA52" s="254"/>
      <c r="AB52" s="248"/>
      <c r="AC52" s="250"/>
      <c r="AD52" s="115"/>
      <c r="AE52" s="116"/>
      <c r="AF52" s="117"/>
      <c r="AG52" s="117"/>
      <c r="AH52" s="118"/>
      <c r="AI52" s="117"/>
      <c r="AJ52" s="119"/>
      <c r="AK52" s="119"/>
      <c r="AL52" s="120"/>
      <c r="AM52" s="121"/>
    </row>
    <row r="53" spans="1:39" ht="43.8" customHeight="1" thickBot="1" x14ac:dyDescent="0.3">
      <c r="A53" s="270" t="s">
        <v>339</v>
      </c>
      <c r="B53" s="272"/>
      <c r="C53" s="272"/>
      <c r="D53" s="275" t="s">
        <v>267</v>
      </c>
      <c r="E53" s="277" t="s">
        <v>270</v>
      </c>
      <c r="F53" s="277" t="s">
        <v>278</v>
      </c>
      <c r="G53" s="272"/>
      <c r="H53" s="272"/>
      <c r="I53" s="279"/>
      <c r="J53" s="266"/>
      <c r="K53" s="268">
        <f>_xlfn.XLOOKUP(J53,'Listas Desplegables (LD)'!$J$8:$J$12,'Listas Desplegables (LD)'!$K$8:$K$12, 0,1)</f>
        <v>0</v>
      </c>
      <c r="L53" s="268"/>
      <c r="M53" s="255">
        <f>+K53*L53</f>
        <v>0</v>
      </c>
      <c r="N53" s="257" t="str">
        <f>+IF(M53&gt;=20,"IV",IF(OR(AND(M53&gt;=9,M53&lt;=16),AND(L53=5,K53=1)),"III",IF(OR(AND(M53&lt;=9,M53&gt;=6),AND(K53=1,L53=4),AND(K53=4,L53=1),AND(K53=1,L53=3)),"II",IF(OR(M53=2,M53=1,AND(L53=1,K53=3),AND(L53=2,K53=2)),"I"," "))))</f>
        <v xml:space="preserve"> </v>
      </c>
      <c r="O53" s="70"/>
      <c r="P53" s="71"/>
      <c r="Q53" s="72"/>
      <c r="R53" s="69"/>
      <c r="S53" s="266">
        <f>+J53</f>
        <v>0</v>
      </c>
      <c r="T53" s="73"/>
      <c r="U53" s="73"/>
      <c r="V53" s="73">
        <f>+U53*S53</f>
        <v>0</v>
      </c>
      <c r="W53" s="72"/>
      <c r="X53" s="72"/>
      <c r="Y53" s="266"/>
      <c r="Z53" s="268">
        <f>_xlfn.XLOOKUP(Y53,'Listas Desplegables (LD)'!$J$8:$J$12,'Listas Desplegables (LD)'!$K$8:$K$12, 0,1)</f>
        <v>0</v>
      </c>
      <c r="AA53" s="268"/>
      <c r="AB53" s="255">
        <f>Z53*AA53</f>
        <v>0</v>
      </c>
      <c r="AC53" s="257" t="str">
        <f>+IF(AB53&gt;=20,"IV",IF(OR(AND(AB53&gt;=9,AB53&lt;=16),AND(AA53=5,Z53=1)),"III",IF(OR(AND(AB53&lt;=9,AB53&gt;=6),AND(Z53=1,AA53=4),AND(Z53=4,AA53=1),AND(Z53=1,AA53=3)),"II",IF(OR(AB53=2,AB53=1,AND(AA53=1,Z53=3),AND(AA53=2,Z53=2)),"I"," "))))</f>
        <v xml:space="preserve"> </v>
      </c>
      <c r="AD53" s="74"/>
      <c r="AE53" s="75"/>
      <c r="AF53" s="70"/>
      <c r="AG53" s="70"/>
      <c r="AH53" s="76"/>
      <c r="AI53" s="70"/>
      <c r="AJ53" s="77"/>
      <c r="AK53" s="77"/>
      <c r="AL53" s="78"/>
      <c r="AM53" s="79"/>
    </row>
    <row r="54" spans="1:39" ht="43.8" customHeight="1" thickBot="1" x14ac:dyDescent="0.3">
      <c r="A54" s="271"/>
      <c r="B54" s="273"/>
      <c r="C54" s="273"/>
      <c r="D54" s="276"/>
      <c r="E54" s="278"/>
      <c r="F54" s="278"/>
      <c r="G54" s="273"/>
      <c r="H54" s="273"/>
      <c r="I54" s="280"/>
      <c r="J54" s="267"/>
      <c r="K54" s="269"/>
      <c r="L54" s="269"/>
      <c r="M54" s="256"/>
      <c r="N54" s="258"/>
      <c r="O54" s="81"/>
      <c r="P54" s="82"/>
      <c r="Q54" s="83"/>
      <c r="R54" s="80"/>
      <c r="S54" s="267"/>
      <c r="T54" s="84"/>
      <c r="U54" s="84"/>
      <c r="V54" s="84">
        <f>+U54*S53</f>
        <v>0</v>
      </c>
      <c r="W54" s="83"/>
      <c r="X54" s="83"/>
      <c r="Y54" s="267"/>
      <c r="Z54" s="269"/>
      <c r="AA54" s="269"/>
      <c r="AB54" s="256"/>
      <c r="AC54" s="258"/>
      <c r="AD54" s="85"/>
      <c r="AE54" s="75"/>
      <c r="AF54" s="70"/>
      <c r="AG54" s="70"/>
      <c r="AH54" s="76"/>
      <c r="AI54" s="70"/>
      <c r="AJ54" s="77"/>
      <c r="AK54" s="77"/>
      <c r="AL54" s="78"/>
      <c r="AM54" s="79"/>
    </row>
    <row r="55" spans="1:39" ht="45" customHeight="1" thickBot="1" x14ac:dyDescent="0.3">
      <c r="A55" s="259" t="s">
        <v>340</v>
      </c>
      <c r="B55" s="273"/>
      <c r="C55" s="273"/>
      <c r="D55" s="260" t="s">
        <v>268</v>
      </c>
      <c r="E55" s="261" t="s">
        <v>271</v>
      </c>
      <c r="F55" s="261" t="s">
        <v>279</v>
      </c>
      <c r="G55" s="273"/>
      <c r="H55" s="273"/>
      <c r="I55" s="280"/>
      <c r="J55" s="262"/>
      <c r="K55" s="263">
        <f>_xlfn.XLOOKUP(J55,'Listas Desplegables (LD)'!$J$8:$J$12,'Listas Desplegables (LD)'!$K$8:$K$12, 0,1)</f>
        <v>0</v>
      </c>
      <c r="L55" s="263"/>
      <c r="M55" s="264">
        <f>+K55*L55</f>
        <v>0</v>
      </c>
      <c r="N55" s="265" t="str">
        <f>+IF(M55&gt;=20,"IV",IF(OR(AND(M55&gt;=9,M55&lt;=16),AND(L55=5,K55=1)),"III",IF(OR(AND(M55&lt;=9,M55&gt;=6),AND(K55=1,L55=4),AND(K55=4,L55=1),AND(K55=1,L55=3)),"II",IF(OR(M55=2,M55=1,AND(L55=1,K55=3),AND(L55=2,K55=2)),"I"," "))))</f>
        <v xml:space="preserve"> </v>
      </c>
      <c r="O55" s="87"/>
      <c r="P55" s="88"/>
      <c r="Q55" s="89"/>
      <c r="R55" s="86"/>
      <c r="S55" s="262">
        <f>+J55</f>
        <v>0</v>
      </c>
      <c r="T55" s="90"/>
      <c r="U55" s="90"/>
      <c r="V55" s="90">
        <f>+U55*S55</f>
        <v>0</v>
      </c>
      <c r="W55" s="89"/>
      <c r="X55" s="89"/>
      <c r="Y55" s="262"/>
      <c r="Z55" s="263">
        <f>_xlfn.XLOOKUP(Y55,'Listas Desplegables (LD)'!$J$8:$J$12,'Listas Desplegables (LD)'!$K$8:$K$12, 0,1)</f>
        <v>0</v>
      </c>
      <c r="AA55" s="263"/>
      <c r="AB55" s="264">
        <f>Z55*AA55</f>
        <v>0</v>
      </c>
      <c r="AC55" s="265" t="str">
        <f>+IF(AB55&gt;=20,"IV",IF(OR(AND(AB55&gt;=9,AB55&lt;=16),AND(AA55=5,Z55=1)),"III",IF(OR(AND(AB55&lt;=9,AB55&gt;=6),AND(Z55=1,AA55=4),AND(Z55=4,AA55=1),AND(Z55=1,AA55=3)),"II",IF(OR(AB55=2,AB55=1,AND(AA55=1,Z55=3),AND(AA55=2,Z55=2)),"I"," "))))</f>
        <v xml:space="preserve"> </v>
      </c>
      <c r="AD55" s="91"/>
      <c r="AE55" s="92"/>
      <c r="AF55" s="93"/>
      <c r="AG55" s="93"/>
      <c r="AH55" s="94"/>
      <c r="AI55" s="93"/>
      <c r="AJ55" s="95"/>
      <c r="AK55" s="95"/>
      <c r="AL55" s="96"/>
      <c r="AM55" s="97"/>
    </row>
    <row r="56" spans="1:39" ht="45" customHeight="1" thickBot="1" x14ac:dyDescent="0.3">
      <c r="A56" s="259"/>
      <c r="B56" s="273"/>
      <c r="C56" s="273"/>
      <c r="D56" s="260"/>
      <c r="E56" s="261"/>
      <c r="F56" s="261"/>
      <c r="G56" s="273"/>
      <c r="H56" s="273"/>
      <c r="I56" s="280"/>
      <c r="J56" s="262"/>
      <c r="K56" s="263"/>
      <c r="L56" s="263"/>
      <c r="M56" s="264"/>
      <c r="N56" s="265"/>
      <c r="O56" s="87"/>
      <c r="P56" s="88"/>
      <c r="Q56" s="89"/>
      <c r="R56" s="86"/>
      <c r="S56" s="262"/>
      <c r="T56" s="90"/>
      <c r="U56" s="90"/>
      <c r="V56" s="90">
        <f>+U56*S55</f>
        <v>0</v>
      </c>
      <c r="W56" s="89"/>
      <c r="X56" s="89"/>
      <c r="Y56" s="262"/>
      <c r="Z56" s="263"/>
      <c r="AA56" s="263"/>
      <c r="AB56" s="264"/>
      <c r="AC56" s="265"/>
      <c r="AD56" s="91"/>
      <c r="AE56" s="92"/>
      <c r="AF56" s="93"/>
      <c r="AG56" s="93"/>
      <c r="AH56" s="94"/>
      <c r="AI56" s="93"/>
      <c r="AJ56" s="95"/>
      <c r="AK56" s="95"/>
      <c r="AL56" s="96"/>
      <c r="AM56" s="97"/>
    </row>
    <row r="57" spans="1:39" ht="43.2" customHeight="1" thickBot="1" x14ac:dyDescent="0.3">
      <c r="A57" s="282" t="s">
        <v>341</v>
      </c>
      <c r="B57" s="273"/>
      <c r="C57" s="273"/>
      <c r="D57" s="284" t="s">
        <v>269</v>
      </c>
      <c r="E57" s="286" t="s">
        <v>272</v>
      </c>
      <c r="F57" s="286" t="s">
        <v>280</v>
      </c>
      <c r="G57" s="273"/>
      <c r="H57" s="273"/>
      <c r="I57" s="280"/>
      <c r="J57" s="251"/>
      <c r="K57" s="253">
        <f>_xlfn.XLOOKUP(J57,'Listas Desplegables (LD)'!$J$8:$J$12,'Listas Desplegables (LD)'!$K$8:$K$12, 0,1)</f>
        <v>0</v>
      </c>
      <c r="L57" s="253"/>
      <c r="M57" s="247">
        <f>+K57*L57</f>
        <v>0</v>
      </c>
      <c r="N57" s="249" t="str">
        <f>+IF(M57&gt;=20,"IV",IF(OR(AND(M57&gt;=9,M57&lt;=16),AND(L57=5,K57=1)),"III",IF(OR(AND(M57&lt;=9,M57&gt;=6),AND(K57=1,L57=4),AND(K57=4,L57=1),AND(K57=1,L57=3)),"II",IF(OR(M57=2,M57=1,AND(L57=1,K57=3),AND(L57=2,K57=2)),"I"," "))))</f>
        <v xml:space="preserve"> </v>
      </c>
      <c r="O57" s="99"/>
      <c r="P57" s="100"/>
      <c r="Q57" s="101"/>
      <c r="R57" s="98"/>
      <c r="S57" s="251">
        <f>+J57</f>
        <v>0</v>
      </c>
      <c r="T57" s="102"/>
      <c r="U57" s="102"/>
      <c r="V57" s="102">
        <f>+U57*S57</f>
        <v>0</v>
      </c>
      <c r="W57" s="101"/>
      <c r="X57" s="101"/>
      <c r="Y57" s="251"/>
      <c r="Z57" s="253">
        <f>_xlfn.XLOOKUP(Y57,'Listas Desplegables (LD)'!$J$8:$J$12,'Listas Desplegables (LD)'!$K$8:$K$12, 0,1)</f>
        <v>0</v>
      </c>
      <c r="AA57" s="253"/>
      <c r="AB57" s="247">
        <f>Z57*AA57</f>
        <v>0</v>
      </c>
      <c r="AC57" s="249" t="str">
        <f>+IF(AB57&gt;=20,"IV",IF(OR(AND(AB57&gt;=9,AB57&lt;=16),AND(AA57=5,Z57=1)),"III",IF(OR(AND(AB57&lt;=9,AB57&gt;=6),AND(Z57=1,AA57=4),AND(Z57=4,AA57=1),AND(Z57=1,AA57=3)),"II",IF(OR(AB57=2,AB57=1,AND(AA57=1,Z57=3),AND(AA57=2,Z57=2)),"I"," "))))</f>
        <v xml:space="preserve"> </v>
      </c>
      <c r="AD57" s="103"/>
      <c r="AE57" s="104"/>
      <c r="AF57" s="105"/>
      <c r="AG57" s="105"/>
      <c r="AH57" s="106"/>
      <c r="AI57" s="105"/>
      <c r="AJ57" s="107"/>
      <c r="AK57" s="107"/>
      <c r="AL57" s="108"/>
      <c r="AM57" s="109"/>
    </row>
    <row r="58" spans="1:39" ht="43.2" customHeight="1" thickBot="1" x14ac:dyDescent="0.3">
      <c r="A58" s="283"/>
      <c r="B58" s="274"/>
      <c r="C58" s="274"/>
      <c r="D58" s="285"/>
      <c r="E58" s="287"/>
      <c r="F58" s="287"/>
      <c r="G58" s="274"/>
      <c r="H58" s="274"/>
      <c r="I58" s="281"/>
      <c r="J58" s="252"/>
      <c r="K58" s="254"/>
      <c r="L58" s="254"/>
      <c r="M58" s="248"/>
      <c r="N58" s="250"/>
      <c r="O58" s="111"/>
      <c r="P58" s="112"/>
      <c r="Q58" s="113"/>
      <c r="R58" s="110"/>
      <c r="S58" s="252"/>
      <c r="T58" s="114"/>
      <c r="U58" s="114"/>
      <c r="V58" s="114">
        <f>+U58*S57</f>
        <v>0</v>
      </c>
      <c r="W58" s="113"/>
      <c r="X58" s="113"/>
      <c r="Y58" s="252"/>
      <c r="Z58" s="254"/>
      <c r="AA58" s="254"/>
      <c r="AB58" s="248"/>
      <c r="AC58" s="250"/>
      <c r="AD58" s="115"/>
      <c r="AE58" s="116"/>
      <c r="AF58" s="117"/>
      <c r="AG58" s="117"/>
      <c r="AH58" s="118"/>
      <c r="AI58" s="117"/>
      <c r="AJ58" s="119"/>
      <c r="AK58" s="119"/>
      <c r="AL58" s="120"/>
      <c r="AM58" s="121"/>
    </row>
    <row r="59" spans="1:39" x14ac:dyDescent="0.25">
      <c r="T59" s="139">
        <f>SUM(T11:T58)</f>
        <v>0</v>
      </c>
      <c r="V59" s="139">
        <f>SUM(V11:V58)</f>
        <v>0</v>
      </c>
    </row>
    <row r="137" spans="2:2" x14ac:dyDescent="0.25">
      <c r="B137" s="7"/>
    </row>
    <row r="138" spans="2:2" x14ac:dyDescent="0.25">
      <c r="B138" s="17"/>
    </row>
    <row r="139" spans="2:2" x14ac:dyDescent="0.25">
      <c r="B139" s="17"/>
    </row>
    <row r="140" spans="2:2" x14ac:dyDescent="0.25">
      <c r="B140" s="17"/>
    </row>
    <row r="141" spans="2:2" x14ac:dyDescent="0.25">
      <c r="B141" s="17"/>
    </row>
    <row r="142" spans="2:2" x14ac:dyDescent="0.25">
      <c r="B142" s="17"/>
    </row>
  </sheetData>
  <sheetProtection selectLockedCells="1"/>
  <mergeCells count="465">
    <mergeCell ref="AH9:AH10"/>
    <mergeCell ref="AI9:AI10"/>
    <mergeCell ref="AJ9:AJ10"/>
    <mergeCell ref="AK9:AK10"/>
    <mergeCell ref="AL9:AL10"/>
    <mergeCell ref="AM9:AM10"/>
    <mergeCell ref="Z9:Z10"/>
    <mergeCell ref="AA9:AA10"/>
    <mergeCell ref="AB9:AB10"/>
    <mergeCell ref="AC9:AC10"/>
    <mergeCell ref="AD9:AD10"/>
    <mergeCell ref="AE9:AG9"/>
    <mergeCell ref="D9:D10"/>
    <mergeCell ref="E9:E10"/>
    <mergeCell ref="F9:F10"/>
    <mergeCell ref="T9:T10"/>
    <mergeCell ref="U9:U10"/>
    <mergeCell ref="V9:V10"/>
    <mergeCell ref="W9:W10"/>
    <mergeCell ref="X9:X10"/>
    <mergeCell ref="Y9:Y10"/>
    <mergeCell ref="M9:M10"/>
    <mergeCell ref="N9:O9"/>
    <mergeCell ref="P9:P10"/>
    <mergeCell ref="Q9:Q10"/>
    <mergeCell ref="R9:R10"/>
    <mergeCell ref="S9:S10"/>
    <mergeCell ref="P8:X8"/>
    <mergeCell ref="Y8:AD8"/>
    <mergeCell ref="AE8:AM8"/>
    <mergeCell ref="A6:C6"/>
    <mergeCell ref="D6:E6"/>
    <mergeCell ref="F6:G6"/>
    <mergeCell ref="H6:O6"/>
    <mergeCell ref="U6:V6"/>
    <mergeCell ref="W6:X6"/>
    <mergeCell ref="U5:V5"/>
    <mergeCell ref="W5:X5"/>
    <mergeCell ref="B2:AM2"/>
    <mergeCell ref="A4:C4"/>
    <mergeCell ref="D4:E4"/>
    <mergeCell ref="F4:G4"/>
    <mergeCell ref="H4:O4"/>
    <mergeCell ref="R4:S4"/>
    <mergeCell ref="U4:V4"/>
    <mergeCell ref="W4:X4"/>
    <mergeCell ref="K13:K14"/>
    <mergeCell ref="L13:L14"/>
    <mergeCell ref="M13:M14"/>
    <mergeCell ref="N13:N14"/>
    <mergeCell ref="D11:D12"/>
    <mergeCell ref="E11:E12"/>
    <mergeCell ref="F11:F12"/>
    <mergeCell ref="J11:J12"/>
    <mergeCell ref="A5:C5"/>
    <mergeCell ref="D5:E5"/>
    <mergeCell ref="F5:G5"/>
    <mergeCell ref="H5:O5"/>
    <mergeCell ref="B8:F8"/>
    <mergeCell ref="G8:I8"/>
    <mergeCell ref="J8:O8"/>
    <mergeCell ref="G9:G10"/>
    <mergeCell ref="H9:H10"/>
    <mergeCell ref="I9:I10"/>
    <mergeCell ref="J9:J10"/>
    <mergeCell ref="K9:K10"/>
    <mergeCell ref="L9:L10"/>
    <mergeCell ref="A9:A10"/>
    <mergeCell ref="B9:B10"/>
    <mergeCell ref="C9:C10"/>
    <mergeCell ref="A15:A16"/>
    <mergeCell ref="D15:D16"/>
    <mergeCell ref="E15:E16"/>
    <mergeCell ref="F15:F16"/>
    <mergeCell ref="J15:J16"/>
    <mergeCell ref="K15:K16"/>
    <mergeCell ref="L15:L16"/>
    <mergeCell ref="M15:M16"/>
    <mergeCell ref="N15:N16"/>
    <mergeCell ref="B11:B16"/>
    <mergeCell ref="C11:C16"/>
    <mergeCell ref="G11:G16"/>
    <mergeCell ref="H11:H16"/>
    <mergeCell ref="I11:I16"/>
    <mergeCell ref="K11:K12"/>
    <mergeCell ref="L11:L12"/>
    <mergeCell ref="M11:M12"/>
    <mergeCell ref="N11:N12"/>
    <mergeCell ref="A11:A12"/>
    <mergeCell ref="A13:A14"/>
    <mergeCell ref="D13:D14"/>
    <mergeCell ref="E13:E14"/>
    <mergeCell ref="F13:F14"/>
    <mergeCell ref="J13:J14"/>
    <mergeCell ref="Y11:Y12"/>
    <mergeCell ref="Z11:Z12"/>
    <mergeCell ref="AA11:AA12"/>
    <mergeCell ref="AB11:AB12"/>
    <mergeCell ref="AC11:AC12"/>
    <mergeCell ref="Y13:Y14"/>
    <mergeCell ref="Z13:Z14"/>
    <mergeCell ref="AA13:AA14"/>
    <mergeCell ref="AB13:AB14"/>
    <mergeCell ref="AC13:AC14"/>
    <mergeCell ref="Y15:Y16"/>
    <mergeCell ref="Z15:Z16"/>
    <mergeCell ref="AA15:AA16"/>
    <mergeCell ref="AB15:AB16"/>
    <mergeCell ref="AC15:AC16"/>
    <mergeCell ref="S11:S12"/>
    <mergeCell ref="S13:S14"/>
    <mergeCell ref="S15:S16"/>
    <mergeCell ref="A17:A18"/>
    <mergeCell ref="B17:B22"/>
    <mergeCell ref="C17:C22"/>
    <mergeCell ref="D17:D18"/>
    <mergeCell ref="E17:E18"/>
    <mergeCell ref="F17:F18"/>
    <mergeCell ref="G17:G22"/>
    <mergeCell ref="H17:H22"/>
    <mergeCell ref="I17:I22"/>
    <mergeCell ref="J17:J18"/>
    <mergeCell ref="K17:K18"/>
    <mergeCell ref="L17:L18"/>
    <mergeCell ref="M17:M18"/>
    <mergeCell ref="N17:N18"/>
    <mergeCell ref="S17:S18"/>
    <mergeCell ref="Y17:Y18"/>
    <mergeCell ref="Z17:Z18"/>
    <mergeCell ref="AA17:AA18"/>
    <mergeCell ref="AB17:AB18"/>
    <mergeCell ref="AC17:AC18"/>
    <mergeCell ref="A19:A20"/>
    <mergeCell ref="D19:D20"/>
    <mergeCell ref="E19:E20"/>
    <mergeCell ref="F19:F20"/>
    <mergeCell ref="J19:J20"/>
    <mergeCell ref="K19:K20"/>
    <mergeCell ref="L19:L20"/>
    <mergeCell ref="M19:M20"/>
    <mergeCell ref="N19:N20"/>
    <mergeCell ref="S19:S20"/>
    <mergeCell ref="Y19:Y20"/>
    <mergeCell ref="Z19:Z20"/>
    <mergeCell ref="AA19:AA20"/>
    <mergeCell ref="AB19:AB20"/>
    <mergeCell ref="AC19:AC20"/>
    <mergeCell ref="A21:A22"/>
    <mergeCell ref="D21:D22"/>
    <mergeCell ref="E21:E22"/>
    <mergeCell ref="F21:F22"/>
    <mergeCell ref="J21:J22"/>
    <mergeCell ref="K21:K22"/>
    <mergeCell ref="L21:L22"/>
    <mergeCell ref="M21:M22"/>
    <mergeCell ref="N21:N22"/>
    <mergeCell ref="S21:S22"/>
    <mergeCell ref="Y21:Y22"/>
    <mergeCell ref="Z21:Z22"/>
    <mergeCell ref="AA21:AA22"/>
    <mergeCell ref="AB21:AB22"/>
    <mergeCell ref="AC21:AC22"/>
    <mergeCell ref="A23:A24"/>
    <mergeCell ref="B23:B28"/>
    <mergeCell ref="C23:C28"/>
    <mergeCell ref="D23:D24"/>
    <mergeCell ref="E23:E24"/>
    <mergeCell ref="F23:F24"/>
    <mergeCell ref="G23:G28"/>
    <mergeCell ref="H23:H28"/>
    <mergeCell ref="I23:I28"/>
    <mergeCell ref="J23:J24"/>
    <mergeCell ref="K23:K24"/>
    <mergeCell ref="L23:L24"/>
    <mergeCell ref="M23:M24"/>
    <mergeCell ref="N23:N24"/>
    <mergeCell ref="S23:S24"/>
    <mergeCell ref="Y23:Y24"/>
    <mergeCell ref="Z23:Z24"/>
    <mergeCell ref="AA23:AA24"/>
    <mergeCell ref="AB23:AB24"/>
    <mergeCell ref="AC23:AC24"/>
    <mergeCell ref="A25:A26"/>
    <mergeCell ref="D25:D26"/>
    <mergeCell ref="E25:E26"/>
    <mergeCell ref="F25:F26"/>
    <mergeCell ref="J25:J26"/>
    <mergeCell ref="K25:K26"/>
    <mergeCell ref="L25:L26"/>
    <mergeCell ref="M25:M26"/>
    <mergeCell ref="N25:N26"/>
    <mergeCell ref="S25:S26"/>
    <mergeCell ref="Y25:Y26"/>
    <mergeCell ref="Z25:Z26"/>
    <mergeCell ref="AA25:AA26"/>
    <mergeCell ref="AB25:AB26"/>
    <mergeCell ref="AC25:AC26"/>
    <mergeCell ref="A27:A28"/>
    <mergeCell ref="D27:D28"/>
    <mergeCell ref="E27:E28"/>
    <mergeCell ref="F27:F28"/>
    <mergeCell ref="J27:J28"/>
    <mergeCell ref="K27:K28"/>
    <mergeCell ref="L27:L28"/>
    <mergeCell ref="M27:M28"/>
    <mergeCell ref="N27:N28"/>
    <mergeCell ref="S27:S28"/>
    <mergeCell ref="Y27:Y28"/>
    <mergeCell ref="Z27:Z28"/>
    <mergeCell ref="AA27:AA28"/>
    <mergeCell ref="AB27:AB28"/>
    <mergeCell ref="AC27:AC28"/>
    <mergeCell ref="A29:A30"/>
    <mergeCell ref="B29:B34"/>
    <mergeCell ref="C29:C34"/>
    <mergeCell ref="D29:D30"/>
    <mergeCell ref="E29:E30"/>
    <mergeCell ref="F29:F30"/>
    <mergeCell ref="G29:G34"/>
    <mergeCell ref="H29:H34"/>
    <mergeCell ref="I29:I34"/>
    <mergeCell ref="J29:J30"/>
    <mergeCell ref="K29:K30"/>
    <mergeCell ref="L29:L30"/>
    <mergeCell ref="M29:M30"/>
    <mergeCell ref="N29:N30"/>
    <mergeCell ref="S29:S30"/>
    <mergeCell ref="Y29:Y30"/>
    <mergeCell ref="Z29:Z30"/>
    <mergeCell ref="AA29:AA30"/>
    <mergeCell ref="AC29:AC30"/>
    <mergeCell ref="A31:A32"/>
    <mergeCell ref="D31:D32"/>
    <mergeCell ref="E31:E32"/>
    <mergeCell ref="F31:F32"/>
    <mergeCell ref="J31:J32"/>
    <mergeCell ref="K31:K32"/>
    <mergeCell ref="L31:L32"/>
    <mergeCell ref="M31:M32"/>
    <mergeCell ref="N31:N32"/>
    <mergeCell ref="S31:S32"/>
    <mergeCell ref="Y31:Y32"/>
    <mergeCell ref="Z31:Z32"/>
    <mergeCell ref="AA31:AA32"/>
    <mergeCell ref="AB31:AB32"/>
    <mergeCell ref="AC31:AC32"/>
    <mergeCell ref="A33:A34"/>
    <mergeCell ref="D33:D34"/>
    <mergeCell ref="E33:E34"/>
    <mergeCell ref="F33:F34"/>
    <mergeCell ref="J33:J34"/>
    <mergeCell ref="K33:K34"/>
    <mergeCell ref="L33:L34"/>
    <mergeCell ref="M33:M34"/>
    <mergeCell ref="N33:N34"/>
    <mergeCell ref="J35:J36"/>
    <mergeCell ref="K35:K36"/>
    <mergeCell ref="L35:L36"/>
    <mergeCell ref="M35:M36"/>
    <mergeCell ref="N35:N36"/>
    <mergeCell ref="S35:S36"/>
    <mergeCell ref="Y35:Y36"/>
    <mergeCell ref="Z35:Z36"/>
    <mergeCell ref="AA35:AA36"/>
    <mergeCell ref="A35:A36"/>
    <mergeCell ref="B35:B40"/>
    <mergeCell ref="C35:C40"/>
    <mergeCell ref="D35:D36"/>
    <mergeCell ref="E35:E36"/>
    <mergeCell ref="F35:F36"/>
    <mergeCell ref="G35:G40"/>
    <mergeCell ref="H35:H40"/>
    <mergeCell ref="I35:I40"/>
    <mergeCell ref="A37:A38"/>
    <mergeCell ref="D37:D38"/>
    <mergeCell ref="E37:E38"/>
    <mergeCell ref="F37:F38"/>
    <mergeCell ref="J37:J38"/>
    <mergeCell ref="K37:K38"/>
    <mergeCell ref="L37:L38"/>
    <mergeCell ref="M37:M38"/>
    <mergeCell ref="N37:N38"/>
    <mergeCell ref="A39:A40"/>
    <mergeCell ref="D39:D40"/>
    <mergeCell ref="E39:E40"/>
    <mergeCell ref="F39:F40"/>
    <mergeCell ref="J39:J40"/>
    <mergeCell ref="K39:K40"/>
    <mergeCell ref="L39:L40"/>
    <mergeCell ref="M39:M40"/>
    <mergeCell ref="N39:N40"/>
    <mergeCell ref="S39:S40"/>
    <mergeCell ref="Y39:Y40"/>
    <mergeCell ref="Z39:Z40"/>
    <mergeCell ref="AA39:AA40"/>
    <mergeCell ref="AB39:AB40"/>
    <mergeCell ref="AC39:AC40"/>
    <mergeCell ref="W3:X3"/>
    <mergeCell ref="Z4:AD4"/>
    <mergeCell ref="Z5:AD5"/>
    <mergeCell ref="AB35:AB36"/>
    <mergeCell ref="AC35:AC36"/>
    <mergeCell ref="S37:S38"/>
    <mergeCell ref="Y37:Y38"/>
    <mergeCell ref="Z37:Z38"/>
    <mergeCell ref="AA37:AA38"/>
    <mergeCell ref="AB37:AB38"/>
    <mergeCell ref="AC37:AC38"/>
    <mergeCell ref="S33:S34"/>
    <mergeCell ref="Y33:Y34"/>
    <mergeCell ref="Z33:Z34"/>
    <mergeCell ref="AA33:AA34"/>
    <mergeCell ref="AB33:AB34"/>
    <mergeCell ref="AC33:AC34"/>
    <mergeCell ref="AB29:AB30"/>
    <mergeCell ref="Z41:Z42"/>
    <mergeCell ref="AA41:AA42"/>
    <mergeCell ref="A41:A42"/>
    <mergeCell ref="B41:B46"/>
    <mergeCell ref="C41:C46"/>
    <mergeCell ref="D41:D42"/>
    <mergeCell ref="E41:E42"/>
    <mergeCell ref="F41:F42"/>
    <mergeCell ref="G41:G46"/>
    <mergeCell ref="H41:H46"/>
    <mergeCell ref="I41:I46"/>
    <mergeCell ref="A45:A46"/>
    <mergeCell ref="D45:D46"/>
    <mergeCell ref="E45:E46"/>
    <mergeCell ref="F45:F46"/>
    <mergeCell ref="AB41:AB42"/>
    <mergeCell ref="AC41:AC42"/>
    <mergeCell ref="A43:A44"/>
    <mergeCell ref="D43:D44"/>
    <mergeCell ref="E43:E44"/>
    <mergeCell ref="F43:F44"/>
    <mergeCell ref="J43:J44"/>
    <mergeCell ref="K43:K44"/>
    <mergeCell ref="L43:L44"/>
    <mergeCell ref="M43:M44"/>
    <mergeCell ref="N43:N44"/>
    <mergeCell ref="S43:S44"/>
    <mergeCell ref="Y43:Y44"/>
    <mergeCell ref="Z43:Z44"/>
    <mergeCell ref="AA43:AA44"/>
    <mergeCell ref="AB43:AB44"/>
    <mergeCell ref="AC43:AC44"/>
    <mergeCell ref="J41:J42"/>
    <mergeCell ref="K41:K42"/>
    <mergeCell ref="L41:L42"/>
    <mergeCell ref="M41:M42"/>
    <mergeCell ref="N41:N42"/>
    <mergeCell ref="S41:S42"/>
    <mergeCell ref="Y41:Y42"/>
    <mergeCell ref="AB47:AB48"/>
    <mergeCell ref="AC47:AC48"/>
    <mergeCell ref="A49:A50"/>
    <mergeCell ref="D49:D50"/>
    <mergeCell ref="J45:J46"/>
    <mergeCell ref="K45:K46"/>
    <mergeCell ref="L45:L46"/>
    <mergeCell ref="M45:M46"/>
    <mergeCell ref="N45:N46"/>
    <mergeCell ref="S45:S46"/>
    <mergeCell ref="Y45:Y46"/>
    <mergeCell ref="Z45:Z46"/>
    <mergeCell ref="AA45:AA46"/>
    <mergeCell ref="M49:M50"/>
    <mergeCell ref="N49:N50"/>
    <mergeCell ref="S49:S50"/>
    <mergeCell ref="Y49:Y50"/>
    <mergeCell ref="AB45:AB46"/>
    <mergeCell ref="AC45:AC46"/>
    <mergeCell ref="A47:A48"/>
    <mergeCell ref="B47:B52"/>
    <mergeCell ref="C47:C52"/>
    <mergeCell ref="D47:D48"/>
    <mergeCell ref="E47:E48"/>
    <mergeCell ref="F47:F48"/>
    <mergeCell ref="G47:G52"/>
    <mergeCell ref="H47:H52"/>
    <mergeCell ref="I47:I52"/>
    <mergeCell ref="J47:J48"/>
    <mergeCell ref="K47:K48"/>
    <mergeCell ref="L47:L48"/>
    <mergeCell ref="M47:M48"/>
    <mergeCell ref="N47:N48"/>
    <mergeCell ref="F49:F50"/>
    <mergeCell ref="J49:J50"/>
    <mergeCell ref="K49:K50"/>
    <mergeCell ref="L49:L50"/>
    <mergeCell ref="S47:S48"/>
    <mergeCell ref="Y47:Y48"/>
    <mergeCell ref="Z47:Z48"/>
    <mergeCell ref="AA47:AA48"/>
    <mergeCell ref="Z49:Z50"/>
    <mergeCell ref="AA49:AA50"/>
    <mergeCell ref="AB49:AB50"/>
    <mergeCell ref="AC49:AC50"/>
    <mergeCell ref="A51:A52"/>
    <mergeCell ref="D51:D52"/>
    <mergeCell ref="E51:E52"/>
    <mergeCell ref="F51:F52"/>
    <mergeCell ref="J51:J52"/>
    <mergeCell ref="K51:K52"/>
    <mergeCell ref="L51:L52"/>
    <mergeCell ref="M51:M52"/>
    <mergeCell ref="N51:N52"/>
    <mergeCell ref="S51:S52"/>
    <mergeCell ref="Y51:Y52"/>
    <mergeCell ref="Z51:Z52"/>
    <mergeCell ref="AA51:AA52"/>
    <mergeCell ref="AB51:AB52"/>
    <mergeCell ref="AC51:AC52"/>
    <mergeCell ref="E49:E50"/>
    <mergeCell ref="Z53:Z54"/>
    <mergeCell ref="AA53:AA54"/>
    <mergeCell ref="A53:A54"/>
    <mergeCell ref="B53:B58"/>
    <mergeCell ref="C53:C58"/>
    <mergeCell ref="D53:D54"/>
    <mergeCell ref="E53:E54"/>
    <mergeCell ref="F53:F54"/>
    <mergeCell ref="G53:G58"/>
    <mergeCell ref="H53:H58"/>
    <mergeCell ref="I53:I58"/>
    <mergeCell ref="A57:A58"/>
    <mergeCell ref="D57:D58"/>
    <mergeCell ref="E57:E58"/>
    <mergeCell ref="F57:F58"/>
    <mergeCell ref="AB53:AB54"/>
    <mergeCell ref="AC53:AC54"/>
    <mergeCell ref="A55:A56"/>
    <mergeCell ref="D55:D56"/>
    <mergeCell ref="E55:E56"/>
    <mergeCell ref="F55:F56"/>
    <mergeCell ref="J55:J56"/>
    <mergeCell ref="K55:K56"/>
    <mergeCell ref="L55:L56"/>
    <mergeCell ref="M55:M56"/>
    <mergeCell ref="N55:N56"/>
    <mergeCell ref="S55:S56"/>
    <mergeCell ref="Y55:Y56"/>
    <mergeCell ref="Z55:Z56"/>
    <mergeCell ref="AA55:AA56"/>
    <mergeCell ref="AB55:AB56"/>
    <mergeCell ref="AC55:AC56"/>
    <mergeCell ref="J53:J54"/>
    <mergeCell ref="K53:K54"/>
    <mergeCell ref="L53:L54"/>
    <mergeCell ref="M53:M54"/>
    <mergeCell ref="N53:N54"/>
    <mergeCell ref="S53:S54"/>
    <mergeCell ref="Y53:Y54"/>
    <mergeCell ref="AB57:AB58"/>
    <mergeCell ref="AC57:AC58"/>
    <mergeCell ref="J57:J58"/>
    <mergeCell ref="K57:K58"/>
    <mergeCell ref="L57:L58"/>
    <mergeCell ref="M57:M58"/>
    <mergeCell ref="N57:N58"/>
    <mergeCell ref="S57:S58"/>
    <mergeCell ref="Y57:Y58"/>
    <mergeCell ref="Z57:Z58"/>
    <mergeCell ref="AA57:AA58"/>
  </mergeCells>
  <conditionalFormatting sqref="N11 AC11 N13 AC13 N15 AC15 N17 AC17 N19 AC19 N21 AC21">
    <cfRule type="cellIs" dxfId="36" priority="302" operator="equal">
      <formula>"IV"</formula>
    </cfRule>
    <cfRule type="cellIs" dxfId="35" priority="303" operator="equal">
      <formula>"III"</formula>
    </cfRule>
    <cfRule type="cellIs" dxfId="34" priority="304" operator="equal">
      <formula>"II"</formula>
    </cfRule>
    <cfRule type="cellIs" dxfId="33" priority="305" operator="equal">
      <formula>"I"</formula>
    </cfRule>
  </conditionalFormatting>
  <conditionalFormatting sqref="N23 AC23 N25 AC25 N27 AC27">
    <cfRule type="cellIs" dxfId="32" priority="37" operator="equal">
      <formula>"IV"</formula>
    </cfRule>
    <cfRule type="cellIs" dxfId="31" priority="38" operator="equal">
      <formula>"III"</formula>
    </cfRule>
    <cfRule type="cellIs" dxfId="30" priority="39" operator="equal">
      <formula>"II"</formula>
    </cfRule>
    <cfRule type="cellIs" dxfId="29" priority="40" operator="equal">
      <formula>"I"</formula>
    </cfRule>
  </conditionalFormatting>
  <conditionalFormatting sqref="N29 AC29 N31 AC31 N33 AC33">
    <cfRule type="cellIs" dxfId="28" priority="34" operator="equal">
      <formula>"III"</formula>
    </cfRule>
    <cfRule type="cellIs" dxfId="27" priority="35" operator="equal">
      <formula>"II"</formula>
    </cfRule>
    <cfRule type="cellIs" dxfId="26" priority="36" operator="equal">
      <formula>"I"</formula>
    </cfRule>
    <cfRule type="cellIs" dxfId="25" priority="33" operator="equal">
      <formula>"IV"</formula>
    </cfRule>
  </conditionalFormatting>
  <conditionalFormatting sqref="N35 AC35 N37 AC37 N39 AC39">
    <cfRule type="cellIs" dxfId="24" priority="13" operator="equal">
      <formula>"IV"</formula>
    </cfRule>
    <cfRule type="cellIs" dxfId="23" priority="14" operator="equal">
      <formula>"III"</formula>
    </cfRule>
    <cfRule type="cellIs" dxfId="22" priority="15" operator="equal">
      <formula>"II"</formula>
    </cfRule>
    <cfRule type="cellIs" dxfId="21" priority="16" operator="equal">
      <formula>"I"</formula>
    </cfRule>
  </conditionalFormatting>
  <conditionalFormatting sqref="N41 AC41 N43 AC43 N45 AC45">
    <cfRule type="cellIs" dxfId="20" priority="9" operator="equal">
      <formula>"IV"</formula>
    </cfRule>
    <cfRule type="cellIs" dxfId="19" priority="10" operator="equal">
      <formula>"III"</formula>
    </cfRule>
    <cfRule type="cellIs" dxfId="18" priority="11" operator="equal">
      <formula>"II"</formula>
    </cfRule>
    <cfRule type="cellIs" dxfId="17" priority="12" operator="equal">
      <formula>"I"</formula>
    </cfRule>
  </conditionalFormatting>
  <conditionalFormatting sqref="N47 AC47 N49 AC49 N51 AC51">
    <cfRule type="cellIs" dxfId="16" priority="5" operator="equal">
      <formula>"IV"</formula>
    </cfRule>
    <cfRule type="cellIs" dxfId="15" priority="6" operator="equal">
      <formula>"III"</formula>
    </cfRule>
    <cfRule type="cellIs" dxfId="14" priority="7" operator="equal">
      <formula>"II"</formula>
    </cfRule>
    <cfRule type="cellIs" dxfId="13" priority="8" operator="equal">
      <formula>"I"</formula>
    </cfRule>
  </conditionalFormatting>
  <conditionalFormatting sqref="N53 AC53 N55 AC55 N57 AC57">
    <cfRule type="cellIs" dxfId="12" priority="1" operator="equal">
      <formula>"IV"</formula>
    </cfRule>
    <cfRule type="cellIs" dxfId="11" priority="2" operator="equal">
      <formula>"III"</formula>
    </cfRule>
    <cfRule type="cellIs" dxfId="10" priority="3" operator="equal">
      <formula>"II"</formula>
    </cfRule>
    <cfRule type="cellIs" dxfId="9" priority="4" operator="equal">
      <formula>"I"</formula>
    </cfRule>
  </conditionalFormatting>
  <conditionalFormatting sqref="O11:O58">
    <cfRule type="iconSet" priority="345">
      <iconSet iconSet="3Flags" showValue="0">
        <cfvo type="percent" val="0"/>
        <cfvo type="num" val="2"/>
        <cfvo type="num" val="3"/>
      </iconSet>
    </cfRule>
    <cfRule type="iconSet" priority="350">
      <iconSet iconSet="3Flags" showValue="0">
        <cfvo type="percent" val="0"/>
        <cfvo type="num" val="2"/>
        <cfvo type="num" val="3"/>
      </iconSet>
    </cfRule>
  </conditionalFormatting>
  <conditionalFormatting sqref="AD11:AD58">
    <cfRule type="iconSet" priority="349">
      <iconSet iconSet="3Flags" showValue="0">
        <cfvo type="percent" val="0"/>
        <cfvo type="num" val="2"/>
        <cfvo type="num" val="3"/>
      </iconSet>
    </cfRule>
    <cfRule type="iconSet" priority="351">
      <iconSet iconSet="3Flags" showValue="0">
        <cfvo type="percent" val="0"/>
        <cfvo type="num" val="2"/>
        <cfvo type="num" val="3"/>
      </iconSet>
    </cfRule>
  </conditionalFormatting>
  <conditionalFormatting sqref="AI11:AI58">
    <cfRule type="cellIs" dxfId="8" priority="297" operator="equal">
      <formula>"Deficiente"</formula>
    </cfRule>
    <cfRule type="cellIs" dxfId="7" priority="298" operator="equal">
      <formula>"Moderado"</formula>
    </cfRule>
    <cfRule type="cellIs" dxfId="6" priority="299" operator="equal">
      <formula>"Regular"</formula>
    </cfRule>
    <cfRule type="cellIs" dxfId="5" priority="300" operator="equal">
      <formula>"Bueno"</formula>
    </cfRule>
    <cfRule type="cellIs" dxfId="4" priority="301" operator="equal">
      <formula>"Optimo"</formula>
    </cfRule>
  </conditionalFormatting>
  <conditionalFormatting sqref="AL11:AM58">
    <cfRule type="cellIs" dxfId="3" priority="293" operator="equal">
      <formula>"Menor"</formula>
    </cfRule>
    <cfRule type="cellIs" dxfId="2" priority="294" operator="equal">
      <formula>"Medio"</formula>
    </cfRule>
    <cfRule type="cellIs" dxfId="1" priority="295" operator="equal">
      <formula>"Mayor"</formula>
    </cfRule>
    <cfRule type="cellIs" dxfId="0" priority="296" operator="equal">
      <formula>"No Aceptable"</formula>
    </cfRule>
  </conditionalFormatting>
  <dataValidations count="2">
    <dataValidation type="list" allowBlank="1" showInputMessage="1" showErrorMessage="1" sqref="AD11:AD58 O11:O58" xr:uid="{F37A4F2A-6C87-475F-A763-C536105F50C5}">
      <formula1>"1,2,3"</formula1>
    </dataValidation>
    <dataValidation type="list" allowBlank="1" showInputMessage="1" showErrorMessage="1" sqref="AE11:AG58" xr:uid="{5406F498-1993-496C-8469-62403B660264}">
      <formula1>#REF!</formula1>
    </dataValidation>
  </dataValidations>
  <printOptions horizontalCentered="1"/>
  <pageMargins left="0.23622047244094491" right="0.23622047244094491" top="0.35433070866141736" bottom="0.35433070866141736" header="0.31496062992125984" footer="0.31496062992125984"/>
  <pageSetup paperSize="8" scale="28" fitToHeight="0"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ECBE38CB-11F9-4F48-B6F7-519B9A1D2C35}">
          <x14:formula1>
            <xm:f>'Listas Desplegables (LD)'!$C$7:$C$36</xm:f>
          </x14:formula1>
          <xm:sqref>B47 B17 B23 B29 B35 B41 B53</xm:sqref>
        </x14:dataValidation>
        <x14:dataValidation type="list" allowBlank="1" showInputMessage="1" showErrorMessage="1" xr:uid="{8F5BFBFB-DB43-4B5E-B4CE-2BB69AC1B99C}">
          <x14:formula1>
            <xm:f>'Listas Desplegables (LD)'!$D$9:$D$10</xm:f>
          </x14:formula1>
          <xm:sqref>G11 G17 G23 G29 G47 G35 G41 G53</xm:sqref>
        </x14:dataValidation>
        <x14:dataValidation type="list" allowBlank="1" showInputMessage="1" showErrorMessage="1" xr:uid="{95CE6076-ECAB-42E6-8DF9-6DE465696030}">
          <x14:formula1>
            <xm:f>'T1 RBS (adaptar)'!$D$5:$D$32</xm:f>
          </x14:formula1>
          <xm:sqref>H11 H17 H23 H29 H47 H35 H41 H53</xm:sqref>
        </x14:dataValidation>
        <x14:dataValidation type="list" allowBlank="1" showInputMessage="1" showErrorMessage="1" xr:uid="{B74DA8B3-579B-4CEA-B1DE-362CE5F355B7}">
          <x14:formula1>
            <xm:f>'Listas Desplegables (LD)'!$F$9:$F$10</xm:f>
          </x14:formula1>
          <xm:sqref>I11 I17 I23 I29 I47 I35 I41 I53</xm:sqref>
        </x14:dataValidation>
        <x14:dataValidation type="list" allowBlank="1" showInputMessage="1" showErrorMessage="1" xr:uid="{F0770AE2-1621-49BA-BE8E-C702C578DCE7}">
          <x14:formula1>
            <xm:f>'Listas Desplegables (LD)'!$I$8:$I$14</xm:f>
          </x14:formula1>
          <xm:sqref>Q11:Q58</xm:sqref>
        </x14:dataValidation>
        <x14:dataValidation type="list" allowBlank="1" showInputMessage="1" showErrorMessage="1" xr:uid="{BB744B0A-15EF-4E33-A5E0-8B19671541FC}">
          <x14:formula1>
            <xm:f>'Listas Desplegables (LD)'!$H$8:$H$12</xm:f>
          </x14:formula1>
          <xm:sqref>L11 L13 L15 AA11 AA13 AA15 L17 L19 L21 AA17 AA19 AA21 L23 L25 L27 AA23 AA25 AA27 L29 L31 L33 AA29 AA31 AA33 L47 L49 L51 AA47 AA49 AA51 L35 L37 L39 AA35 AA37 AA39 L41 L43 L45 AA41 AA43 AA45 L53 L55 L57 AA53 AA55 AA57</xm:sqref>
        </x14:dataValidation>
        <x14:dataValidation type="list" allowBlank="1" showInputMessage="1" showErrorMessage="1" xr:uid="{7A6D8CC0-460D-411C-A872-62081FC69D1D}">
          <x14:formula1>
            <xm:f>'Listas Desplegables (LD)'!$C$8:$C$37</xm:f>
          </x14:formula1>
          <xm:sqref>B11:B16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FA94-5044-41A7-B848-D7EF5C160662}">
  <dimension ref="B2:D32"/>
  <sheetViews>
    <sheetView zoomScale="90" zoomScaleNormal="90" workbookViewId="0"/>
  </sheetViews>
  <sheetFormatPr baseColWidth="10" defaultColWidth="11.44140625" defaultRowHeight="14.4" x14ac:dyDescent="0.3"/>
  <cols>
    <col min="1" max="1" width="2.21875" customWidth="1"/>
    <col min="2" max="2" width="25.77734375" customWidth="1"/>
    <col min="3" max="3" width="23.77734375" customWidth="1"/>
    <col min="4" max="4" width="41.44140625" customWidth="1"/>
  </cols>
  <sheetData>
    <row r="2" spans="2:4" x14ac:dyDescent="0.3">
      <c r="B2" s="40" t="s">
        <v>116</v>
      </c>
    </row>
    <row r="4" spans="2:4" x14ac:dyDescent="0.3">
      <c r="B4" s="33" t="s">
        <v>81</v>
      </c>
      <c r="C4" s="33" t="s">
        <v>80</v>
      </c>
      <c r="D4" s="33" t="s">
        <v>82</v>
      </c>
    </row>
    <row r="5" spans="2:4" x14ac:dyDescent="0.3">
      <c r="B5" s="378" t="s">
        <v>115</v>
      </c>
      <c r="C5" s="374" t="s">
        <v>90</v>
      </c>
      <c r="D5" s="34" t="s">
        <v>83</v>
      </c>
    </row>
    <row r="6" spans="2:4" x14ac:dyDescent="0.3">
      <c r="B6" s="378"/>
      <c r="C6" s="374"/>
      <c r="D6" s="34" t="s">
        <v>84</v>
      </c>
    </row>
    <row r="7" spans="2:4" x14ac:dyDescent="0.3">
      <c r="B7" s="378"/>
      <c r="C7" s="374"/>
      <c r="D7" s="34" t="s">
        <v>85</v>
      </c>
    </row>
    <row r="8" spans="2:4" x14ac:dyDescent="0.3">
      <c r="B8" s="378"/>
      <c r="C8" s="374"/>
      <c r="D8" s="34" t="s">
        <v>86</v>
      </c>
    </row>
    <row r="9" spans="2:4" x14ac:dyDescent="0.3">
      <c r="B9" s="378"/>
      <c r="C9" s="374"/>
      <c r="D9" s="34" t="s">
        <v>87</v>
      </c>
    </row>
    <row r="10" spans="2:4" x14ac:dyDescent="0.3">
      <c r="B10" s="378"/>
      <c r="C10" s="374"/>
      <c r="D10" s="34" t="s">
        <v>88</v>
      </c>
    </row>
    <row r="11" spans="2:4" x14ac:dyDescent="0.3">
      <c r="B11" s="378"/>
      <c r="C11" s="374"/>
      <c r="D11" s="34" t="s">
        <v>89</v>
      </c>
    </row>
    <row r="12" spans="2:4" x14ac:dyDescent="0.3">
      <c r="B12" s="378"/>
      <c r="C12" s="375" t="s">
        <v>98</v>
      </c>
      <c r="D12" s="35" t="s">
        <v>91</v>
      </c>
    </row>
    <row r="13" spans="2:4" x14ac:dyDescent="0.3">
      <c r="B13" s="378"/>
      <c r="C13" s="375"/>
      <c r="D13" s="35" t="s">
        <v>92</v>
      </c>
    </row>
    <row r="14" spans="2:4" x14ac:dyDescent="0.3">
      <c r="B14" s="378"/>
      <c r="C14" s="375"/>
      <c r="D14" s="35" t="s">
        <v>93</v>
      </c>
    </row>
    <row r="15" spans="2:4" x14ac:dyDescent="0.3">
      <c r="B15" s="378"/>
      <c r="C15" s="375"/>
      <c r="D15" s="35" t="s">
        <v>94</v>
      </c>
    </row>
    <row r="16" spans="2:4" x14ac:dyDescent="0.3">
      <c r="B16" s="378"/>
      <c r="C16" s="375"/>
      <c r="D16" s="35" t="s">
        <v>95</v>
      </c>
    </row>
    <row r="17" spans="2:4" x14ac:dyDescent="0.3">
      <c r="B17" s="378"/>
      <c r="C17" s="375"/>
      <c r="D17" s="35" t="s">
        <v>96</v>
      </c>
    </row>
    <row r="18" spans="2:4" x14ac:dyDescent="0.3">
      <c r="B18" s="378"/>
      <c r="C18" s="375"/>
      <c r="D18" s="35" t="s">
        <v>97</v>
      </c>
    </row>
    <row r="19" spans="2:4" x14ac:dyDescent="0.3">
      <c r="B19" s="378"/>
      <c r="C19" s="376" t="s">
        <v>106</v>
      </c>
      <c r="D19" s="36" t="s">
        <v>99</v>
      </c>
    </row>
    <row r="20" spans="2:4" x14ac:dyDescent="0.3">
      <c r="B20" s="378"/>
      <c r="C20" s="376"/>
      <c r="D20" s="36" t="s">
        <v>101</v>
      </c>
    </row>
    <row r="21" spans="2:4" x14ac:dyDescent="0.3">
      <c r="B21" s="378"/>
      <c r="C21" s="376"/>
      <c r="D21" s="36" t="s">
        <v>100</v>
      </c>
    </row>
    <row r="22" spans="2:4" x14ac:dyDescent="0.3">
      <c r="B22" s="378"/>
      <c r="C22" s="376"/>
      <c r="D22" s="36" t="s">
        <v>102</v>
      </c>
    </row>
    <row r="23" spans="2:4" x14ac:dyDescent="0.3">
      <c r="B23" s="378"/>
      <c r="C23" s="376"/>
      <c r="D23" s="36" t="s">
        <v>103</v>
      </c>
    </row>
    <row r="24" spans="2:4" x14ac:dyDescent="0.3">
      <c r="B24" s="378"/>
      <c r="C24" s="376"/>
      <c r="D24" s="36" t="s">
        <v>104</v>
      </c>
    </row>
    <row r="25" spans="2:4" x14ac:dyDescent="0.3">
      <c r="B25" s="378"/>
      <c r="C25" s="376"/>
      <c r="D25" s="36" t="s">
        <v>105</v>
      </c>
    </row>
    <row r="26" spans="2:4" x14ac:dyDescent="0.3">
      <c r="B26" s="378"/>
      <c r="C26" s="377" t="s">
        <v>114</v>
      </c>
      <c r="D26" s="37" t="s">
        <v>107</v>
      </c>
    </row>
    <row r="27" spans="2:4" x14ac:dyDescent="0.3">
      <c r="B27" s="378"/>
      <c r="C27" s="377"/>
      <c r="D27" s="37" t="s">
        <v>108</v>
      </c>
    </row>
    <row r="28" spans="2:4" x14ac:dyDescent="0.3">
      <c r="B28" s="378"/>
      <c r="C28" s="377"/>
      <c r="D28" s="37" t="s">
        <v>112</v>
      </c>
    </row>
    <row r="29" spans="2:4" x14ac:dyDescent="0.3">
      <c r="B29" s="378"/>
      <c r="C29" s="377"/>
      <c r="D29" s="37" t="s">
        <v>109</v>
      </c>
    </row>
    <row r="30" spans="2:4" x14ac:dyDescent="0.3">
      <c r="B30" s="378"/>
      <c r="C30" s="377"/>
      <c r="D30" s="37" t="s">
        <v>110</v>
      </c>
    </row>
    <row r="31" spans="2:4" x14ac:dyDescent="0.3">
      <c r="B31" s="378"/>
      <c r="C31" s="377"/>
      <c r="D31" s="37" t="s">
        <v>111</v>
      </c>
    </row>
    <row r="32" spans="2:4" x14ac:dyDescent="0.3">
      <c r="B32" s="378"/>
      <c r="C32" s="377"/>
      <c r="D32" s="37" t="s">
        <v>113</v>
      </c>
    </row>
  </sheetData>
  <mergeCells count="5">
    <mergeCell ref="C5:C11"/>
    <mergeCell ref="C12:C18"/>
    <mergeCell ref="C19:C25"/>
    <mergeCell ref="C26:C32"/>
    <mergeCell ref="B5:B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8500-3086-4693-8B81-F6B65FF84981}">
  <dimension ref="B2:K37"/>
  <sheetViews>
    <sheetView showGridLines="0" topLeftCell="C1" zoomScale="80" zoomScaleNormal="80" workbookViewId="0">
      <selection activeCell="E9" sqref="E9:E13"/>
    </sheetView>
  </sheetViews>
  <sheetFormatPr baseColWidth="10" defaultRowHeight="14.4" x14ac:dyDescent="0.3"/>
  <cols>
    <col min="1" max="1" width="4.88671875" customWidth="1"/>
    <col min="2" max="2" width="15.44140625" bestFit="1" customWidth="1"/>
    <col min="3" max="3" width="70" customWidth="1"/>
    <col min="4" max="4" width="37.109375" customWidth="1"/>
    <col min="5" max="5" width="23.88671875" bestFit="1" customWidth="1"/>
    <col min="6" max="6" width="34" customWidth="1"/>
    <col min="7" max="7" width="15.33203125" customWidth="1"/>
    <col min="8" max="8" width="21.5546875" customWidth="1"/>
    <col min="9" max="9" width="26.33203125" customWidth="1"/>
    <col min="10" max="10" width="21" customWidth="1"/>
  </cols>
  <sheetData>
    <row r="2" spans="2:11" x14ac:dyDescent="0.3">
      <c r="B2" s="39" t="s">
        <v>155</v>
      </c>
    </row>
    <row r="4" spans="2:11" ht="14.4" customHeight="1" x14ac:dyDescent="0.3">
      <c r="B4" s="380" t="s">
        <v>156</v>
      </c>
      <c r="C4" s="380"/>
    </row>
    <row r="5" spans="2:11" x14ac:dyDescent="0.3">
      <c r="B5" s="40" t="s">
        <v>153</v>
      </c>
      <c r="D5" s="380" t="s">
        <v>157</v>
      </c>
      <c r="E5" s="380" t="s">
        <v>158</v>
      </c>
      <c r="F5" s="42" t="s">
        <v>159</v>
      </c>
      <c r="G5" s="42" t="s">
        <v>165</v>
      </c>
      <c r="H5" s="42" t="s">
        <v>166</v>
      </c>
      <c r="I5" s="42" t="s">
        <v>167</v>
      </c>
    </row>
    <row r="7" spans="2:11" ht="46.8" customHeight="1" x14ac:dyDescent="0.3">
      <c r="B7" s="38" t="s">
        <v>154</v>
      </c>
      <c r="C7" s="38" t="s">
        <v>123</v>
      </c>
      <c r="D7" s="38" t="s">
        <v>120</v>
      </c>
      <c r="E7" s="38" t="s">
        <v>121</v>
      </c>
      <c r="F7" s="41" t="s">
        <v>122</v>
      </c>
      <c r="G7" s="41" t="s">
        <v>163</v>
      </c>
      <c r="H7" s="41" t="s">
        <v>164</v>
      </c>
      <c r="I7" s="41" t="s">
        <v>39</v>
      </c>
      <c r="J7" s="52" t="s">
        <v>257</v>
      </c>
      <c r="K7" s="52" t="s">
        <v>256</v>
      </c>
    </row>
    <row r="8" spans="2:11" x14ac:dyDescent="0.3">
      <c r="B8" s="58" t="s">
        <v>124</v>
      </c>
      <c r="C8" s="58" t="s">
        <v>301</v>
      </c>
      <c r="G8" s="1">
        <v>1</v>
      </c>
      <c r="H8" s="1">
        <v>1</v>
      </c>
      <c r="I8" s="1" t="s">
        <v>54</v>
      </c>
      <c r="J8" s="53">
        <v>0.02</v>
      </c>
      <c r="K8" s="54">
        <v>1</v>
      </c>
    </row>
    <row r="9" spans="2:11" x14ac:dyDescent="0.3">
      <c r="B9" s="59" t="s">
        <v>125</v>
      </c>
      <c r="C9" s="59" t="s">
        <v>302</v>
      </c>
      <c r="D9" s="1" t="s">
        <v>160</v>
      </c>
      <c r="E9" s="379" t="s">
        <v>162</v>
      </c>
      <c r="F9" s="1" t="s">
        <v>57</v>
      </c>
      <c r="G9" s="1">
        <v>2</v>
      </c>
      <c r="H9" s="1">
        <v>2</v>
      </c>
      <c r="I9" s="1" t="s">
        <v>56</v>
      </c>
      <c r="J9" s="53">
        <v>0.1</v>
      </c>
      <c r="K9" s="54">
        <v>2</v>
      </c>
    </row>
    <row r="10" spans="2:11" x14ac:dyDescent="0.3">
      <c r="B10" s="60" t="s">
        <v>126</v>
      </c>
      <c r="C10" s="60" t="s">
        <v>303</v>
      </c>
      <c r="D10" s="1" t="s">
        <v>161</v>
      </c>
      <c r="E10" s="379"/>
      <c r="F10" s="1" t="s">
        <v>55</v>
      </c>
      <c r="G10" s="1">
        <v>3</v>
      </c>
      <c r="H10" s="1">
        <v>3</v>
      </c>
      <c r="I10" s="1" t="s">
        <v>58</v>
      </c>
      <c r="J10" s="53">
        <v>0.5</v>
      </c>
      <c r="K10" s="54">
        <v>3</v>
      </c>
    </row>
    <row r="11" spans="2:11" x14ac:dyDescent="0.3">
      <c r="B11" s="60" t="s">
        <v>127</v>
      </c>
      <c r="C11" s="60" t="s">
        <v>304</v>
      </c>
      <c r="E11" s="379"/>
      <c r="G11" s="1">
        <v>4</v>
      </c>
      <c r="H11" s="1">
        <v>4</v>
      </c>
      <c r="I11" s="1" t="s">
        <v>59</v>
      </c>
      <c r="J11" s="53">
        <v>0.8</v>
      </c>
      <c r="K11" s="54">
        <v>4</v>
      </c>
    </row>
    <row r="12" spans="2:11" x14ac:dyDescent="0.3">
      <c r="B12" s="59" t="s">
        <v>128</v>
      </c>
      <c r="C12" s="59" t="s">
        <v>305</v>
      </c>
      <c r="E12" s="379"/>
      <c r="G12" s="1">
        <v>5</v>
      </c>
      <c r="H12" s="1">
        <v>5</v>
      </c>
      <c r="I12" s="1" t="s">
        <v>60</v>
      </c>
      <c r="J12" s="55">
        <v>0.99990000000000001</v>
      </c>
      <c r="K12" s="54">
        <v>5</v>
      </c>
    </row>
    <row r="13" spans="2:11" x14ac:dyDescent="0.3">
      <c r="B13" s="60" t="s">
        <v>129</v>
      </c>
      <c r="C13" s="60" t="s">
        <v>306</v>
      </c>
      <c r="E13" s="379"/>
      <c r="G13" s="1"/>
      <c r="H13" s="1"/>
      <c r="I13" s="1" t="s">
        <v>61</v>
      </c>
    </row>
    <row r="14" spans="2:11" x14ac:dyDescent="0.3">
      <c r="B14" s="60" t="s">
        <v>130</v>
      </c>
      <c r="C14" s="60" t="s">
        <v>307</v>
      </c>
      <c r="I14" s="1" t="s">
        <v>168</v>
      </c>
    </row>
    <row r="15" spans="2:11" x14ac:dyDescent="0.3">
      <c r="B15" s="60" t="s">
        <v>131</v>
      </c>
      <c r="C15" s="60" t="s">
        <v>308</v>
      </c>
    </row>
    <row r="16" spans="2:11" x14ac:dyDescent="0.3">
      <c r="B16" s="60" t="s">
        <v>132</v>
      </c>
      <c r="C16" s="60" t="s">
        <v>309</v>
      </c>
    </row>
    <row r="17" spans="2:3" x14ac:dyDescent="0.3">
      <c r="B17" s="59" t="s">
        <v>133</v>
      </c>
      <c r="C17" s="59" t="s">
        <v>310</v>
      </c>
    </row>
    <row r="18" spans="2:3" x14ac:dyDescent="0.3">
      <c r="B18" s="60" t="s">
        <v>134</v>
      </c>
      <c r="C18" s="60" t="s">
        <v>311</v>
      </c>
    </row>
    <row r="19" spans="2:3" x14ac:dyDescent="0.3">
      <c r="B19" s="60" t="s">
        <v>135</v>
      </c>
      <c r="C19" s="60" t="s">
        <v>312</v>
      </c>
    </row>
    <row r="20" spans="2:3" x14ac:dyDescent="0.3">
      <c r="B20" s="61" t="s">
        <v>136</v>
      </c>
      <c r="C20" s="61" t="s">
        <v>313</v>
      </c>
    </row>
    <row r="21" spans="2:3" x14ac:dyDescent="0.3">
      <c r="B21" s="59" t="s">
        <v>137</v>
      </c>
      <c r="C21" s="59" t="s">
        <v>314</v>
      </c>
    </row>
    <row r="22" spans="2:3" x14ac:dyDescent="0.3">
      <c r="B22" s="60" t="s">
        <v>138</v>
      </c>
      <c r="C22" s="60" t="s">
        <v>315</v>
      </c>
    </row>
    <row r="23" spans="2:3" x14ac:dyDescent="0.3">
      <c r="B23" s="60" t="s">
        <v>139</v>
      </c>
      <c r="C23" s="60" t="s">
        <v>316</v>
      </c>
    </row>
    <row r="24" spans="2:3" x14ac:dyDescent="0.3">
      <c r="B24" s="60" t="s">
        <v>140</v>
      </c>
      <c r="C24" s="60" t="s">
        <v>317</v>
      </c>
    </row>
    <row r="25" spans="2:3" x14ac:dyDescent="0.3">
      <c r="B25" s="60" t="s">
        <v>141</v>
      </c>
      <c r="C25" s="60" t="s">
        <v>318</v>
      </c>
    </row>
    <row r="26" spans="2:3" x14ac:dyDescent="0.3">
      <c r="B26" s="61" t="s">
        <v>142</v>
      </c>
      <c r="C26" s="61" t="s">
        <v>319</v>
      </c>
    </row>
    <row r="27" spans="2:3" x14ac:dyDescent="0.3">
      <c r="B27" s="59" t="s">
        <v>143</v>
      </c>
      <c r="C27" s="59" t="s">
        <v>320</v>
      </c>
    </row>
    <row r="28" spans="2:3" x14ac:dyDescent="0.3">
      <c r="B28" s="60" t="s">
        <v>144</v>
      </c>
      <c r="C28" s="60" t="s">
        <v>321</v>
      </c>
    </row>
    <row r="29" spans="2:3" x14ac:dyDescent="0.3">
      <c r="B29" s="60" t="s">
        <v>145</v>
      </c>
      <c r="C29" s="60" t="s">
        <v>322</v>
      </c>
    </row>
    <row r="30" spans="2:3" x14ac:dyDescent="0.3">
      <c r="B30" s="60" t="s">
        <v>146</v>
      </c>
      <c r="C30" s="60" t="s">
        <v>323</v>
      </c>
    </row>
    <row r="31" spans="2:3" x14ac:dyDescent="0.3">
      <c r="B31" s="60" t="s">
        <v>147</v>
      </c>
      <c r="C31" s="60" t="s">
        <v>324</v>
      </c>
    </row>
    <row r="32" spans="2:3" x14ac:dyDescent="0.3">
      <c r="B32" s="59" t="s">
        <v>148</v>
      </c>
      <c r="C32" s="59" t="s">
        <v>325</v>
      </c>
    </row>
    <row r="33" spans="2:3" x14ac:dyDescent="0.3">
      <c r="B33" s="60" t="s">
        <v>149</v>
      </c>
      <c r="C33" s="60" t="s">
        <v>326</v>
      </c>
    </row>
    <row r="34" spans="2:3" x14ac:dyDescent="0.3">
      <c r="B34" s="60" t="s">
        <v>150</v>
      </c>
      <c r="C34" s="60" t="s">
        <v>327</v>
      </c>
    </row>
    <row r="35" spans="2:3" x14ac:dyDescent="0.3">
      <c r="B35" s="61" t="s">
        <v>151</v>
      </c>
      <c r="C35" s="61" t="s">
        <v>328</v>
      </c>
    </row>
    <row r="36" spans="2:3" x14ac:dyDescent="0.3">
      <c r="B36" s="60" t="s">
        <v>152</v>
      </c>
      <c r="C36" s="60" t="s">
        <v>329</v>
      </c>
    </row>
    <row r="37" spans="2:3" x14ac:dyDescent="0.3">
      <c r="B37" s="62"/>
      <c r="C37" s="63" t="s">
        <v>169</v>
      </c>
    </row>
  </sheetData>
  <mergeCells count="3">
    <mergeCell ref="E9:E13"/>
    <mergeCell ref="B4:C4"/>
    <mergeCell ref="D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E49-CFF9-4ACE-87A9-58F7EE50D1CC}">
  <dimension ref="B2:E11"/>
  <sheetViews>
    <sheetView showGridLines="0" zoomScale="90" zoomScaleNormal="90" workbookViewId="0"/>
  </sheetViews>
  <sheetFormatPr baseColWidth="10" defaultRowHeight="14.4" x14ac:dyDescent="0.3"/>
  <cols>
    <col min="1" max="1" width="6" customWidth="1"/>
    <col min="2" max="2" width="15.6640625" bestFit="1" customWidth="1"/>
    <col min="3" max="3" width="11" customWidth="1"/>
    <col min="4" max="4" width="60.6640625" customWidth="1"/>
    <col min="5" max="5" width="14.44140625" customWidth="1"/>
    <col min="8" max="8" width="13.33203125" customWidth="1"/>
    <col min="9" max="9" width="14.77734375" customWidth="1"/>
  </cols>
  <sheetData>
    <row r="2" spans="2:5" ht="15.6" x14ac:dyDescent="0.3">
      <c r="B2" s="65" t="s">
        <v>266</v>
      </c>
    </row>
    <row r="3" spans="2:5" ht="15" thickBot="1" x14ac:dyDescent="0.35"/>
    <row r="4" spans="2:5" ht="33.6" customHeight="1" thickBot="1" x14ac:dyDescent="0.35">
      <c r="B4" s="46" t="s">
        <v>170</v>
      </c>
      <c r="C4" s="46" t="s">
        <v>171</v>
      </c>
      <c r="D4" s="46" t="s">
        <v>172</v>
      </c>
      <c r="E4" s="46" t="s">
        <v>173</v>
      </c>
    </row>
    <row r="5" spans="2:5" ht="46.8" customHeight="1" thickBot="1" x14ac:dyDescent="0.35">
      <c r="B5" s="43" t="s">
        <v>174</v>
      </c>
      <c r="C5" s="44">
        <v>5</v>
      </c>
      <c r="D5" s="45" t="s">
        <v>180</v>
      </c>
      <c r="E5" s="43" t="s">
        <v>261</v>
      </c>
    </row>
    <row r="6" spans="2:5" ht="64.2" customHeight="1" thickBot="1" x14ac:dyDescent="0.35">
      <c r="B6" s="43" t="s">
        <v>175</v>
      </c>
      <c r="C6" s="44">
        <v>4</v>
      </c>
      <c r="D6" s="45" t="s">
        <v>181</v>
      </c>
      <c r="E6" s="43" t="s">
        <v>260</v>
      </c>
    </row>
    <row r="7" spans="2:5" ht="43.8" thickBot="1" x14ac:dyDescent="0.35">
      <c r="B7" s="43" t="s">
        <v>176</v>
      </c>
      <c r="C7" s="44">
        <v>3</v>
      </c>
      <c r="D7" s="45" t="s">
        <v>182</v>
      </c>
      <c r="E7" s="43" t="s">
        <v>259</v>
      </c>
    </row>
    <row r="8" spans="2:5" ht="43.8" thickBot="1" x14ac:dyDescent="0.35">
      <c r="B8" s="43" t="s">
        <v>177</v>
      </c>
      <c r="C8" s="44">
        <v>2</v>
      </c>
      <c r="D8" s="45" t="s">
        <v>183</v>
      </c>
      <c r="E8" s="43" t="s">
        <v>258</v>
      </c>
    </row>
    <row r="9" spans="2:5" ht="43.8" thickBot="1" x14ac:dyDescent="0.35">
      <c r="B9" s="43" t="s">
        <v>178</v>
      </c>
      <c r="C9" s="44">
        <v>1</v>
      </c>
      <c r="D9" s="45" t="s">
        <v>184</v>
      </c>
      <c r="E9" s="43" t="s">
        <v>179</v>
      </c>
    </row>
    <row r="11" spans="2:5" ht="73.8" customHeight="1" x14ac:dyDescent="0.3">
      <c r="B11" s="381" t="s">
        <v>185</v>
      </c>
      <c r="C11" s="381"/>
      <c r="D11" s="381"/>
      <c r="E11" s="381"/>
    </row>
  </sheetData>
  <mergeCells count="1">
    <mergeCell ref="B11:E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B63E-F336-41E9-AB9A-68D526291474}">
  <dimension ref="B2:J26"/>
  <sheetViews>
    <sheetView showGridLines="0" zoomScale="90" zoomScaleNormal="90" workbookViewId="0"/>
  </sheetViews>
  <sheetFormatPr baseColWidth="10" defaultRowHeight="14.4" x14ac:dyDescent="0.3"/>
  <cols>
    <col min="1" max="1" width="5.5546875" customWidth="1"/>
    <col min="2" max="2" width="16.5546875" customWidth="1"/>
    <col min="3" max="3" width="14.77734375" customWidth="1"/>
    <col min="4" max="4" width="20" customWidth="1"/>
    <col min="5" max="5" width="13.109375" customWidth="1"/>
    <col min="6" max="6" width="13.44140625" customWidth="1"/>
    <col min="7" max="7" width="17.21875" customWidth="1"/>
    <col min="8" max="8" width="14.21875" customWidth="1"/>
    <col min="9" max="9" width="16.6640625" customWidth="1"/>
    <col min="10" max="10" width="16.5546875" customWidth="1"/>
  </cols>
  <sheetData>
    <row r="2" spans="2:10" x14ac:dyDescent="0.3">
      <c r="B2" s="64" t="s">
        <v>265</v>
      </c>
    </row>
    <row r="3" spans="2:10" ht="15" thickBot="1" x14ac:dyDescent="0.35"/>
    <row r="4" spans="2:10" ht="33.6" customHeight="1" thickBot="1" x14ac:dyDescent="0.35">
      <c r="B4" s="46" t="s">
        <v>170</v>
      </c>
      <c r="C4" s="46" t="s">
        <v>171</v>
      </c>
      <c r="D4" s="46" t="s">
        <v>239</v>
      </c>
      <c r="E4" s="46" t="s">
        <v>237</v>
      </c>
      <c r="F4" s="46" t="s">
        <v>238</v>
      </c>
      <c r="G4" s="46" t="s">
        <v>240</v>
      </c>
      <c r="H4" s="46" t="s">
        <v>186</v>
      </c>
      <c r="I4" s="46" t="s">
        <v>187</v>
      </c>
      <c r="J4" s="46" t="s">
        <v>188</v>
      </c>
    </row>
    <row r="5" spans="2:10" ht="37.799999999999997" customHeight="1" x14ac:dyDescent="0.3">
      <c r="B5" s="385" t="s">
        <v>189</v>
      </c>
      <c r="C5" s="388">
        <v>5</v>
      </c>
      <c r="D5" s="382" t="s">
        <v>242</v>
      </c>
      <c r="E5" s="382" t="s">
        <v>190</v>
      </c>
      <c r="F5" s="382" t="s">
        <v>191</v>
      </c>
      <c r="G5" s="382" t="s">
        <v>192</v>
      </c>
      <c r="H5" s="382" t="s">
        <v>193</v>
      </c>
      <c r="I5" s="382" t="s">
        <v>194</v>
      </c>
      <c r="J5" s="47" t="s">
        <v>196</v>
      </c>
    </row>
    <row r="6" spans="2:10" ht="29.4" customHeight="1" x14ac:dyDescent="0.3">
      <c r="B6" s="386"/>
      <c r="C6" s="389"/>
      <c r="D6" s="383"/>
      <c r="E6" s="383"/>
      <c r="F6" s="383"/>
      <c r="G6" s="383"/>
      <c r="H6" s="383"/>
      <c r="I6" s="383"/>
      <c r="J6" s="48" t="s">
        <v>197</v>
      </c>
    </row>
    <row r="7" spans="2:10" ht="29.4" customHeight="1" x14ac:dyDescent="0.3">
      <c r="B7" s="386"/>
      <c r="C7" s="389"/>
      <c r="D7" s="383" t="s">
        <v>244</v>
      </c>
      <c r="E7" s="383"/>
      <c r="F7" s="383"/>
      <c r="G7" s="383"/>
      <c r="H7" s="383"/>
      <c r="I7" s="383" t="s">
        <v>195</v>
      </c>
      <c r="J7" s="48" t="s">
        <v>198</v>
      </c>
    </row>
    <row r="8" spans="2:10" ht="29.4" customHeight="1" thickBot="1" x14ac:dyDescent="0.35">
      <c r="B8" s="387"/>
      <c r="C8" s="390"/>
      <c r="D8" s="384"/>
      <c r="E8" s="384"/>
      <c r="F8" s="384"/>
      <c r="G8" s="384"/>
      <c r="H8" s="384"/>
      <c r="I8" s="384"/>
      <c r="J8" s="49" t="s">
        <v>199</v>
      </c>
    </row>
    <row r="9" spans="2:10" ht="39.6" customHeight="1" x14ac:dyDescent="0.3">
      <c r="B9" s="385" t="s">
        <v>200</v>
      </c>
      <c r="C9" s="388">
        <v>4</v>
      </c>
      <c r="D9" s="382" t="s">
        <v>243</v>
      </c>
      <c r="E9" s="382" t="s">
        <v>201</v>
      </c>
      <c r="F9" s="382" t="s">
        <v>202</v>
      </c>
      <c r="G9" s="382" t="s">
        <v>203</v>
      </c>
      <c r="H9" s="382" t="s">
        <v>205</v>
      </c>
      <c r="I9" s="382" t="s">
        <v>206</v>
      </c>
      <c r="J9" s="47" t="s">
        <v>208</v>
      </c>
    </row>
    <row r="10" spans="2:10" ht="39" customHeight="1" x14ac:dyDescent="0.3">
      <c r="B10" s="386"/>
      <c r="C10" s="389"/>
      <c r="D10" s="383"/>
      <c r="E10" s="383"/>
      <c r="F10" s="383"/>
      <c r="G10" s="383"/>
      <c r="H10" s="383"/>
      <c r="I10" s="383"/>
      <c r="J10" s="48" t="s">
        <v>209</v>
      </c>
    </row>
    <row r="11" spans="2:10" ht="27.6" customHeight="1" x14ac:dyDescent="0.3">
      <c r="B11" s="386"/>
      <c r="C11" s="389"/>
      <c r="D11" s="383" t="s">
        <v>245</v>
      </c>
      <c r="E11" s="383"/>
      <c r="F11" s="383"/>
      <c r="G11" s="383" t="s">
        <v>204</v>
      </c>
      <c r="H11" s="383"/>
      <c r="I11" s="383" t="s">
        <v>207</v>
      </c>
      <c r="J11" s="48" t="s">
        <v>210</v>
      </c>
    </row>
    <row r="12" spans="2:10" ht="46.8" customHeight="1" thickBot="1" x14ac:dyDescent="0.35">
      <c r="B12" s="387"/>
      <c r="C12" s="390"/>
      <c r="D12" s="384"/>
      <c r="E12" s="384"/>
      <c r="F12" s="384"/>
      <c r="G12" s="384"/>
      <c r="H12" s="384"/>
      <c r="I12" s="384"/>
      <c r="J12" s="49" t="s">
        <v>211</v>
      </c>
    </row>
    <row r="13" spans="2:10" ht="49.8" customHeight="1" x14ac:dyDescent="0.3">
      <c r="B13" s="385" t="s">
        <v>212</v>
      </c>
      <c r="C13" s="388">
        <v>3</v>
      </c>
      <c r="D13" s="382" t="s">
        <v>247</v>
      </c>
      <c r="E13" s="382" t="s">
        <v>213</v>
      </c>
      <c r="F13" s="382" t="s">
        <v>214</v>
      </c>
      <c r="G13" s="382" t="s">
        <v>215</v>
      </c>
      <c r="H13" s="382" t="s">
        <v>217</v>
      </c>
      <c r="I13" s="382" t="s">
        <v>225</v>
      </c>
      <c r="J13" s="47" t="s">
        <v>246</v>
      </c>
    </row>
    <row r="14" spans="2:10" ht="30" customHeight="1" x14ac:dyDescent="0.3">
      <c r="B14" s="386"/>
      <c r="C14" s="389"/>
      <c r="D14" s="383"/>
      <c r="E14" s="383"/>
      <c r="F14" s="383"/>
      <c r="G14" s="383"/>
      <c r="H14" s="383"/>
      <c r="I14" s="383"/>
      <c r="J14" s="48" t="s">
        <v>218</v>
      </c>
    </row>
    <row r="15" spans="2:10" ht="42.6" customHeight="1" thickBot="1" x14ac:dyDescent="0.35">
      <c r="B15" s="387"/>
      <c r="C15" s="390"/>
      <c r="D15" s="48" t="s">
        <v>241</v>
      </c>
      <c r="E15" s="384"/>
      <c r="F15" s="384"/>
      <c r="G15" s="48" t="s">
        <v>216</v>
      </c>
      <c r="H15" s="384"/>
      <c r="I15" s="48" t="s">
        <v>249</v>
      </c>
      <c r="J15" s="49" t="s">
        <v>252</v>
      </c>
    </row>
    <row r="16" spans="2:10" ht="45.6" customHeight="1" x14ac:dyDescent="0.3">
      <c r="B16" s="385" t="s">
        <v>219</v>
      </c>
      <c r="C16" s="388">
        <v>2</v>
      </c>
      <c r="D16" s="382" t="s">
        <v>250</v>
      </c>
      <c r="E16" s="382" t="s">
        <v>220</v>
      </c>
      <c r="F16" s="382" t="s">
        <v>221</v>
      </c>
      <c r="G16" s="382" t="s">
        <v>222</v>
      </c>
      <c r="H16" s="382" t="s">
        <v>224</v>
      </c>
      <c r="I16" s="382" t="s">
        <v>253</v>
      </c>
      <c r="J16" s="47" t="s">
        <v>226</v>
      </c>
    </row>
    <row r="17" spans="2:10" ht="25.8" customHeight="1" x14ac:dyDescent="0.3">
      <c r="B17" s="386"/>
      <c r="C17" s="389"/>
      <c r="D17" s="383"/>
      <c r="E17" s="383"/>
      <c r="F17" s="383"/>
      <c r="G17" s="383"/>
      <c r="H17" s="383"/>
      <c r="I17" s="383"/>
      <c r="J17" s="48" t="s">
        <v>227</v>
      </c>
    </row>
    <row r="18" spans="2:10" ht="24.6" customHeight="1" x14ac:dyDescent="0.3">
      <c r="B18" s="386"/>
      <c r="C18" s="389"/>
      <c r="D18" s="383" t="s">
        <v>248</v>
      </c>
      <c r="E18" s="383"/>
      <c r="F18" s="383"/>
      <c r="G18" s="383" t="s">
        <v>223</v>
      </c>
      <c r="H18" s="383"/>
      <c r="I18" s="383"/>
      <c r="J18" s="391" t="s">
        <v>228</v>
      </c>
    </row>
    <row r="19" spans="2:10" ht="15" thickBot="1" x14ac:dyDescent="0.35">
      <c r="B19" s="387"/>
      <c r="C19" s="390"/>
      <c r="D19" s="384"/>
      <c r="E19" s="384"/>
      <c r="F19" s="384"/>
      <c r="G19" s="384"/>
      <c r="H19" s="384"/>
      <c r="I19" s="384"/>
      <c r="J19" s="392"/>
    </row>
    <row r="20" spans="2:10" ht="24" customHeight="1" x14ac:dyDescent="0.3">
      <c r="B20" s="385" t="s">
        <v>229</v>
      </c>
      <c r="C20" s="388">
        <v>1</v>
      </c>
      <c r="D20" s="382" t="s">
        <v>251</v>
      </c>
      <c r="E20" s="382" t="s">
        <v>230</v>
      </c>
      <c r="F20" s="382" t="s">
        <v>231</v>
      </c>
      <c r="G20" s="382" t="s">
        <v>232</v>
      </c>
      <c r="H20" s="382" t="s">
        <v>233</v>
      </c>
      <c r="I20" s="382" t="s">
        <v>234</v>
      </c>
      <c r="J20" s="47" t="s">
        <v>235</v>
      </c>
    </row>
    <row r="21" spans="2:10" ht="40.799999999999997" customHeight="1" thickBot="1" x14ac:dyDescent="0.35">
      <c r="B21" s="387"/>
      <c r="C21" s="390"/>
      <c r="D21" s="383"/>
      <c r="E21" s="384"/>
      <c r="F21" s="384"/>
      <c r="G21" s="384"/>
      <c r="H21" s="384"/>
      <c r="I21" s="384"/>
      <c r="J21" s="49" t="s">
        <v>236</v>
      </c>
    </row>
    <row r="24" spans="2:10" ht="14.4" customHeight="1" x14ac:dyDescent="0.3">
      <c r="B24" s="381" t="s">
        <v>254</v>
      </c>
      <c r="C24" s="381"/>
      <c r="D24" s="381"/>
      <c r="E24" s="381"/>
      <c r="F24" s="381"/>
      <c r="G24" s="381"/>
      <c r="H24" s="381"/>
      <c r="I24" s="381"/>
      <c r="J24" s="381"/>
    </row>
    <row r="25" spans="2:10" x14ac:dyDescent="0.3">
      <c r="B25" s="381"/>
      <c r="C25" s="381"/>
      <c r="D25" s="381"/>
      <c r="E25" s="381"/>
      <c r="F25" s="381"/>
      <c r="G25" s="381"/>
      <c r="H25" s="381"/>
      <c r="I25" s="381"/>
      <c r="J25" s="381"/>
    </row>
    <row r="26" spans="2:10" x14ac:dyDescent="0.3">
      <c r="B26" s="381"/>
      <c r="C26" s="381"/>
      <c r="D26" s="381"/>
      <c r="E26" s="381"/>
      <c r="F26" s="381"/>
      <c r="G26" s="381"/>
      <c r="H26" s="381"/>
      <c r="I26" s="381"/>
      <c r="J26" s="381"/>
    </row>
  </sheetData>
  <mergeCells count="49">
    <mergeCell ref="J18:J19"/>
    <mergeCell ref="B24:J26"/>
    <mergeCell ref="I9:I10"/>
    <mergeCell ref="I11:I12"/>
    <mergeCell ref="G11:G12"/>
    <mergeCell ref="G9:G10"/>
    <mergeCell ref="D13:D14"/>
    <mergeCell ref="I13:I14"/>
    <mergeCell ref="G13:G14"/>
    <mergeCell ref="D20:D21"/>
    <mergeCell ref="C20:C21"/>
    <mergeCell ref="B20:B21"/>
    <mergeCell ref="I16:I19"/>
    <mergeCell ref="E20:E21"/>
    <mergeCell ref="F20:F21"/>
    <mergeCell ref="G20:G21"/>
    <mergeCell ref="H13:H15"/>
    <mergeCell ref="H20:H21"/>
    <mergeCell ref="I20:I21"/>
    <mergeCell ref="G18:G19"/>
    <mergeCell ref="F16:F19"/>
    <mergeCell ref="H16:H19"/>
    <mergeCell ref="D18:D19"/>
    <mergeCell ref="D16:D17"/>
    <mergeCell ref="G16:G17"/>
    <mergeCell ref="C9:C12"/>
    <mergeCell ref="B9:B12"/>
    <mergeCell ref="B16:B19"/>
    <mergeCell ref="C16:C19"/>
    <mergeCell ref="E16:E19"/>
    <mergeCell ref="D11:D12"/>
    <mergeCell ref="D9:D10"/>
    <mergeCell ref="B13:B15"/>
    <mergeCell ref="C13:C15"/>
    <mergeCell ref="E13:E15"/>
    <mergeCell ref="F13:F15"/>
    <mergeCell ref="B5:B8"/>
    <mergeCell ref="C5:C8"/>
    <mergeCell ref="E5:E8"/>
    <mergeCell ref="F5:F8"/>
    <mergeCell ref="G5:G8"/>
    <mergeCell ref="D5:D6"/>
    <mergeCell ref="D7:D8"/>
    <mergeCell ref="I5:I6"/>
    <mergeCell ref="I7:I8"/>
    <mergeCell ref="H5:H8"/>
    <mergeCell ref="H9:H12"/>
    <mergeCell ref="E9:E12"/>
    <mergeCell ref="F9:F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37DC-CDCF-4CAE-9379-0AD52437EC30}">
  <dimension ref="B1:AB28"/>
  <sheetViews>
    <sheetView showGridLines="0" zoomScale="90" zoomScaleNormal="90" workbookViewId="0"/>
  </sheetViews>
  <sheetFormatPr baseColWidth="10" defaultColWidth="8.88671875" defaultRowHeight="14.4" x14ac:dyDescent="0.3"/>
  <cols>
    <col min="1" max="1" width="3.88671875" customWidth="1"/>
    <col min="2" max="3" width="14.109375" customWidth="1"/>
    <col min="4" max="4" width="16.44140625" customWidth="1"/>
    <col min="5" max="5" width="4.77734375" customWidth="1"/>
    <col min="6" max="6" width="14.44140625" customWidth="1"/>
    <col min="7" max="7" width="13.77734375" customWidth="1"/>
    <col min="8" max="8" width="15.5546875" customWidth="1"/>
    <col min="15" max="16" width="13.33203125" customWidth="1"/>
    <col min="17" max="17" width="17.109375" customWidth="1"/>
    <col min="18" max="18" width="16.6640625" customWidth="1"/>
  </cols>
  <sheetData>
    <row r="1" spans="2:28" x14ac:dyDescent="0.3">
      <c r="J1" s="138"/>
      <c r="K1" s="137">
        <v>5</v>
      </c>
      <c r="L1" s="137">
        <v>5</v>
      </c>
      <c r="M1" s="137" t="s">
        <v>342</v>
      </c>
      <c r="N1" s="137"/>
    </row>
    <row r="2" spans="2:28" x14ac:dyDescent="0.3">
      <c r="B2" s="393" t="s">
        <v>263</v>
      </c>
      <c r="C2" s="393"/>
      <c r="D2" s="393"/>
      <c r="F2" s="393" t="s">
        <v>264</v>
      </c>
      <c r="G2" s="393"/>
      <c r="H2" s="393"/>
    </row>
    <row r="3" spans="2:28" ht="37.5" customHeight="1" x14ac:dyDescent="0.3">
      <c r="B3" s="56" t="s">
        <v>262</v>
      </c>
      <c r="C3" s="57" t="s">
        <v>70</v>
      </c>
      <c r="D3" s="57" t="s">
        <v>64</v>
      </c>
      <c r="F3" s="56" t="s">
        <v>262</v>
      </c>
      <c r="G3" s="57" t="s">
        <v>70</v>
      </c>
      <c r="H3" s="57" t="s">
        <v>64</v>
      </c>
    </row>
    <row r="4" spans="2:28" x14ac:dyDescent="0.3">
      <c r="B4" s="136" t="str">
        <f>+'T1-T2-T4 Matriz Riesgos '!A11</f>
        <v>R1a</v>
      </c>
      <c r="C4" s="136">
        <f>+'T1-T2-T4 Matriz Riesgos '!K11</f>
        <v>0</v>
      </c>
      <c r="D4" s="136">
        <f>+'T1-T2-T4 Matriz Riesgos '!L11</f>
        <v>0</v>
      </c>
      <c r="F4" s="136" t="str">
        <f>+B4</f>
        <v>R1a</v>
      </c>
      <c r="G4" s="136">
        <f>+'T1-T2-T4 Matriz Riesgos '!Z11</f>
        <v>0</v>
      </c>
      <c r="H4" s="136">
        <f>+'T1-T2-T4 Matriz Riesgos '!AA11</f>
        <v>0</v>
      </c>
      <c r="AA4" s="3"/>
      <c r="AB4" s="3"/>
    </row>
    <row r="5" spans="2:28" x14ac:dyDescent="0.3">
      <c r="B5" s="136" t="str">
        <f>+'T1-T2-T4 Matriz Riesgos '!A13</f>
        <v>R1b</v>
      </c>
      <c r="C5" s="136">
        <f>+'T1-T2-T4 Matriz Riesgos '!K13</f>
        <v>0</v>
      </c>
      <c r="D5" s="136">
        <f>+'T1-T2-T4 Matriz Riesgos '!L13</f>
        <v>0</v>
      </c>
      <c r="F5" s="136" t="str">
        <f t="shared" ref="F5:F27" si="0">+B5</f>
        <v>R1b</v>
      </c>
      <c r="G5" s="136">
        <f>+'T1-T2-T4 Matriz Riesgos '!Z13</f>
        <v>0</v>
      </c>
      <c r="H5" s="136">
        <f>+'T1-T2-T4 Matriz Riesgos '!AA13</f>
        <v>0</v>
      </c>
      <c r="AA5" s="3"/>
      <c r="AB5" s="3"/>
    </row>
    <row r="6" spans="2:28" x14ac:dyDescent="0.3">
      <c r="B6" s="136" t="str">
        <f>+'T1-T2-T4 Matriz Riesgos '!A15</f>
        <v>R1c</v>
      </c>
      <c r="C6" s="136">
        <f>+'T1-T2-T4 Matriz Riesgos '!K15</f>
        <v>0</v>
      </c>
      <c r="D6" s="136">
        <f>+'T1-T2-T4 Matriz Riesgos '!L15</f>
        <v>0</v>
      </c>
      <c r="F6" s="136" t="str">
        <f t="shared" si="0"/>
        <v>R1c</v>
      </c>
      <c r="G6" s="136">
        <f>+'T1-T2-T4 Matriz Riesgos '!Z15</f>
        <v>0</v>
      </c>
      <c r="H6" s="136">
        <f>+'T1-T2-T4 Matriz Riesgos '!AA15</f>
        <v>0</v>
      </c>
      <c r="AA6" s="3"/>
      <c r="AB6" s="3"/>
    </row>
    <row r="7" spans="2:28" x14ac:dyDescent="0.3">
      <c r="B7" s="136" t="str">
        <f>+'T1-T2-T4 Matriz Riesgos '!A17</f>
        <v>R2a</v>
      </c>
      <c r="C7" s="136">
        <f>+'T1-T2-T4 Matriz Riesgos '!K17</f>
        <v>0</v>
      </c>
      <c r="D7" s="136">
        <f>+'T1-T2-T4 Matriz Riesgos '!L17</f>
        <v>0</v>
      </c>
      <c r="F7" s="136" t="str">
        <f t="shared" si="0"/>
        <v>R2a</v>
      </c>
      <c r="G7" s="136">
        <f>+'T1-T2-T4 Matriz Riesgos '!Z17</f>
        <v>0</v>
      </c>
      <c r="H7" s="136">
        <f>+'T1-T2-T4 Matriz Riesgos '!AA17</f>
        <v>0</v>
      </c>
      <c r="AA7" s="3"/>
      <c r="AB7" s="3"/>
    </row>
    <row r="8" spans="2:28" ht="18.75" customHeight="1" x14ac:dyDescent="0.3">
      <c r="B8" s="136" t="str">
        <f>+'T1-T2-T4 Matriz Riesgos '!A19</f>
        <v>R2b</v>
      </c>
      <c r="C8" s="136">
        <f>+'T1-T2-T4 Matriz Riesgos '!K19</f>
        <v>0</v>
      </c>
      <c r="D8" s="136">
        <f>+'T1-T2-T4 Matriz Riesgos '!L19</f>
        <v>0</v>
      </c>
      <c r="F8" s="136" t="str">
        <f t="shared" si="0"/>
        <v>R2b</v>
      </c>
      <c r="G8" s="136">
        <f>+'T1-T2-T4 Matriz Riesgos '!Z19</f>
        <v>0</v>
      </c>
      <c r="H8" s="136">
        <f>+'T1-T2-T4 Matriz Riesgos '!AA19</f>
        <v>0</v>
      </c>
      <c r="AA8" s="3"/>
      <c r="AB8" s="3"/>
    </row>
    <row r="9" spans="2:28" x14ac:dyDescent="0.3">
      <c r="B9" s="136" t="str">
        <f>+'T1-T2-T4 Matriz Riesgos '!A21</f>
        <v>R2c</v>
      </c>
      <c r="C9" s="136">
        <f>+'T1-T2-T4 Matriz Riesgos '!K21</f>
        <v>0</v>
      </c>
      <c r="D9" s="136">
        <f>+'T1-T2-T4 Matriz Riesgos '!L21</f>
        <v>0</v>
      </c>
      <c r="F9" s="136" t="str">
        <f t="shared" si="0"/>
        <v>R2c</v>
      </c>
      <c r="G9" s="136">
        <f>+'T1-T2-T4 Matriz Riesgos '!Z21</f>
        <v>0</v>
      </c>
      <c r="H9" s="136">
        <f>+'T1-T2-T4 Matriz Riesgos '!AA21</f>
        <v>0</v>
      </c>
      <c r="AA9" s="3"/>
      <c r="AB9" s="3"/>
    </row>
    <row r="10" spans="2:28" x14ac:dyDescent="0.3">
      <c r="B10" s="136" t="str">
        <f>+'T1-T2-T4 Matriz Riesgos '!A23</f>
        <v>R3a</v>
      </c>
      <c r="C10" s="136">
        <f>+'T1-T2-T4 Matriz Riesgos '!K23</f>
        <v>0</v>
      </c>
      <c r="D10" s="136">
        <f>+'T1-T2-T4 Matriz Riesgos '!L23</f>
        <v>0</v>
      </c>
      <c r="F10" s="136" t="str">
        <f t="shared" si="0"/>
        <v>R3a</v>
      </c>
      <c r="G10" s="136">
        <f>+'T1-T2-T4 Matriz Riesgos '!Z23</f>
        <v>0</v>
      </c>
      <c r="H10" s="136">
        <f>+'T1-T2-T4 Matriz Riesgos '!AA23</f>
        <v>0</v>
      </c>
      <c r="AA10" s="3"/>
      <c r="AB10" s="3"/>
    </row>
    <row r="11" spans="2:28" x14ac:dyDescent="0.3">
      <c r="B11" s="136" t="str">
        <f>+'T1-T2-T4 Matriz Riesgos '!A25</f>
        <v>R3b</v>
      </c>
      <c r="C11" s="136">
        <f>+'T1-T2-T4 Matriz Riesgos '!K25</f>
        <v>0</v>
      </c>
      <c r="D11" s="136">
        <f>+'T1-T2-T4 Matriz Riesgos '!L25</f>
        <v>0</v>
      </c>
      <c r="F11" s="136" t="str">
        <f t="shared" si="0"/>
        <v>R3b</v>
      </c>
      <c r="G11" s="136">
        <f>+'T1-T2-T4 Matriz Riesgos '!Z25</f>
        <v>0</v>
      </c>
      <c r="H11" s="136">
        <f>+'T1-T2-T4 Matriz Riesgos '!AA25</f>
        <v>0</v>
      </c>
      <c r="AA11" s="3"/>
      <c r="AB11" s="3"/>
    </row>
    <row r="12" spans="2:28" x14ac:dyDescent="0.3">
      <c r="B12" s="136" t="str">
        <f>+'T1-T2-T4 Matriz Riesgos '!A27</f>
        <v>R3c</v>
      </c>
      <c r="C12" s="136">
        <f>+'T1-T2-T4 Matriz Riesgos '!K27</f>
        <v>0</v>
      </c>
      <c r="D12" s="136">
        <f>+'T1-T2-T4 Matriz Riesgos '!L27</f>
        <v>0</v>
      </c>
      <c r="F12" s="136" t="str">
        <f t="shared" si="0"/>
        <v>R3c</v>
      </c>
      <c r="G12" s="136">
        <f>+'T1-T2-T4 Matriz Riesgos '!Z27</f>
        <v>0</v>
      </c>
      <c r="H12" s="136">
        <f>+'T1-T2-T4 Matriz Riesgos '!AA27</f>
        <v>0</v>
      </c>
      <c r="AA12" s="3"/>
      <c r="AB12" s="3"/>
    </row>
    <row r="13" spans="2:28" x14ac:dyDescent="0.3">
      <c r="B13" s="136" t="str">
        <f>+'T1-T2-T4 Matriz Riesgos '!A29</f>
        <v>R4a</v>
      </c>
      <c r="C13" s="136">
        <f>+'T1-T2-T4 Matriz Riesgos '!K29</f>
        <v>0</v>
      </c>
      <c r="D13" s="136">
        <f>+'T1-T2-T4 Matriz Riesgos '!L29</f>
        <v>0</v>
      </c>
      <c r="F13" s="136" t="str">
        <f t="shared" si="0"/>
        <v>R4a</v>
      </c>
      <c r="G13" s="136">
        <f>+'T1-T2-T4 Matriz Riesgos '!Z29</f>
        <v>0</v>
      </c>
      <c r="H13" s="136">
        <f>+'T1-T2-T4 Matriz Riesgos '!AA29</f>
        <v>0</v>
      </c>
      <c r="AA13" s="3"/>
      <c r="AB13" s="3"/>
    </row>
    <row r="14" spans="2:28" x14ac:dyDescent="0.3">
      <c r="B14" s="136" t="str">
        <f>+'T1-T2-T4 Matriz Riesgos '!A31</f>
        <v>R4b</v>
      </c>
      <c r="C14" s="136">
        <f>+'T1-T2-T4 Matriz Riesgos '!K31</f>
        <v>0</v>
      </c>
      <c r="D14" s="136">
        <f>+'T1-T2-T4 Matriz Riesgos '!L31</f>
        <v>0</v>
      </c>
      <c r="F14" s="136" t="str">
        <f t="shared" si="0"/>
        <v>R4b</v>
      </c>
      <c r="G14" s="136">
        <f>+'T1-T2-T4 Matriz Riesgos '!Z31</f>
        <v>0</v>
      </c>
      <c r="H14" s="136">
        <f>+'T1-T2-T4 Matriz Riesgos '!AA31</f>
        <v>0</v>
      </c>
      <c r="AA14" s="3"/>
      <c r="AB14" s="3"/>
    </row>
    <row r="15" spans="2:28" x14ac:dyDescent="0.3">
      <c r="B15" s="136" t="str">
        <f>+'T1-T2-T4 Matriz Riesgos '!A33</f>
        <v>R4c</v>
      </c>
      <c r="C15" s="136">
        <f>+'T1-T2-T4 Matriz Riesgos '!K33</f>
        <v>0</v>
      </c>
      <c r="D15" s="136">
        <f>+'T1-T2-T4 Matriz Riesgos '!L33</f>
        <v>0</v>
      </c>
      <c r="F15" s="136" t="str">
        <f t="shared" si="0"/>
        <v>R4c</v>
      </c>
      <c r="G15" s="136">
        <f>+'T1-T2-T4 Matriz Riesgos '!Z33</f>
        <v>0</v>
      </c>
      <c r="H15" s="136">
        <f>+'T1-T2-T4 Matriz Riesgos '!AA33</f>
        <v>0</v>
      </c>
      <c r="AA15" s="3"/>
      <c r="AB15" s="3"/>
    </row>
    <row r="16" spans="2:28" x14ac:dyDescent="0.3">
      <c r="B16" s="136" t="str">
        <f>+'T1-T2-T4 Matriz Riesgos '!A35</f>
        <v>R5a</v>
      </c>
      <c r="C16" s="136">
        <f>+'T1-T2-T4 Matriz Riesgos '!K35</f>
        <v>0</v>
      </c>
      <c r="D16" s="136">
        <f>+'T1-T2-T4 Matriz Riesgos '!L35</f>
        <v>0</v>
      </c>
      <c r="F16" s="136" t="str">
        <f t="shared" si="0"/>
        <v>R5a</v>
      </c>
      <c r="G16" s="136">
        <f>+'T1-T2-T4 Matriz Riesgos '!Z35</f>
        <v>0</v>
      </c>
      <c r="H16" s="136">
        <f>+'T1-T2-T4 Matriz Riesgos '!AA35</f>
        <v>0</v>
      </c>
      <c r="AA16" s="3"/>
      <c r="AB16" s="3"/>
    </row>
    <row r="17" spans="2:28" x14ac:dyDescent="0.3">
      <c r="B17" s="136" t="str">
        <f>+'T1-T2-T4 Matriz Riesgos '!A37</f>
        <v>R5b</v>
      </c>
      <c r="C17" s="136">
        <f>+'T1-T2-T4 Matriz Riesgos '!K37</f>
        <v>0</v>
      </c>
      <c r="D17" s="136">
        <f>+'T1-T2-T4 Matriz Riesgos '!L37</f>
        <v>0</v>
      </c>
      <c r="F17" s="136" t="str">
        <f t="shared" si="0"/>
        <v>R5b</v>
      </c>
      <c r="G17" s="136">
        <f>+'T1-T2-T4 Matriz Riesgos '!Z37</f>
        <v>0</v>
      </c>
      <c r="H17" s="136">
        <f>+'T1-T2-T4 Matriz Riesgos '!AA37</f>
        <v>0</v>
      </c>
      <c r="AA17" s="3"/>
      <c r="AB17" s="3"/>
    </row>
    <row r="18" spans="2:28" x14ac:dyDescent="0.3">
      <c r="B18" s="136" t="str">
        <f>+'T1-T2-T4 Matriz Riesgos '!A39</f>
        <v>R5c</v>
      </c>
      <c r="C18" s="136">
        <f>+'T1-T2-T4 Matriz Riesgos '!K39</f>
        <v>0</v>
      </c>
      <c r="D18" s="136">
        <f>+'T1-T2-T4 Matriz Riesgos '!L39</f>
        <v>0</v>
      </c>
      <c r="F18" s="136" t="str">
        <f t="shared" si="0"/>
        <v>R5c</v>
      </c>
      <c r="G18" s="136">
        <f>+'T1-T2-T4 Matriz Riesgos '!Z39</f>
        <v>0</v>
      </c>
      <c r="H18" s="136">
        <f>+'T1-T2-T4 Matriz Riesgos '!AA39</f>
        <v>0</v>
      </c>
      <c r="AA18" s="3"/>
      <c r="AB18" s="3"/>
    </row>
    <row r="19" spans="2:28" x14ac:dyDescent="0.3">
      <c r="B19" s="136" t="str">
        <f>+'T1-T2-T4 Matriz Riesgos '!A41</f>
        <v>R6a</v>
      </c>
      <c r="C19" s="136">
        <f>+'T1-T2-T4 Matriz Riesgos '!K41</f>
        <v>0</v>
      </c>
      <c r="D19" s="136">
        <f>+'T1-T2-T4 Matriz Riesgos '!L41</f>
        <v>0</v>
      </c>
      <c r="F19" s="136" t="str">
        <f t="shared" si="0"/>
        <v>R6a</v>
      </c>
      <c r="G19" s="136">
        <f>+'T1-T2-T4 Matriz Riesgos '!Z41</f>
        <v>0</v>
      </c>
      <c r="H19" s="136">
        <f>+'T1-T2-T4 Matriz Riesgos '!AA41</f>
        <v>0</v>
      </c>
      <c r="AA19" s="3"/>
      <c r="AB19" s="3"/>
    </row>
    <row r="20" spans="2:28" x14ac:dyDescent="0.3">
      <c r="B20" s="136" t="str">
        <f>+'T1-T2-T4 Matriz Riesgos '!A43</f>
        <v>R6b</v>
      </c>
      <c r="C20" s="136">
        <f>+'T1-T2-T4 Matriz Riesgos '!K43</f>
        <v>0</v>
      </c>
      <c r="D20" s="136">
        <f>+'T1-T2-T4 Matriz Riesgos '!L43</f>
        <v>0</v>
      </c>
      <c r="F20" s="136" t="str">
        <f t="shared" si="0"/>
        <v>R6b</v>
      </c>
      <c r="G20" s="136">
        <f>+'T1-T2-T4 Matriz Riesgos '!Z43</f>
        <v>0</v>
      </c>
      <c r="H20" s="136">
        <f>+'T1-T2-T4 Matriz Riesgos '!AA43</f>
        <v>0</v>
      </c>
      <c r="AA20" s="3"/>
      <c r="AB20" s="3"/>
    </row>
    <row r="21" spans="2:28" x14ac:dyDescent="0.3">
      <c r="B21" s="136" t="str">
        <f>+'T1-T2-T4 Matriz Riesgos '!A45</f>
        <v>R6c</v>
      </c>
      <c r="C21" s="136">
        <f>+'T1-T2-T4 Matriz Riesgos '!K45</f>
        <v>0</v>
      </c>
      <c r="D21" s="136">
        <f>+'T1-T2-T4 Matriz Riesgos '!L45</f>
        <v>0</v>
      </c>
      <c r="F21" s="136" t="str">
        <f t="shared" si="0"/>
        <v>R6c</v>
      </c>
      <c r="G21" s="136">
        <f>+'T1-T2-T4 Matriz Riesgos '!Z45</f>
        <v>0</v>
      </c>
      <c r="H21" s="136">
        <f>+'T1-T2-T4 Matriz Riesgos '!AA45</f>
        <v>0</v>
      </c>
      <c r="AA21" s="3"/>
      <c r="AB21" s="3"/>
    </row>
    <row r="22" spans="2:28" x14ac:dyDescent="0.3">
      <c r="B22" s="136" t="str">
        <f>+'T1-T2-T4 Matriz Riesgos '!A47</f>
        <v>R7a</v>
      </c>
      <c r="C22" s="136">
        <f>+'T1-T2-T4 Matriz Riesgos '!K47</f>
        <v>0</v>
      </c>
      <c r="D22" s="136">
        <f>+'T1-T2-T4 Matriz Riesgos '!L47</f>
        <v>0</v>
      </c>
      <c r="F22" s="136" t="str">
        <f t="shared" si="0"/>
        <v>R7a</v>
      </c>
      <c r="G22" s="136">
        <f>+'T1-T2-T4 Matriz Riesgos '!Z47</f>
        <v>0</v>
      </c>
      <c r="H22" s="136">
        <f>+'T1-T2-T4 Matriz Riesgos '!AA47</f>
        <v>0</v>
      </c>
      <c r="AA22" s="3"/>
      <c r="AB22" s="3"/>
    </row>
    <row r="23" spans="2:28" x14ac:dyDescent="0.3">
      <c r="B23" s="136" t="str">
        <f>+'T1-T2-T4 Matriz Riesgos '!A49</f>
        <v>R7b</v>
      </c>
      <c r="C23" s="136">
        <f>+'T1-T2-T4 Matriz Riesgos '!K49</f>
        <v>0</v>
      </c>
      <c r="D23" s="136">
        <f>+'T1-T2-T4 Matriz Riesgos '!L49</f>
        <v>0</v>
      </c>
      <c r="F23" s="136" t="str">
        <f t="shared" si="0"/>
        <v>R7b</v>
      </c>
      <c r="G23" s="136">
        <f>+'T1-T2-T4 Matriz Riesgos '!Z49</f>
        <v>0</v>
      </c>
      <c r="H23" s="136">
        <f>+'T1-T2-T4 Matriz Riesgos '!AA49</f>
        <v>0</v>
      </c>
      <c r="AA23" s="3"/>
      <c r="AB23" s="3"/>
    </row>
    <row r="24" spans="2:28" x14ac:dyDescent="0.3">
      <c r="B24" s="136" t="str">
        <f>+'T1-T2-T4 Matriz Riesgos '!A51</f>
        <v>R7c</v>
      </c>
      <c r="C24" s="136">
        <f>+'T1-T2-T4 Matriz Riesgos '!K51</f>
        <v>0</v>
      </c>
      <c r="D24" s="136">
        <f>+'T1-T2-T4 Matriz Riesgos '!L51</f>
        <v>0</v>
      </c>
      <c r="F24" s="136" t="str">
        <f t="shared" si="0"/>
        <v>R7c</v>
      </c>
      <c r="G24" s="136">
        <f>+'T1-T2-T4 Matriz Riesgos '!Z51</f>
        <v>0</v>
      </c>
      <c r="H24" s="136">
        <f>+'T1-T2-T4 Matriz Riesgos '!AA51</f>
        <v>0</v>
      </c>
      <c r="AA24" s="3"/>
      <c r="AB24" s="3"/>
    </row>
    <row r="25" spans="2:28" x14ac:dyDescent="0.3">
      <c r="B25" s="136" t="str">
        <f>+'T1-T2-T4 Matriz Riesgos '!A53</f>
        <v>R8a</v>
      </c>
      <c r="C25" s="136">
        <f>+'T1-T2-T4 Matriz Riesgos '!K53</f>
        <v>0</v>
      </c>
      <c r="D25" s="136">
        <f>+'T1-T2-T4 Matriz Riesgos '!L53</f>
        <v>0</v>
      </c>
      <c r="F25" s="136" t="str">
        <f t="shared" si="0"/>
        <v>R8a</v>
      </c>
      <c r="G25" s="136">
        <f>+'T1-T2-T4 Matriz Riesgos '!Z53</f>
        <v>0</v>
      </c>
      <c r="H25" s="136">
        <f>+'T1-T2-T4 Matriz Riesgos '!AA53</f>
        <v>0</v>
      </c>
      <c r="AA25" s="3"/>
      <c r="AB25" s="3"/>
    </row>
    <row r="26" spans="2:28" x14ac:dyDescent="0.3">
      <c r="B26" s="136" t="str">
        <f>+'T1-T2-T4 Matriz Riesgos '!A55</f>
        <v>R8b</v>
      </c>
      <c r="C26" s="136">
        <f>+'T1-T2-T4 Matriz Riesgos '!K55</f>
        <v>0</v>
      </c>
      <c r="D26" s="136">
        <f>+'T1-T2-T4 Matriz Riesgos '!L55</f>
        <v>0</v>
      </c>
      <c r="F26" s="136" t="str">
        <f t="shared" si="0"/>
        <v>R8b</v>
      </c>
      <c r="G26" s="136">
        <f>+'T1-T2-T4 Matriz Riesgos '!Z55</f>
        <v>0</v>
      </c>
      <c r="H26" s="136">
        <f>+'T1-T2-T4 Matriz Riesgos '!AA55</f>
        <v>0</v>
      </c>
      <c r="AA26" s="3"/>
      <c r="AB26" s="3"/>
    </row>
    <row r="27" spans="2:28" x14ac:dyDescent="0.3">
      <c r="B27" s="136" t="str">
        <f>+'T1-T2-T4 Matriz Riesgos '!A57</f>
        <v>R8c</v>
      </c>
      <c r="C27" s="136">
        <f>+'T1-T2-T4 Matriz Riesgos '!K57</f>
        <v>0</v>
      </c>
      <c r="D27" s="136">
        <f>+'T1-T2-T4 Matriz Riesgos '!L57</f>
        <v>0</v>
      </c>
      <c r="F27" s="136" t="str">
        <f t="shared" si="0"/>
        <v>R8c</v>
      </c>
      <c r="G27" s="136">
        <f>+'T1-T2-T4 Matriz Riesgos '!Z57</f>
        <v>0</v>
      </c>
      <c r="H27" s="136">
        <f>+'T1-T2-T4 Matriz Riesgos '!AA57</f>
        <v>0</v>
      </c>
      <c r="AA27" s="3"/>
      <c r="AB27" s="3"/>
    </row>
    <row r="28" spans="2:28" x14ac:dyDescent="0.3">
      <c r="AA28" s="3"/>
      <c r="AB28" s="3"/>
    </row>
  </sheetData>
  <mergeCells count="2">
    <mergeCell ref="B2:D2"/>
    <mergeCell ref="F2:H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8AA8-55E9-4D0D-B918-31763E31B6F9}">
  <dimension ref="B2:P9"/>
  <sheetViews>
    <sheetView showGridLines="0" workbookViewId="0"/>
  </sheetViews>
  <sheetFormatPr baseColWidth="10" defaultColWidth="11.44140625" defaultRowHeight="14.4" x14ac:dyDescent="0.3"/>
  <sheetData>
    <row r="2" spans="2:16" x14ac:dyDescent="0.3">
      <c r="B2" s="18" t="s">
        <v>62</v>
      </c>
      <c r="J2" s="18" t="s">
        <v>63</v>
      </c>
    </row>
    <row r="3" spans="2:16" x14ac:dyDescent="0.3">
      <c r="D3" s="394" t="s">
        <v>64</v>
      </c>
      <c r="E3" s="395"/>
      <c r="F3" s="395"/>
      <c r="G3" s="395"/>
      <c r="H3" s="396"/>
      <c r="L3" s="394" t="s">
        <v>64</v>
      </c>
      <c r="M3" s="395"/>
      <c r="N3" s="395"/>
      <c r="O3" s="395"/>
      <c r="P3" s="396"/>
    </row>
    <row r="4" spans="2:16" ht="24.6" x14ac:dyDescent="0.3">
      <c r="B4" s="19"/>
      <c r="C4" s="20"/>
      <c r="D4" s="21" t="s">
        <v>65</v>
      </c>
      <c r="E4" s="21" t="s">
        <v>66</v>
      </c>
      <c r="F4" s="21" t="s">
        <v>67</v>
      </c>
      <c r="G4" s="21" t="s">
        <v>68</v>
      </c>
      <c r="H4" s="21" t="s">
        <v>69</v>
      </c>
      <c r="J4" s="19"/>
      <c r="K4" s="20"/>
      <c r="L4" s="21" t="s">
        <v>65</v>
      </c>
      <c r="M4" s="21" t="s">
        <v>66</v>
      </c>
      <c r="N4" s="21" t="s">
        <v>67</v>
      </c>
      <c r="O4" s="21" t="s">
        <v>68</v>
      </c>
      <c r="P4" s="21" t="s">
        <v>69</v>
      </c>
    </row>
    <row r="5" spans="2:16" ht="54" customHeight="1" thickBot="1" x14ac:dyDescent="0.35">
      <c r="B5" s="397" t="s">
        <v>70</v>
      </c>
      <c r="C5" s="21" t="s">
        <v>71</v>
      </c>
      <c r="D5" s="22" t="s">
        <v>72</v>
      </c>
      <c r="E5" s="23" t="s">
        <v>73</v>
      </c>
      <c r="F5" s="24" t="s">
        <v>73</v>
      </c>
      <c r="G5" s="25" t="s">
        <v>74</v>
      </c>
      <c r="H5" s="25" t="s">
        <v>74</v>
      </c>
      <c r="J5" s="397" t="s">
        <v>70</v>
      </c>
      <c r="K5" s="21" t="s">
        <v>71</v>
      </c>
      <c r="L5" s="22" t="s">
        <v>72</v>
      </c>
      <c r="M5" s="23" t="s">
        <v>73</v>
      </c>
      <c r="N5" s="24" t="s">
        <v>73</v>
      </c>
      <c r="O5" s="25" t="s">
        <v>74</v>
      </c>
      <c r="P5" s="25" t="s">
        <v>74</v>
      </c>
    </row>
    <row r="6" spans="2:16" ht="54" customHeight="1" x14ac:dyDescent="0.3">
      <c r="B6" s="398"/>
      <c r="C6" s="21" t="s">
        <v>75</v>
      </c>
      <c r="D6" s="26" t="s">
        <v>72</v>
      </c>
      <c r="E6" s="27" t="s">
        <v>72</v>
      </c>
      <c r="F6" s="28" t="s">
        <v>73</v>
      </c>
      <c r="G6" s="24" t="s">
        <v>73</v>
      </c>
      <c r="H6" s="25" t="s">
        <v>74</v>
      </c>
      <c r="J6" s="398"/>
      <c r="K6" s="21" t="s">
        <v>75</v>
      </c>
      <c r="L6" s="26" t="s">
        <v>72</v>
      </c>
      <c r="M6" s="27" t="s">
        <v>72</v>
      </c>
      <c r="N6" s="28" t="s">
        <v>73</v>
      </c>
      <c r="O6" s="24" t="s">
        <v>73</v>
      </c>
      <c r="P6" s="25" t="s">
        <v>74</v>
      </c>
    </row>
    <row r="7" spans="2:16" ht="54" customHeight="1" thickBot="1" x14ac:dyDescent="0.35">
      <c r="B7" s="398"/>
      <c r="C7" s="21" t="s">
        <v>76</v>
      </c>
      <c r="D7" s="29" t="s">
        <v>77</v>
      </c>
      <c r="E7" s="22" t="s">
        <v>72</v>
      </c>
      <c r="F7" s="30" t="s">
        <v>73</v>
      </c>
      <c r="G7" s="31" t="s">
        <v>73</v>
      </c>
      <c r="H7" s="24" t="s">
        <v>73</v>
      </c>
      <c r="J7" s="398"/>
      <c r="K7" s="21" t="s">
        <v>76</v>
      </c>
      <c r="L7" s="29" t="s">
        <v>77</v>
      </c>
      <c r="M7" s="22" t="s">
        <v>72</v>
      </c>
      <c r="N7" s="30" t="s">
        <v>73</v>
      </c>
      <c r="O7" s="31" t="s">
        <v>73</v>
      </c>
      <c r="P7" s="24" t="s">
        <v>73</v>
      </c>
    </row>
    <row r="8" spans="2:16" ht="54" customHeight="1" x14ac:dyDescent="0.3">
      <c r="B8" s="398"/>
      <c r="C8" s="21" t="s">
        <v>78</v>
      </c>
      <c r="D8" s="29" t="s">
        <v>77</v>
      </c>
      <c r="E8" s="29" t="s">
        <v>77</v>
      </c>
      <c r="F8" s="32" t="s">
        <v>72</v>
      </c>
      <c r="G8" s="27" t="s">
        <v>72</v>
      </c>
      <c r="H8" s="28" t="s">
        <v>73</v>
      </c>
      <c r="J8" s="398"/>
      <c r="K8" s="21" t="s">
        <v>78</v>
      </c>
      <c r="L8" s="29" t="s">
        <v>77</v>
      </c>
      <c r="M8" s="29" t="s">
        <v>77</v>
      </c>
      <c r="N8" s="32" t="s">
        <v>72</v>
      </c>
      <c r="O8" s="27" t="s">
        <v>72</v>
      </c>
      <c r="P8" s="28" t="s">
        <v>73</v>
      </c>
    </row>
    <row r="9" spans="2:16" ht="54" customHeight="1" x14ac:dyDescent="0.3">
      <c r="B9" s="399"/>
      <c r="C9" s="21" t="s">
        <v>79</v>
      </c>
      <c r="D9" s="29" t="s">
        <v>77</v>
      </c>
      <c r="E9" s="29" t="s">
        <v>77</v>
      </c>
      <c r="F9" s="26" t="s">
        <v>72</v>
      </c>
      <c r="G9" s="22" t="s">
        <v>72</v>
      </c>
      <c r="H9" s="28" t="s">
        <v>73</v>
      </c>
      <c r="J9" s="399"/>
      <c r="K9" s="21" t="s">
        <v>79</v>
      </c>
      <c r="L9" s="29" t="s">
        <v>77</v>
      </c>
      <c r="M9" s="29" t="s">
        <v>77</v>
      </c>
      <c r="N9" s="26" t="s">
        <v>72</v>
      </c>
      <c r="O9" s="22" t="s">
        <v>72</v>
      </c>
      <c r="P9" s="28" t="s">
        <v>73</v>
      </c>
    </row>
  </sheetData>
  <mergeCells count="4">
    <mergeCell ref="D3:H3"/>
    <mergeCell ref="L3:P3"/>
    <mergeCell ref="B5:B9"/>
    <mergeCell ref="J5:J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D88B-43AD-4E1F-87B9-E6BA37D44659}">
  <dimension ref="A2:N60"/>
  <sheetViews>
    <sheetView showGridLines="0" zoomScale="80" zoomScaleNormal="80" zoomScaleSheetLayoutView="100" workbookViewId="0"/>
  </sheetViews>
  <sheetFormatPr baseColWidth="10" defaultRowHeight="14.4" x14ac:dyDescent="0.3"/>
  <cols>
    <col min="1" max="1" width="3.77734375" customWidth="1"/>
    <col min="2" max="2" width="13" customWidth="1"/>
    <col min="3" max="3" width="10.77734375" customWidth="1"/>
    <col min="4" max="4" width="13" customWidth="1"/>
    <col min="5" max="5" width="10.44140625" customWidth="1"/>
    <col min="6" max="6" width="14.88671875" customWidth="1"/>
    <col min="7" max="7" width="12.21875" customWidth="1"/>
    <col min="8" max="8" width="16.109375" customWidth="1"/>
    <col min="9" max="9" width="14.77734375" customWidth="1"/>
    <col min="10" max="10" width="17.21875" customWidth="1"/>
    <col min="11" max="11" width="14.44140625" customWidth="1"/>
    <col min="12" max="12" width="13.5546875" customWidth="1"/>
    <col min="13" max="13" width="11.5546875" style="142"/>
  </cols>
  <sheetData>
    <row r="2" spans="2:13" s="140" customFormat="1" ht="18" x14ac:dyDescent="0.35">
      <c r="B2" s="140" t="s">
        <v>344</v>
      </c>
      <c r="M2" s="141"/>
    </row>
    <row r="4" spans="2:13" x14ac:dyDescent="0.3">
      <c r="B4" t="s">
        <v>345</v>
      </c>
    </row>
    <row r="5" spans="2:13" x14ac:dyDescent="0.3">
      <c r="B5" t="s">
        <v>346</v>
      </c>
    </row>
    <row r="8" spans="2:13" ht="15" thickBot="1" x14ac:dyDescent="0.35"/>
    <row r="9" spans="2:13" x14ac:dyDescent="0.3">
      <c r="D9" s="3"/>
      <c r="E9" s="3"/>
      <c r="F9" s="402" t="s">
        <v>347</v>
      </c>
      <c r="G9" s="3"/>
      <c r="H9" s="402" t="s">
        <v>348</v>
      </c>
      <c r="I9" s="3"/>
      <c r="J9" s="402" t="s">
        <v>349</v>
      </c>
    </row>
    <row r="10" spans="2:13" ht="15" thickBot="1" x14ac:dyDescent="0.35">
      <c r="D10" s="234"/>
      <c r="E10" s="3"/>
      <c r="F10" s="403"/>
      <c r="G10" s="3"/>
      <c r="H10" s="403"/>
      <c r="I10" s="3"/>
      <c r="J10" s="403"/>
    </row>
    <row r="11" spans="2:13" ht="15" customHeight="1" thickBot="1" x14ac:dyDescent="0.35">
      <c r="D11" s="402" t="s">
        <v>350</v>
      </c>
      <c r="E11" s="3"/>
      <c r="F11" s="404"/>
      <c r="G11" s="3"/>
      <c r="H11" s="404"/>
      <c r="I11" s="3"/>
      <c r="J11" s="404"/>
    </row>
    <row r="12" spans="2:13" ht="15" thickBot="1" x14ac:dyDescent="0.35">
      <c r="D12" s="405"/>
      <c r="E12" s="3"/>
      <c r="F12" s="235"/>
      <c r="G12" s="3"/>
      <c r="H12" s="235"/>
      <c r="I12" s="3"/>
      <c r="J12" s="235"/>
    </row>
    <row r="13" spans="2:13" ht="15" thickBot="1" x14ac:dyDescent="0.35">
      <c r="B13" s="144" t="s">
        <v>351</v>
      </c>
      <c r="D13" s="405"/>
      <c r="E13" s="3"/>
      <c r="F13" s="5"/>
      <c r="G13" s="3"/>
      <c r="H13" s="5"/>
      <c r="I13" s="3"/>
      <c r="J13" s="5"/>
      <c r="L13" s="144" t="s">
        <v>352</v>
      </c>
    </row>
    <row r="14" spans="2:13" ht="15" thickBot="1" x14ac:dyDescent="0.35">
      <c r="D14" s="405"/>
      <c r="E14" s="3"/>
      <c r="F14" s="236"/>
      <c r="G14" s="3"/>
      <c r="H14" s="236"/>
      <c r="I14" s="3"/>
      <c r="J14" s="236"/>
    </row>
    <row r="15" spans="2:13" ht="15" customHeight="1" thickBot="1" x14ac:dyDescent="0.35">
      <c r="D15" s="406"/>
      <c r="E15" s="3"/>
      <c r="F15" s="402" t="s">
        <v>353</v>
      </c>
      <c r="G15" s="3"/>
      <c r="H15" s="402" t="s">
        <v>354</v>
      </c>
      <c r="I15" s="3"/>
      <c r="J15" s="402" t="s">
        <v>355</v>
      </c>
    </row>
    <row r="16" spans="2:13" x14ac:dyDescent="0.3">
      <c r="D16" s="237"/>
      <c r="E16" s="3"/>
      <c r="F16" s="403"/>
      <c r="G16" s="3"/>
      <c r="H16" s="403"/>
      <c r="I16" s="3"/>
      <c r="J16" s="403"/>
    </row>
    <row r="17" spans="1:13" ht="15" thickBot="1" x14ac:dyDescent="0.35">
      <c r="D17" s="3"/>
      <c r="E17" s="3"/>
      <c r="F17" s="404"/>
      <c r="G17" s="3"/>
      <c r="H17" s="404"/>
      <c r="I17" s="3"/>
      <c r="J17" s="404"/>
    </row>
    <row r="18" spans="1:13" x14ac:dyDescent="0.3">
      <c r="F18" s="143"/>
      <c r="H18" s="143"/>
      <c r="J18" s="143"/>
    </row>
    <row r="20" spans="1:13" ht="15" thickBot="1" x14ac:dyDescent="0.35">
      <c r="H20" s="146"/>
    </row>
    <row r="21" spans="1:13" ht="14.55" customHeight="1" x14ac:dyDescent="0.3">
      <c r="H21" s="402" t="s">
        <v>356</v>
      </c>
    </row>
    <row r="22" spans="1:13" x14ac:dyDescent="0.3">
      <c r="H22" s="403"/>
    </row>
    <row r="23" spans="1:13" ht="15" thickBot="1" x14ac:dyDescent="0.35">
      <c r="H23" s="404"/>
    </row>
    <row r="26" spans="1:13" ht="15" thickBot="1" x14ac:dyDescent="0.35"/>
    <row r="27" spans="1:13" ht="15" thickBot="1" x14ac:dyDescent="0.35">
      <c r="B27" t="s">
        <v>357</v>
      </c>
      <c r="J27" s="407" t="s">
        <v>358</v>
      </c>
      <c r="K27" s="408"/>
    </row>
    <row r="28" spans="1:13" ht="15" thickBot="1" x14ac:dyDescent="0.35">
      <c r="B28" t="s">
        <v>359</v>
      </c>
      <c r="G28" t="s">
        <v>360</v>
      </c>
      <c r="J28" s="407" t="s">
        <v>361</v>
      </c>
      <c r="K28" s="408"/>
    </row>
    <row r="29" spans="1:13" x14ac:dyDescent="0.3">
      <c r="B29" t="s">
        <v>362</v>
      </c>
    </row>
    <row r="30" spans="1:13" ht="15" thickBot="1" x14ac:dyDescent="0.35">
      <c r="B30" t="s">
        <v>363</v>
      </c>
    </row>
    <row r="31" spans="1:13" ht="15" thickBot="1" x14ac:dyDescent="0.35">
      <c r="H31" s="409" t="s">
        <v>364</v>
      </c>
      <c r="I31" s="410"/>
      <c r="J31" s="224" t="s">
        <v>365</v>
      </c>
      <c r="K31" s="411" t="s">
        <v>366</v>
      </c>
      <c r="L31" s="412"/>
    </row>
    <row r="32" spans="1:13" s="1" customFormat="1" ht="43.8" thickBot="1" x14ac:dyDescent="0.35">
      <c r="A32" s="145"/>
      <c r="B32" s="226" t="s">
        <v>367</v>
      </c>
      <c r="C32" s="226" t="s">
        <v>368</v>
      </c>
      <c r="D32" s="226" t="s">
        <v>369</v>
      </c>
      <c r="E32" s="226" t="s">
        <v>370</v>
      </c>
      <c r="F32" s="226" t="s">
        <v>371</v>
      </c>
      <c r="G32" s="227" t="s">
        <v>372</v>
      </c>
      <c r="H32" s="220" t="s">
        <v>373</v>
      </c>
      <c r="I32" s="221" t="s">
        <v>374</v>
      </c>
      <c r="J32" s="225" t="s">
        <v>375</v>
      </c>
      <c r="K32" s="222" t="s">
        <v>376</v>
      </c>
      <c r="L32" s="223" t="s">
        <v>377</v>
      </c>
      <c r="M32" s="147"/>
    </row>
    <row r="33" spans="2:14" s="1" customFormat="1" x14ac:dyDescent="0.3">
      <c r="B33" s="230" t="s">
        <v>378</v>
      </c>
      <c r="C33" s="148">
        <v>21000</v>
      </c>
      <c r="D33" s="148">
        <v>9</v>
      </c>
      <c r="E33" s="422">
        <v>3000</v>
      </c>
      <c r="F33" s="148">
        <v>2</v>
      </c>
      <c r="G33" s="149">
        <v>0.2</v>
      </c>
      <c r="H33" s="232"/>
      <c r="I33" s="150"/>
      <c r="J33" s="151"/>
      <c r="K33" s="152"/>
      <c r="L33" s="153"/>
      <c r="M33" s="147"/>
    </row>
    <row r="34" spans="2:14" s="1" customFormat="1" x14ac:dyDescent="0.3">
      <c r="B34" s="231" t="s">
        <v>379</v>
      </c>
      <c r="C34" s="154">
        <v>18000</v>
      </c>
      <c r="D34" s="154">
        <v>8</v>
      </c>
      <c r="E34" s="423">
        <v>5000</v>
      </c>
      <c r="F34" s="154">
        <v>3</v>
      </c>
      <c r="G34" s="155">
        <v>0.3</v>
      </c>
      <c r="H34" s="232"/>
      <c r="I34" s="150"/>
      <c r="J34" s="151"/>
      <c r="K34" s="152"/>
      <c r="L34" s="153"/>
      <c r="M34" s="147"/>
    </row>
    <row r="35" spans="2:14" s="1" customFormat="1" ht="13.2" customHeight="1" x14ac:dyDescent="0.3">
      <c r="B35" s="181" t="s">
        <v>380</v>
      </c>
      <c r="C35" s="154">
        <v>33000</v>
      </c>
      <c r="D35" s="154">
        <v>5</v>
      </c>
      <c r="E35" s="423">
        <v>9000</v>
      </c>
      <c r="F35" s="154">
        <v>2</v>
      </c>
      <c r="G35" s="155">
        <v>0.1</v>
      </c>
      <c r="H35" s="232"/>
      <c r="I35" s="150"/>
      <c r="J35" s="151"/>
      <c r="K35" s="152"/>
      <c r="L35" s="153"/>
      <c r="M35" s="147"/>
    </row>
    <row r="36" spans="2:14" s="157" customFormat="1" x14ac:dyDescent="0.3">
      <c r="B36" s="181" t="s">
        <v>381</v>
      </c>
      <c r="C36" s="154">
        <v>22000</v>
      </c>
      <c r="D36" s="154">
        <v>7</v>
      </c>
      <c r="E36" s="423">
        <v>10000</v>
      </c>
      <c r="F36" s="154">
        <v>4</v>
      </c>
      <c r="G36" s="155">
        <v>0.2</v>
      </c>
      <c r="H36" s="232"/>
      <c r="I36" s="150"/>
      <c r="J36" s="151"/>
      <c r="K36" s="152"/>
      <c r="L36" s="153"/>
      <c r="M36" s="156"/>
    </row>
    <row r="37" spans="2:14" s="1" customFormat="1" x14ac:dyDescent="0.3">
      <c r="B37" s="181" t="s">
        <v>382</v>
      </c>
      <c r="C37" s="154">
        <v>17000</v>
      </c>
      <c r="D37" s="154">
        <v>3</v>
      </c>
      <c r="E37" s="423">
        <v>5000</v>
      </c>
      <c r="F37" s="154">
        <v>1</v>
      </c>
      <c r="G37" s="155">
        <v>0.3</v>
      </c>
      <c r="H37" s="232"/>
      <c r="I37" s="150"/>
      <c r="J37" s="151"/>
      <c r="K37" s="152"/>
      <c r="L37" s="153"/>
      <c r="M37" s="147"/>
    </row>
    <row r="38" spans="2:14" s="1" customFormat="1" ht="15" thickBot="1" x14ac:dyDescent="0.35">
      <c r="B38" s="181" t="s">
        <v>383</v>
      </c>
      <c r="C38" s="154">
        <v>15000</v>
      </c>
      <c r="D38" s="154">
        <v>3</v>
      </c>
      <c r="E38" s="423">
        <v>3000</v>
      </c>
      <c r="F38" s="154">
        <v>3</v>
      </c>
      <c r="G38" s="155">
        <v>0.1</v>
      </c>
      <c r="H38" s="232"/>
      <c r="I38" s="150"/>
      <c r="J38" s="151"/>
      <c r="K38" s="152"/>
      <c r="L38" s="153"/>
      <c r="M38" s="147"/>
    </row>
    <row r="39" spans="2:14" s="1" customFormat="1" ht="15" thickBot="1" x14ac:dyDescent="0.35">
      <c r="B39" s="230" t="s">
        <v>384</v>
      </c>
      <c r="C39" s="154">
        <v>10000</v>
      </c>
      <c r="D39" s="154">
        <v>4</v>
      </c>
      <c r="E39" s="423">
        <v>4000</v>
      </c>
      <c r="F39" s="154">
        <v>2</v>
      </c>
      <c r="G39" s="155">
        <v>0.3</v>
      </c>
      <c r="H39" s="232"/>
      <c r="I39" s="150"/>
      <c r="J39" s="151"/>
      <c r="K39" s="152"/>
      <c r="L39" s="153"/>
      <c r="M39" s="147"/>
      <c r="N39" s="158"/>
    </row>
    <row r="40" spans="2:14" s="1" customFormat="1" ht="15" thickBot="1" x14ac:dyDescent="0.35">
      <c r="B40" s="230" t="s">
        <v>385</v>
      </c>
      <c r="C40" s="159">
        <v>15000</v>
      </c>
      <c r="D40" s="159">
        <v>6</v>
      </c>
      <c r="E40" s="424">
        <v>5000</v>
      </c>
      <c r="F40" s="159">
        <v>5</v>
      </c>
      <c r="G40" s="160">
        <v>0.3</v>
      </c>
      <c r="H40" s="232"/>
      <c r="I40" s="150"/>
      <c r="J40" s="151"/>
      <c r="K40" s="152"/>
      <c r="L40" s="153"/>
      <c r="M40" s="147"/>
    </row>
    <row r="41" spans="2:14" s="157" customFormat="1" ht="15" thickBot="1" x14ac:dyDescent="0.35">
      <c r="B41" s="161" t="s">
        <v>386</v>
      </c>
      <c r="C41" s="162">
        <f>SUM(C33:C40)</f>
        <v>151000</v>
      </c>
      <c r="D41" s="163"/>
      <c r="E41" s="164"/>
      <c r="F41" s="164"/>
      <c r="G41" s="165"/>
      <c r="H41" s="233"/>
      <c r="I41" s="163"/>
      <c r="J41" s="166"/>
      <c r="K41" s="233"/>
      <c r="L41" s="163"/>
      <c r="M41" s="156"/>
    </row>
    <row r="42" spans="2:14" ht="15" thickBot="1" x14ac:dyDescent="0.35">
      <c r="B42" s="2"/>
      <c r="C42" s="167"/>
      <c r="D42" s="2"/>
      <c r="E42" s="167"/>
      <c r="F42" s="2"/>
      <c r="G42" s="3"/>
      <c r="H42" s="168"/>
      <c r="I42" s="169"/>
      <c r="K42" s="167"/>
      <c r="L42" s="170"/>
    </row>
    <row r="43" spans="2:14" ht="29.4" thickBot="1" x14ac:dyDescent="0.35">
      <c r="G43" s="171"/>
      <c r="H43" s="172" t="s">
        <v>387</v>
      </c>
      <c r="I43" s="172" t="s">
        <v>388</v>
      </c>
      <c r="L43" s="173"/>
    </row>
    <row r="44" spans="2:14" x14ac:dyDescent="0.3">
      <c r="I44" s="171"/>
      <c r="J44" s="174"/>
    </row>
    <row r="45" spans="2:14" ht="15" thickBot="1" x14ac:dyDescent="0.35">
      <c r="B45" s="1" t="s">
        <v>389</v>
      </c>
      <c r="C45" t="s">
        <v>390</v>
      </c>
    </row>
    <row r="46" spans="2:14" ht="15" thickBot="1" x14ac:dyDescent="0.35">
      <c r="B46" s="1"/>
      <c r="C46" s="400" t="s">
        <v>391</v>
      </c>
      <c r="D46" s="400"/>
      <c r="E46" s="400"/>
      <c r="F46" s="401"/>
      <c r="G46" s="175"/>
    </row>
    <row r="47" spans="2:14" ht="15" thickBot="1" x14ac:dyDescent="0.35">
      <c r="B47" s="1"/>
      <c r="C47" s="229" t="s">
        <v>392</v>
      </c>
      <c r="D47" s="229"/>
      <c r="E47" s="229"/>
      <c r="F47" s="229"/>
      <c r="G47" s="176"/>
    </row>
    <row r="48" spans="2:14" ht="15" thickBot="1" x14ac:dyDescent="0.35">
      <c r="B48" s="1"/>
      <c r="C48" t="s">
        <v>393</v>
      </c>
    </row>
    <row r="49" spans="2:11" ht="15" thickBot="1" x14ac:dyDescent="0.35">
      <c r="B49" s="1"/>
      <c r="C49" s="400" t="s">
        <v>394</v>
      </c>
      <c r="D49" s="400"/>
      <c r="E49" s="400"/>
      <c r="F49" s="400"/>
      <c r="G49" s="177"/>
      <c r="H49" s="416"/>
      <c r="I49" s="417"/>
      <c r="J49" s="417"/>
      <c r="K49" s="418"/>
    </row>
    <row r="50" spans="2:11" ht="15" thickBot="1" x14ac:dyDescent="0.35">
      <c r="B50" s="1"/>
      <c r="C50" s="229" t="s">
        <v>395</v>
      </c>
      <c r="D50" s="229"/>
      <c r="E50" s="229"/>
      <c r="F50" s="229"/>
      <c r="G50" s="178"/>
      <c r="H50" s="416"/>
      <c r="I50" s="417"/>
      <c r="J50" s="417"/>
      <c r="K50" s="418"/>
    </row>
    <row r="51" spans="2:11" ht="15" thickBot="1" x14ac:dyDescent="0.35">
      <c r="B51" s="1"/>
      <c r="C51" t="s">
        <v>396</v>
      </c>
    </row>
    <row r="52" spans="2:11" ht="15" thickBot="1" x14ac:dyDescent="0.35">
      <c r="B52" s="1"/>
      <c r="C52" s="400" t="s">
        <v>397</v>
      </c>
      <c r="D52" s="400"/>
      <c r="E52" s="400"/>
      <c r="F52" s="400"/>
      <c r="G52" s="179"/>
      <c r="H52" s="179"/>
      <c r="I52" t="s">
        <v>398</v>
      </c>
    </row>
    <row r="53" spans="2:11" ht="15" thickBot="1" x14ac:dyDescent="0.35">
      <c r="B53" s="1"/>
      <c r="C53" s="400" t="s">
        <v>399</v>
      </c>
      <c r="D53" s="400"/>
      <c r="E53" s="400"/>
      <c r="F53" s="400"/>
      <c r="G53" s="178"/>
    </row>
    <row r="54" spans="2:11" x14ac:dyDescent="0.3">
      <c r="C54" t="s">
        <v>400</v>
      </c>
    </row>
    <row r="55" spans="2:11" ht="15" thickBot="1" x14ac:dyDescent="0.35">
      <c r="C55" t="s">
        <v>401</v>
      </c>
    </row>
    <row r="56" spans="2:11" ht="15" thickBot="1" x14ac:dyDescent="0.35">
      <c r="C56" s="400" t="s">
        <v>402</v>
      </c>
      <c r="D56" s="400"/>
      <c r="E56" s="400"/>
      <c r="F56" s="400"/>
      <c r="G56" s="401"/>
      <c r="H56" s="419"/>
      <c r="I56" s="420"/>
      <c r="J56" s="420"/>
      <c r="K56" s="421"/>
    </row>
    <row r="57" spans="2:11" ht="46.5" customHeight="1" thickBot="1" x14ac:dyDescent="0.35">
      <c r="C57" s="228"/>
      <c r="D57" s="228"/>
      <c r="E57" s="228"/>
      <c r="F57" s="228"/>
      <c r="G57" s="228"/>
      <c r="H57" s="413"/>
      <c r="I57" s="414"/>
      <c r="J57" s="414"/>
      <c r="K57" s="415"/>
    </row>
    <row r="58" spans="2:11" ht="15" thickBot="1" x14ac:dyDescent="0.35">
      <c r="C58" t="s">
        <v>403</v>
      </c>
    </row>
    <row r="59" spans="2:11" ht="15" thickBot="1" x14ac:dyDescent="0.35">
      <c r="C59" s="400" t="s">
        <v>404</v>
      </c>
      <c r="D59" s="400"/>
      <c r="E59" s="400"/>
      <c r="F59" s="400"/>
      <c r="G59" s="401"/>
      <c r="H59" s="176"/>
    </row>
    <row r="60" spans="2:11" ht="15" thickBot="1" x14ac:dyDescent="0.35">
      <c r="C60" s="400" t="s">
        <v>405</v>
      </c>
      <c r="D60" s="400"/>
      <c r="E60" s="400"/>
      <c r="F60" s="400"/>
      <c r="G60" s="401"/>
      <c r="H60" s="180"/>
    </row>
  </sheetData>
  <mergeCells count="23">
    <mergeCell ref="H57:K57"/>
    <mergeCell ref="C59:G59"/>
    <mergeCell ref="C60:G60"/>
    <mergeCell ref="C49:F49"/>
    <mergeCell ref="H49:K49"/>
    <mergeCell ref="H50:K50"/>
    <mergeCell ref="C52:F52"/>
    <mergeCell ref="C53:F53"/>
    <mergeCell ref="C56:G56"/>
    <mergeCell ref="H56:K56"/>
    <mergeCell ref="C46:F46"/>
    <mergeCell ref="F9:F11"/>
    <mergeCell ref="H9:H11"/>
    <mergeCell ref="J9:J11"/>
    <mergeCell ref="D11:D15"/>
    <mergeCell ref="F15:F17"/>
    <mergeCell ref="H15:H17"/>
    <mergeCell ref="J15:J17"/>
    <mergeCell ref="H21:H23"/>
    <mergeCell ref="J27:K27"/>
    <mergeCell ref="J28:K28"/>
    <mergeCell ref="H31:I31"/>
    <mergeCell ref="K31:L31"/>
  </mergeCells>
  <printOptions horizontalCentered="1"/>
  <pageMargins left="0.51181102362204722" right="0.31496062992125984" top="0.74803149606299213" bottom="0.74803149606299213" header="0.31496062992125984" footer="0.31496062992125984"/>
  <pageSetup scale="5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5</vt:i4>
      </vt:variant>
    </vt:vector>
  </HeadingPairs>
  <TitlesOfParts>
    <vt:vector size="14" baseType="lpstr">
      <vt:lpstr>Portada y Rúbrica Talleres</vt:lpstr>
      <vt:lpstr>T1-T2-T4 Matriz Riesgos </vt:lpstr>
      <vt:lpstr>T1 RBS (adaptar)</vt:lpstr>
      <vt:lpstr>Listas Desplegables (LD)</vt:lpstr>
      <vt:lpstr>T2 Escalas PO</vt:lpstr>
      <vt:lpstr>T2 Escalas Impacto</vt:lpstr>
      <vt:lpstr>T2-T4 Mapas Riesgo (Auto)</vt:lpstr>
      <vt:lpstr>T2-T4 Mapas (manual)</vt:lpstr>
      <vt:lpstr>T3 Modelo Valor Esperado y PERT</vt:lpstr>
      <vt:lpstr>'Portada y Rúbrica Talleres'!Área_de_impresión</vt:lpstr>
      <vt:lpstr>'T1-T2-T4 Matriz Riesgos '!Área_de_impresión</vt:lpstr>
      <vt:lpstr>Respuesta</vt:lpstr>
      <vt:lpstr>Riesgo</vt:lpstr>
      <vt:lpstr>'T1-T2-T4 Matriz Riesgos '!Títulos_a_imprimir</vt:lpstr>
    </vt:vector>
  </TitlesOfParts>
  <Company>spensiones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spensiones</dc:creator>
  <cp:lastModifiedBy>Luis Edgardo Gaete Bascour</cp:lastModifiedBy>
  <cp:lastPrinted>2017-04-05T01:08:10Z</cp:lastPrinted>
  <dcterms:created xsi:type="dcterms:W3CDTF">2014-10-09T11:49:54Z</dcterms:created>
  <dcterms:modified xsi:type="dcterms:W3CDTF">2025-03-26T20:29:38Z</dcterms:modified>
</cp:coreProperties>
</file>