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https://d.docs.live.net/a65957fbb07e651c/Documentos/A PM^J Risk ^0 SI/A Universidad Catolica/A DAP 2024/DAP-87 (05-2024)/DAP 87 Módulo 5.1 Gestión de Riesgos/"/>
    </mc:Choice>
  </mc:AlternateContent>
  <xr:revisionPtr revIDLastSave="260" documentId="8_{EFAF8FDD-B568-40F7-9A67-5447CAB30219}" xr6:coauthVersionLast="47" xr6:coauthVersionMax="47" xr10:uidLastSave="{1C518C8E-32B6-4424-9DCC-B777C5E17DB4}"/>
  <bookViews>
    <workbookView xWindow="22932" yWindow="-4224" windowWidth="19416" windowHeight="10296" tabRatio="843" firstSheet="1" activeTab="1" xr2:uid="{00000000-000D-0000-FFFF-FFFF00000000}"/>
  </bookViews>
  <sheets>
    <sheet name="Portada Talleres " sheetId="27" r:id="rId1"/>
    <sheet name="T1-T2-T4 Matriz Riesgos " sheetId="19" r:id="rId2"/>
    <sheet name="T1 RBS (adaptar)" sheetId="20" r:id="rId3"/>
    <sheet name="Listas Desplegables (LD)" sheetId="23" r:id="rId4"/>
    <sheet name="T2 Escalas PO" sheetId="17" r:id="rId5"/>
    <sheet name="T2 Escalas Impacto" sheetId="24" r:id="rId6"/>
    <sheet name="T2-T4 Mapas Riesgo (Auto)" sheetId="25" r:id="rId7"/>
  </sheets>
  <definedNames>
    <definedName name="_xlnm.Print_Area" localSheetId="0">'Portada Talleres '!$B$1:$L$16</definedName>
    <definedName name="_xlnm.Print_Area" localSheetId="1">'T1-T2-T4 Matriz Riesgos '!$A$2:$AM$58</definedName>
    <definedName name="Respuesta">'T1-T2-T4 Matriz Riesgos '!$D$138:$D$143</definedName>
    <definedName name="Riesgo">'T1-T2-T4 Matriz Riesgos '!$B$138:$B$142</definedName>
    <definedName name="_xlnm.Print_Titles" localSheetId="1">'T1-T2-T4 Matriz Riesgos '!$2:$10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 i="19" l="1"/>
  <c r="T59" i="19"/>
  <c r="V12" i="19"/>
  <c r="Y5" i="19" l="1"/>
  <c r="W4" i="19"/>
  <c r="K11" i="19" l="1"/>
  <c r="M11" i="19" s="1"/>
  <c r="N11" i="19" s="1"/>
  <c r="V20" i="19"/>
  <c r="S11" i="19" l="1"/>
  <c r="S19" i="19" l="1"/>
  <c r="E56" i="27" l="1"/>
  <c r="D56" i="27"/>
  <c r="E49" i="27"/>
  <c r="D49" i="27"/>
  <c r="E42" i="27"/>
  <c r="D42" i="27"/>
  <c r="E36" i="27"/>
  <c r="E57" i="27" s="1"/>
  <c r="D36" i="27"/>
  <c r="C4" i="25" l="1"/>
  <c r="F16" i="25"/>
  <c r="F15" i="25"/>
  <c r="F8" i="25"/>
  <c r="H27" i="25"/>
  <c r="H26" i="25"/>
  <c r="H25" i="25"/>
  <c r="H24" i="25"/>
  <c r="H23" i="25"/>
  <c r="H22" i="25"/>
  <c r="H21" i="25"/>
  <c r="H20" i="25"/>
  <c r="H19" i="25"/>
  <c r="H18" i="25"/>
  <c r="H17" i="25"/>
  <c r="H16" i="25"/>
  <c r="H15" i="25"/>
  <c r="H14" i="25"/>
  <c r="H13" i="25"/>
  <c r="H12" i="25"/>
  <c r="H11" i="25"/>
  <c r="H10" i="25"/>
  <c r="H9" i="25"/>
  <c r="H8" i="25"/>
  <c r="H7" i="25"/>
  <c r="H6" i="25"/>
  <c r="H5" i="25"/>
  <c r="H4" i="25"/>
  <c r="D27" i="25"/>
  <c r="D26" i="25"/>
  <c r="D25" i="25"/>
  <c r="D24" i="25"/>
  <c r="D23" i="25"/>
  <c r="D22" i="25"/>
  <c r="D21" i="25"/>
  <c r="D20" i="25"/>
  <c r="D19" i="25"/>
  <c r="D18" i="25"/>
  <c r="D17" i="25"/>
  <c r="D16" i="25"/>
  <c r="D15" i="25"/>
  <c r="D14" i="25"/>
  <c r="D13" i="25"/>
  <c r="D12" i="25"/>
  <c r="D11" i="25"/>
  <c r="D10" i="25"/>
  <c r="D9" i="25"/>
  <c r="D8" i="25"/>
  <c r="D7" i="25"/>
  <c r="D6" i="25"/>
  <c r="D5" i="25"/>
  <c r="D4" i="25"/>
  <c r="B27" i="25"/>
  <c r="F27" i="25" s="1"/>
  <c r="B26" i="25"/>
  <c r="F26" i="25" s="1"/>
  <c r="B25" i="25"/>
  <c r="F25" i="25" s="1"/>
  <c r="B24" i="25"/>
  <c r="F24" i="25" s="1"/>
  <c r="B23" i="25"/>
  <c r="F23" i="25" s="1"/>
  <c r="B22" i="25"/>
  <c r="F22" i="25" s="1"/>
  <c r="B21" i="25"/>
  <c r="F21" i="25" s="1"/>
  <c r="B20" i="25"/>
  <c r="F20" i="25" s="1"/>
  <c r="B19" i="25"/>
  <c r="F19" i="25" s="1"/>
  <c r="B18" i="25"/>
  <c r="F18" i="25" s="1"/>
  <c r="B17" i="25"/>
  <c r="F17" i="25" s="1"/>
  <c r="B16" i="25"/>
  <c r="B15" i="25"/>
  <c r="B14" i="25"/>
  <c r="F14" i="25" s="1"/>
  <c r="B13" i="25"/>
  <c r="F13" i="25" s="1"/>
  <c r="B12" i="25"/>
  <c r="F12" i="25" s="1"/>
  <c r="B11" i="25"/>
  <c r="F11" i="25" s="1"/>
  <c r="B10" i="25"/>
  <c r="F10" i="25" s="1"/>
  <c r="B9" i="25"/>
  <c r="F9" i="25" s="1"/>
  <c r="B8" i="25"/>
  <c r="B7" i="25"/>
  <c r="F7" i="25" s="1"/>
  <c r="B6" i="25"/>
  <c r="F6" i="25" s="1"/>
  <c r="B5" i="25"/>
  <c r="F5" i="25" s="1"/>
  <c r="B4" i="25"/>
  <c r="F4" i="25" s="1"/>
  <c r="Z57" i="19"/>
  <c r="AB57" i="19" s="1"/>
  <c r="AC57" i="19" s="1"/>
  <c r="S57" i="19"/>
  <c r="V58" i="19" s="1"/>
  <c r="K57" i="19"/>
  <c r="C27" i="25" s="1"/>
  <c r="Z55" i="19"/>
  <c r="AB55" i="19" s="1"/>
  <c r="AC55" i="19" s="1"/>
  <c r="S55" i="19"/>
  <c r="V56" i="19" s="1"/>
  <c r="K55" i="19"/>
  <c r="M55" i="19" s="1"/>
  <c r="N55" i="19" s="1"/>
  <c r="Z53" i="19"/>
  <c r="AB53" i="19" s="1"/>
  <c r="AC53" i="19" s="1"/>
  <c r="S53" i="19"/>
  <c r="V54" i="19" s="1"/>
  <c r="K53" i="19"/>
  <c r="C25" i="25" s="1"/>
  <c r="Z51" i="19"/>
  <c r="AB51" i="19" s="1"/>
  <c r="AC51" i="19" s="1"/>
  <c r="S51" i="19"/>
  <c r="V52" i="19" s="1"/>
  <c r="K51" i="19"/>
  <c r="M51" i="19" s="1"/>
  <c r="N51" i="19" s="1"/>
  <c r="Z49" i="19"/>
  <c r="AB49" i="19" s="1"/>
  <c r="AC49" i="19" s="1"/>
  <c r="S49" i="19"/>
  <c r="V50" i="19" s="1"/>
  <c r="M49" i="19"/>
  <c r="N49" i="19" s="1"/>
  <c r="K49" i="19"/>
  <c r="C23" i="25" s="1"/>
  <c r="Z47" i="19"/>
  <c r="AB47" i="19" s="1"/>
  <c r="AC47" i="19" s="1"/>
  <c r="S47" i="19"/>
  <c r="V48" i="19" s="1"/>
  <c r="K47" i="19"/>
  <c r="M47" i="19" s="1"/>
  <c r="N47" i="19" s="1"/>
  <c r="AB45" i="19"/>
  <c r="AC45" i="19" s="1"/>
  <c r="Z45" i="19"/>
  <c r="G21" i="25" s="1"/>
  <c r="S45" i="19"/>
  <c r="V45" i="19" s="1"/>
  <c r="K45" i="19"/>
  <c r="M45" i="19" s="1"/>
  <c r="N45" i="19" s="1"/>
  <c r="Z43" i="19"/>
  <c r="AB43" i="19" s="1"/>
  <c r="AC43" i="19" s="1"/>
  <c r="S43" i="19"/>
  <c r="V44" i="19" s="1"/>
  <c r="K43" i="19"/>
  <c r="M43" i="19" s="1"/>
  <c r="N43" i="19" s="1"/>
  <c r="Z41" i="19"/>
  <c r="AB41" i="19" s="1"/>
  <c r="AC41" i="19" s="1"/>
  <c r="S41" i="19"/>
  <c r="V41" i="19" s="1"/>
  <c r="K41" i="19"/>
  <c r="M41" i="19" s="1"/>
  <c r="N41" i="19" s="1"/>
  <c r="Z39" i="19"/>
  <c r="AB39" i="19" s="1"/>
  <c r="AC39" i="19" s="1"/>
  <c r="S39" i="19"/>
  <c r="V40" i="19" s="1"/>
  <c r="K39" i="19"/>
  <c r="M39" i="19" s="1"/>
  <c r="N39" i="19" s="1"/>
  <c r="Z37" i="19"/>
  <c r="AB37" i="19" s="1"/>
  <c r="AC37" i="19" s="1"/>
  <c r="S37" i="19"/>
  <c r="V37" i="19" s="1"/>
  <c r="K37" i="19"/>
  <c r="M37" i="19" s="1"/>
  <c r="N37" i="19" s="1"/>
  <c r="AB35" i="19"/>
  <c r="AC35" i="19" s="1"/>
  <c r="Z35" i="19"/>
  <c r="G16" i="25" s="1"/>
  <c r="S35" i="19"/>
  <c r="V36" i="19" s="1"/>
  <c r="K35" i="19"/>
  <c r="M35" i="19" s="1"/>
  <c r="N35" i="19" s="1"/>
  <c r="Z23" i="19"/>
  <c r="AB23" i="19" s="1"/>
  <c r="AC23" i="19" s="1"/>
  <c r="K23" i="19"/>
  <c r="M23" i="19" s="1"/>
  <c r="N23" i="19" s="1"/>
  <c r="Z33" i="19"/>
  <c r="AB33" i="19" s="1"/>
  <c r="AC33" i="19" s="1"/>
  <c r="S33" i="19"/>
  <c r="V34" i="19" s="1"/>
  <c r="K33" i="19"/>
  <c r="M33" i="19" s="1"/>
  <c r="N33" i="19" s="1"/>
  <c r="Z31" i="19"/>
  <c r="AB31" i="19" s="1"/>
  <c r="AC31" i="19" s="1"/>
  <c r="S31" i="19"/>
  <c r="V32" i="19" s="1"/>
  <c r="K31" i="19"/>
  <c r="M31" i="19" s="1"/>
  <c r="N31" i="19" s="1"/>
  <c r="Z29" i="19"/>
  <c r="AB29" i="19" s="1"/>
  <c r="AC29" i="19" s="1"/>
  <c r="S29" i="19"/>
  <c r="V30" i="19" s="1"/>
  <c r="K29" i="19"/>
  <c r="M29" i="19" s="1"/>
  <c r="N29" i="19" s="1"/>
  <c r="Z27" i="19"/>
  <c r="AB27" i="19" s="1"/>
  <c r="AC27" i="19" s="1"/>
  <c r="S27" i="19"/>
  <c r="V28" i="19" s="1"/>
  <c r="K27" i="19"/>
  <c r="M27" i="19" s="1"/>
  <c r="N27" i="19" s="1"/>
  <c r="Z25" i="19"/>
  <c r="AB25" i="19" s="1"/>
  <c r="AC25" i="19" s="1"/>
  <c r="S25" i="19"/>
  <c r="V26" i="19" s="1"/>
  <c r="K25" i="19"/>
  <c r="M25" i="19" s="1"/>
  <c r="N25" i="19" s="1"/>
  <c r="S23" i="19"/>
  <c r="V24" i="19" s="1"/>
  <c r="Z21" i="19"/>
  <c r="AB21" i="19" s="1"/>
  <c r="AC21" i="19" s="1"/>
  <c r="S21" i="19"/>
  <c r="V22" i="19" s="1"/>
  <c r="K21" i="19"/>
  <c r="M21" i="19" s="1"/>
  <c r="N21" i="19" s="1"/>
  <c r="Z19" i="19"/>
  <c r="AB19" i="19" s="1"/>
  <c r="AC19" i="19" s="1"/>
  <c r="K19" i="19"/>
  <c r="M19" i="19" s="1"/>
  <c r="N19" i="19" s="1"/>
  <c r="Z17" i="19"/>
  <c r="AB17" i="19" s="1"/>
  <c r="AC17" i="19" s="1"/>
  <c r="S17" i="19"/>
  <c r="V17" i="19" s="1"/>
  <c r="K17" i="19"/>
  <c r="M17" i="19" s="1"/>
  <c r="N17" i="19" s="1"/>
  <c r="Z15" i="19"/>
  <c r="AB15" i="19" s="1"/>
  <c r="AC15" i="19" s="1"/>
  <c r="Z13" i="19"/>
  <c r="AB13" i="19" s="1"/>
  <c r="AC13" i="19" s="1"/>
  <c r="S15" i="19"/>
  <c r="V15" i="19" s="1"/>
  <c r="K15" i="19"/>
  <c r="M15" i="19" s="1"/>
  <c r="N15" i="19" s="1"/>
  <c r="S13" i="19"/>
  <c r="V14" i="19" s="1"/>
  <c r="K13" i="19"/>
  <c r="M13" i="19" s="1"/>
  <c r="N13" i="19" s="1"/>
  <c r="C11" i="25" l="1"/>
  <c r="C20" i="25"/>
  <c r="G10" i="25"/>
  <c r="G14" i="25"/>
  <c r="G18" i="25"/>
  <c r="G22" i="25"/>
  <c r="G26" i="25"/>
  <c r="V39" i="19"/>
  <c r="V46" i="19"/>
  <c r="C12" i="25"/>
  <c r="C21" i="25"/>
  <c r="M57" i="19"/>
  <c r="N57" i="19" s="1"/>
  <c r="C14" i="25"/>
  <c r="C22" i="25"/>
  <c r="G11" i="25"/>
  <c r="G15" i="25"/>
  <c r="G19" i="25"/>
  <c r="G23" i="25"/>
  <c r="G27" i="25"/>
  <c r="V43" i="19"/>
  <c r="V49" i="19"/>
  <c r="M53" i="19"/>
  <c r="N53" i="19" s="1"/>
  <c r="C15" i="25"/>
  <c r="C16" i="25"/>
  <c r="C24" i="25"/>
  <c r="G8" i="25"/>
  <c r="G12" i="25"/>
  <c r="G20" i="25"/>
  <c r="G24" i="25"/>
  <c r="C8" i="25"/>
  <c r="C17" i="25"/>
  <c r="V38" i="19"/>
  <c r="C9" i="25"/>
  <c r="C18" i="25"/>
  <c r="C26" i="25"/>
  <c r="G9" i="25"/>
  <c r="G13" i="25"/>
  <c r="G17" i="25"/>
  <c r="G25" i="25"/>
  <c r="V42" i="19"/>
  <c r="C10" i="25"/>
  <c r="C19" i="25"/>
  <c r="C7" i="25"/>
  <c r="G7" i="25"/>
  <c r="G5" i="25"/>
  <c r="C5" i="25"/>
  <c r="G6" i="25"/>
  <c r="C6" i="25"/>
  <c r="C13" i="25"/>
  <c r="V55" i="19"/>
  <c r="V53" i="19"/>
  <c r="V57" i="19"/>
  <c r="V47" i="19"/>
  <c r="V51" i="19"/>
  <c r="V35" i="19"/>
  <c r="V25" i="19"/>
  <c r="V31" i="19"/>
  <c r="V29" i="19"/>
  <c r="V19" i="19"/>
  <c r="V33" i="19"/>
  <c r="V16" i="19"/>
  <c r="V23" i="19"/>
  <c r="V11" i="19"/>
  <c r="V59" i="19" s="1"/>
  <c r="W5" i="19" s="1"/>
  <c r="V27" i="19"/>
  <c r="V18" i="19"/>
  <c r="V13" i="19"/>
  <c r="V21" i="19"/>
  <c r="Z11" i="19" l="1"/>
  <c r="G4" i="25" s="1"/>
  <c r="AB11" i="19" l="1"/>
  <c r="AC11" i="19" s="1"/>
  <c r="W6" i="19" l="1"/>
  <c r="Y6"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Paula A. Perez Cruz</author>
    <author>Cristóbal Arévalo</author>
  </authors>
  <commentList>
    <comment ref="T4" authorId="0" shapeId="0" xr:uid="{F9AE1347-6B58-4665-80D4-09284B981559}">
      <text>
        <r>
          <rPr>
            <sz val="9"/>
            <color indexed="81"/>
            <rFont val="Tahoma"/>
            <family val="2"/>
          </rPr>
          <t>Se considera como CAPEX base estimado el costo total del proyecto (sin costo de tratamiento del riesgo)</t>
        </r>
      </text>
    </comment>
    <comment ref="K9" authorId="1" shapeId="0" xr:uid="{501DB6FF-FA5F-4EA3-990F-B31ED2ABD11B}">
      <text>
        <r>
          <rPr>
            <b/>
            <sz val="11"/>
            <color indexed="81"/>
            <rFont val="Tahoma"/>
            <family val="2"/>
          </rPr>
          <t>Cristóbal Arévalo:</t>
        </r>
        <r>
          <rPr>
            <sz val="11"/>
            <color indexed="81"/>
            <rFont val="Tahoma"/>
            <family val="2"/>
          </rPr>
          <t xml:space="preserve">
1=Casi Seguro
2=Probable
3=Posible
4=Improbable
5=Raro</t>
        </r>
      </text>
    </comment>
    <comment ref="L9" authorId="1" shapeId="0" xr:uid="{113DD0F7-EF49-48B8-9E77-945887BECD1F}">
      <text>
        <r>
          <rPr>
            <b/>
            <sz val="12"/>
            <color indexed="81"/>
            <rFont val="Tahoma"/>
            <family val="2"/>
          </rPr>
          <t>Cristóbal Arévalo:</t>
        </r>
        <r>
          <rPr>
            <sz val="12"/>
            <color indexed="81"/>
            <rFont val="Tahoma"/>
            <family val="2"/>
          </rPr>
          <t xml:space="preserve">
1=Menor
2=Moderado
3=Importante
4=Grave
5=Catastrofíco</t>
        </r>
      </text>
    </comment>
    <comment ref="Q9" authorId="1" shapeId="0" xr:uid="{06096158-AE8D-4877-BBEA-8A570A0AAD24}">
      <text>
        <r>
          <rPr>
            <b/>
            <sz val="9"/>
            <color indexed="81"/>
            <rFont val="Tahoma"/>
            <family val="2"/>
          </rPr>
          <t>Cristóbal Arévalo:</t>
        </r>
        <r>
          <rPr>
            <sz val="9"/>
            <color indexed="81"/>
            <rFont val="Tahoma"/>
            <family val="2"/>
          </rPr>
          <t xml:space="preserve">
</t>
        </r>
        <r>
          <rPr>
            <sz val="12"/>
            <color indexed="81"/>
            <rFont val="Tahoma"/>
            <family val="2"/>
          </rPr>
          <t>Transferir / Compartir (Seguros)
Mitigar (Impacto)
Reducir (Probabilidad)
Aceptar (Provisión de reservas)
Eliminar / Evitar (Causa o Amenaza)
Postergar (Retrasar respuesta)
Anticipar (Adelantar respuesta)</t>
        </r>
      </text>
    </comment>
    <comment ref="AA9" authorId="1" shapeId="0" xr:uid="{B23C31C5-6819-4E57-A61D-E2AC640CF77E}">
      <text>
        <r>
          <rPr>
            <b/>
            <sz val="12"/>
            <color indexed="81"/>
            <rFont val="Tahoma"/>
            <family val="2"/>
          </rPr>
          <t>Cristóbal Arévalo:</t>
        </r>
        <r>
          <rPr>
            <sz val="12"/>
            <color indexed="81"/>
            <rFont val="Tahoma"/>
            <family val="2"/>
          </rPr>
          <t xml:space="preserve">
1=Menor
2=Moderado
3=Importante
4=Grave
5=Catastrofíco</t>
        </r>
      </text>
    </comment>
    <comment ref="AH9" authorId="1" shapeId="0" xr:uid="{AE52B58C-F35B-4AB6-B2DE-486FFF1860B9}">
      <text>
        <r>
          <rPr>
            <b/>
            <sz val="9"/>
            <color indexed="81"/>
            <rFont val="Tahoma"/>
            <family val="2"/>
          </rPr>
          <t>Cristóbal Arévalo:</t>
        </r>
        <r>
          <rPr>
            <sz val="9"/>
            <color indexed="81"/>
            <rFont val="Tahoma"/>
            <family val="2"/>
          </rPr>
          <t xml:space="preserve">
</t>
        </r>
        <r>
          <rPr>
            <sz val="11"/>
            <color indexed="81"/>
            <rFont val="Tahoma"/>
            <family val="2"/>
          </rPr>
          <t>1-5</t>
        </r>
      </text>
    </comment>
    <comment ref="AI9" authorId="1" shapeId="0" xr:uid="{C21C3B76-A42D-45B4-9C61-AC7492B4817B}">
      <text>
        <r>
          <rPr>
            <b/>
            <sz val="9"/>
            <color indexed="81"/>
            <rFont val="Tahoma"/>
            <family val="2"/>
          </rPr>
          <t>Cristóbal Arévalo:</t>
        </r>
        <r>
          <rPr>
            <sz val="9"/>
            <color indexed="81"/>
            <rFont val="Tahoma"/>
            <family val="2"/>
          </rPr>
          <t xml:space="preserve">
</t>
        </r>
        <r>
          <rPr>
            <sz val="11"/>
            <color indexed="81"/>
            <rFont val="Tahoma"/>
            <family val="2"/>
          </rPr>
          <t>Optimo=5
Bueno=4
Moderado=3
Regular=2
Deficiente=1
No Existe=0</t>
        </r>
      </text>
    </comment>
    <comment ref="AL9" authorId="1" shapeId="0" xr:uid="{AFA73C8C-BB9D-41D2-B6C9-97655B853E3B}">
      <text>
        <r>
          <rPr>
            <b/>
            <sz val="11"/>
            <color indexed="81"/>
            <rFont val="Tahoma"/>
            <family val="2"/>
          </rPr>
          <t>Cristóbal Arévalo:</t>
        </r>
        <r>
          <rPr>
            <sz val="11"/>
            <color indexed="81"/>
            <rFont val="Tahoma"/>
            <family val="2"/>
          </rPr>
          <t xml:space="preserve">
8-25=No Aceptable
4-7.99= Mayor
3-3.99=Medio
0.2-2.99=Menor</t>
        </r>
      </text>
    </comment>
    <comment ref="AM9" authorId="1" shapeId="0" xr:uid="{11B00012-420D-4818-A92E-5BC60F83A422}">
      <text>
        <r>
          <rPr>
            <b/>
            <sz val="11"/>
            <color indexed="81"/>
            <rFont val="Tahoma"/>
            <family val="2"/>
          </rPr>
          <t>Cristóbal Arévalo:</t>
        </r>
        <r>
          <rPr>
            <sz val="11"/>
            <color indexed="81"/>
            <rFont val="Tahoma"/>
            <family val="2"/>
          </rPr>
          <t xml:space="preserve">
8-25=No Aceptable
4-7.99= Mayor
3-3.99=Medio
0.2-2.99=Menor</t>
        </r>
      </text>
    </comment>
    <comment ref="N10" authorId="1" shapeId="0" xr:uid="{4323AE2A-67A3-4764-9395-2DAEAF78DF8D}">
      <text>
        <r>
          <rPr>
            <b/>
            <sz val="9"/>
            <color indexed="81"/>
            <rFont val="Tahoma"/>
            <family val="2"/>
          </rPr>
          <t>Cristóbal Arévalo:</t>
        </r>
        <r>
          <rPr>
            <sz val="9"/>
            <color indexed="81"/>
            <rFont val="Tahoma"/>
            <family val="2"/>
          </rPr>
          <t xml:space="preserve">
</t>
        </r>
        <r>
          <rPr>
            <sz val="11"/>
            <color indexed="81"/>
            <rFont val="Tahoma"/>
            <family val="2"/>
          </rPr>
          <t>I=Bajo
II=Moderado
III=Alto
IV=Extremo</t>
        </r>
      </text>
    </comment>
    <comment ref="O10" authorId="1" shapeId="0" xr:uid="{65F90343-5C5B-4A7D-A6DC-6773F2331CC1}">
      <text>
        <r>
          <rPr>
            <b/>
            <sz val="9"/>
            <color indexed="81"/>
            <rFont val="Tahoma"/>
            <family val="2"/>
          </rPr>
          <t>Cristóbal Arévalo:</t>
        </r>
        <r>
          <rPr>
            <sz val="9"/>
            <color indexed="81"/>
            <rFont val="Tahoma"/>
            <family val="2"/>
          </rPr>
          <t xml:space="preserve">
</t>
        </r>
        <r>
          <rPr>
            <sz val="11"/>
            <color indexed="81"/>
            <rFont val="Tahoma"/>
            <family val="2"/>
          </rPr>
          <t>1=Alta
2=Media
3=Baja</t>
        </r>
        <r>
          <rPr>
            <sz val="9"/>
            <color indexed="81"/>
            <rFont val="Tahoma"/>
            <family val="2"/>
          </rPr>
          <t xml:space="preserve">
</t>
        </r>
        <r>
          <rPr>
            <sz val="11"/>
            <color indexed="81"/>
            <rFont val="Tahoma"/>
            <family val="2"/>
          </rPr>
          <t xml:space="preserve">Criterios Jerarquicos para definir:
Clasificación
Cuando Ocurrirá
Severidad
Impacto
Tipo de Riesgo
</t>
        </r>
      </text>
    </comment>
    <comment ref="AE10" authorId="1" shapeId="0" xr:uid="{9B990390-71E0-4895-865A-1EE3D7298EAF}">
      <text>
        <r>
          <rPr>
            <b/>
            <sz val="9"/>
            <color indexed="81"/>
            <rFont val="Tahoma"/>
            <family val="2"/>
          </rPr>
          <t>Cristóbal Arévalo:</t>
        </r>
        <r>
          <rPr>
            <sz val="9"/>
            <color indexed="81"/>
            <rFont val="Tahoma"/>
            <family val="2"/>
          </rPr>
          <t xml:space="preserve">
</t>
        </r>
        <r>
          <rPr>
            <sz val="11"/>
            <color indexed="81"/>
            <rFont val="Tahoma"/>
            <family val="2"/>
          </rPr>
          <t>Permanente=3
Periódico=2
Ocasional=1
No Existe=0</t>
        </r>
      </text>
    </comment>
    <comment ref="AF10" authorId="1" shapeId="0" xr:uid="{50C67EB6-A9DE-4F7E-8EEF-FEB87E26F2F7}">
      <text>
        <r>
          <rPr>
            <b/>
            <sz val="11"/>
            <color indexed="81"/>
            <rFont val="Tahoma"/>
            <family val="2"/>
          </rPr>
          <t>Cristóbal Arévalo:</t>
        </r>
        <r>
          <rPr>
            <sz val="11"/>
            <color indexed="81"/>
            <rFont val="Tahoma"/>
            <family val="2"/>
          </rPr>
          <t xml:space="preserve">
Preventivo=3
Correctivo=2
Detectivo=1</t>
        </r>
        <r>
          <rPr>
            <sz val="9"/>
            <color indexed="81"/>
            <rFont val="Tahoma"/>
            <family val="2"/>
          </rPr>
          <t xml:space="preserve">
</t>
        </r>
        <r>
          <rPr>
            <sz val="11"/>
            <color indexed="81"/>
            <rFont val="Tahoma"/>
            <family val="2"/>
          </rPr>
          <t>No Existe=0</t>
        </r>
      </text>
    </comment>
    <comment ref="AG10" authorId="1" shapeId="0" xr:uid="{B9E54A1A-B8BF-4380-9557-A1A44D89288B}">
      <text>
        <r>
          <rPr>
            <b/>
            <sz val="9"/>
            <color indexed="81"/>
            <rFont val="Tahoma"/>
            <family val="2"/>
          </rPr>
          <t>Cristóbal Arévalo:</t>
        </r>
        <r>
          <rPr>
            <sz val="9"/>
            <color indexed="81"/>
            <rFont val="Tahoma"/>
            <family val="2"/>
          </rPr>
          <t xml:space="preserve">
</t>
        </r>
        <r>
          <rPr>
            <sz val="11"/>
            <color indexed="81"/>
            <rFont val="Tahoma"/>
            <family val="2"/>
          </rPr>
          <t>Automatizado=3
Semi-Automatizado=2
Manual=1
No Existe=0</t>
        </r>
      </text>
    </comment>
  </commentList>
</comments>
</file>

<file path=xl/sharedStrings.xml><?xml version="1.0" encoding="utf-8"?>
<sst xmlns="http://schemas.openxmlformats.org/spreadsheetml/2006/main" count="497" uniqueCount="416">
  <si>
    <t xml:space="preserve">Plantilla para trabajo de Talleres </t>
  </si>
  <si>
    <t>Equipo de Trabajo N°</t>
  </si>
  <si>
    <t>X</t>
  </si>
  <si>
    <t>Integrantes del Grupo de Trabajo:</t>
  </si>
  <si>
    <t>1.</t>
  </si>
  <si>
    <t>2.</t>
  </si>
  <si>
    <t>3.</t>
  </si>
  <si>
    <t>4.</t>
  </si>
  <si>
    <t>5.</t>
  </si>
  <si>
    <t>6.</t>
  </si>
  <si>
    <t>7.</t>
  </si>
  <si>
    <t>Rúbrica Talleres Módulo 5.1: Gestión de Riesgos en Proyectos</t>
  </si>
  <si>
    <t>Equipo</t>
  </si>
  <si>
    <t>Integrantes</t>
  </si>
  <si>
    <t>Concepto evaluado</t>
  </si>
  <si>
    <t xml:space="preserve">Puntaje </t>
  </si>
  <si>
    <t>Puntaje obtenido</t>
  </si>
  <si>
    <t>OBSERVACIONES</t>
  </si>
  <si>
    <t>Taller 1.Identificación y Registro de Riesgos del Proyecto (Matriz de Riesgos de Proyecto)</t>
  </si>
  <si>
    <t>Completa recuadros superiores de la Matriz de Riesgos (identificación del proyecto con todos sus aspectos, CAPEX, clase de estimación y moneda)</t>
  </si>
  <si>
    <t>Diseñar una RBS . Considerando en ella  los tipos de riesgos (no los eventos) posibles de ocurrir en el proyecto</t>
  </si>
  <si>
    <t>En la Matriz , identificar y caracterizar 8 riesgos relevantes de distinta categoría (en función de RBS anterior) en base a WBS del Proyecto (debe incluirse en listas desplegables) y en relación al caso de estudio de cada proyecto de todas las fases . Para el taller integral deberan definirse 16 riesgos.</t>
  </si>
  <si>
    <t>Consideración de Causas de diversa naturaleza y distintos tipos de impactos.</t>
  </si>
  <si>
    <t>Definir controles existentes en WBS y PEP del proyecto</t>
  </si>
  <si>
    <t>Nota Taller 1  20%</t>
  </si>
  <si>
    <t>Taller 2. Análisis Cualitativo del Risgo del Proyecto (Riesgo Inherente en matriz de riesgos del Proyecto Taller Integral)</t>
  </si>
  <si>
    <t>Diseñar y adaptar las escalas de valoración de probabilidad e impacto, en base a la industria de cada proyecto</t>
  </si>
  <si>
    <t>Utilizar el modelo de 5X5 que mejor se ajuste a la realidad de su proyecto y en función de las escalas determinadas. Hago todos los supuestos que le dicte el "Sentido Común" (EMCDLS)</t>
  </si>
  <si>
    <t>En base a las escalas anteriores, construir en la Matriz de Riesgos la zona de "Riesgo Inherente" considerando la probabilidad de ocurrencia de cada causa, la categorización y el color respectivo para cada combinación de probabilidad e impacto</t>
  </si>
  <si>
    <t>Elaborar el Mapa de Riesgos Inherente</t>
  </si>
  <si>
    <t>Nota Taller 2. 20%</t>
  </si>
  <si>
    <t>Taller 3 Aplicación del Valor Esperado (Análisis Cualitativo-PERT)</t>
  </si>
  <si>
    <t>Determinar el riesgo de tiempo y riesgo de costo del proyecto. (Requiere definir y graficar Ruta Crítica)</t>
  </si>
  <si>
    <t>De acuerdo a la tabla de Impacto o Consecuencia (PMI), ¿Cuál es la magnitud del RT y RC)?</t>
  </si>
  <si>
    <t>Determinar el Fondo de Contingencia y su porcentaje respecto al CBE</t>
  </si>
  <si>
    <t>Considere los riesgos de tiempo de las tareas no críticas. ¿Qué tareas y rutas de la malla debieran ser monitoreadas cuidadosamente por significar los riesgos más altos?</t>
  </si>
  <si>
    <t>¿Cuáles son el costo de completación (CCE) y tiempo de compeltación (TCE) estimados del proyecto?</t>
  </si>
  <si>
    <t>Nota Taller 3. 20%</t>
  </si>
  <si>
    <t>Taller 4. Estrategia de Respuesta al Riesgo (Plan de Contingencia y Riesgo en Matriz de Riesgos de Proyecto Taller Integral)</t>
  </si>
  <si>
    <t>Diseñar el plan de Mitigación o Tratamiento al Riesgo, utilizando la Matriz de Riesgos . Al menos 7 riesgos deberán tener tratamiento explícito (no aceptables)</t>
  </si>
  <si>
    <t>Utilizar el modelo 5X5 que mejor se ajuste a la realidad de su proyecto y en función de las escalas determinadas. Haga todos los supuestos que le dicte el sentido común.</t>
  </si>
  <si>
    <t>Construir la Matriz de Riesgos de la zona de "Riesgo Residual".</t>
  </si>
  <si>
    <t>Constuir el Mapa de Riesgo Residual con análisis crítico de resultados obtenidos.</t>
  </si>
  <si>
    <t>Definir el Costo de los Mecanismos de Respuesta y del Fondo de Contingencia.</t>
  </si>
  <si>
    <t>Nota Taller 4. 40%</t>
  </si>
  <si>
    <t>NOTA FINAL</t>
  </si>
  <si>
    <t>Cada taller cuenta con un punto base para la nota</t>
  </si>
  <si>
    <t>La nota final esta en función al porcentaje que representa cada taller</t>
  </si>
  <si>
    <t>Matriz de Riesgos del Proyecto</t>
  </si>
  <si>
    <t>Monto (en moneda Proyecto)</t>
  </si>
  <si>
    <t>%</t>
  </si>
  <si>
    <t>Proyecto:</t>
  </si>
  <si>
    <t>DNA-CAP.Proyecto Habilitación Salas Capacitación DNA 2021</t>
  </si>
  <si>
    <t>Responsable del Proceso:</t>
  </si>
  <si>
    <t>Jefe de Proyecto</t>
  </si>
  <si>
    <t>CAPEX BASE ESTIMADO (CBE):</t>
  </si>
  <si>
    <t>Costo inevitable de Mitigación al Riesgo</t>
  </si>
  <si>
    <t>Costo inevitable</t>
  </si>
  <si>
    <t>ID del Proyecto</t>
  </si>
  <si>
    <t>DNA-CAP/01-2021</t>
  </si>
  <si>
    <t>Fecha actualización:</t>
  </si>
  <si>
    <t>Clase estimación (AACEI)</t>
  </si>
  <si>
    <t>Clase 1</t>
  </si>
  <si>
    <t>Monto del Fondo de Contingencia (evitable)</t>
  </si>
  <si>
    <t>Costo evitable</t>
  </si>
  <si>
    <t>Responsable de emisión:</t>
  </si>
  <si>
    <t>Encargado de Riesgos y Calidad del Proyecto</t>
  </si>
  <si>
    <t>Revisión N°:</t>
  </si>
  <si>
    <t>Rev 03</t>
  </si>
  <si>
    <t>Moneda del Proyecto</t>
  </si>
  <si>
    <t>US$</t>
  </si>
  <si>
    <t>Monto Total de la Gestiòn del Riesgo</t>
  </si>
  <si>
    <t>º</t>
  </si>
  <si>
    <t>Identificación del Riesgo</t>
  </si>
  <si>
    <t>E. del Desglose de Riesgo</t>
  </si>
  <si>
    <t>Riesgo Inherente</t>
  </si>
  <si>
    <t>Plan de Tratamiento al Riesgo</t>
  </si>
  <si>
    <t>Riesgos Residual</t>
  </si>
  <si>
    <t>Exposición al Riesgo (Seguimiento y Control)</t>
  </si>
  <si>
    <t>Nro.</t>
  </si>
  <si>
    <t>Fase / Actividad del Proyecto (WBS) - LD</t>
  </si>
  <si>
    <t>Descripción del Evento (en neutro, sin expresar causas o impactos)</t>
  </si>
  <si>
    <t>Causas</t>
  </si>
  <si>
    <t>Impactos o Consecuencias</t>
  </si>
  <si>
    <t>Controles existentes (debe ser verificable su existencia en PEP)</t>
  </si>
  <si>
    <t>Contexto del Riesgo (Interno o Externo) LD</t>
  </si>
  <si>
    <t>Tipo de Riesgo (RBS) LD</t>
  </si>
  <si>
    <t>Influencia
del Riesgo LD</t>
  </si>
  <si>
    <t>Porcentaje de la Probabilidad</t>
  </si>
  <si>
    <t>Probabilidad de Ocurrencia ( P )</t>
  </si>
  <si>
    <t>Impacto ( I )</t>
  </si>
  <si>
    <t>Severidad (P x I)</t>
  </si>
  <si>
    <t>Jerarquía</t>
  </si>
  <si>
    <t>Acción Nro.</t>
  </si>
  <si>
    <t>Estrategia de Respuesta (Genérica)</t>
  </si>
  <si>
    <t>Control a Realizar (Nueva Medida de Mitigación)</t>
  </si>
  <si>
    <t>Probabilidad de ocurrencia (1%-99%)
RIESGO INHERENTE (Repetir celda J)</t>
  </si>
  <si>
    <t>Costo de mitigación inevitable/ Costo de Corrección. (Respuesta al Riesgo que corrige presupuesto Base) (Ocurra o no el riesgo)</t>
  </si>
  <si>
    <t>Costo de mitigación evitable / Costo de Corrección. (Respuesta al Riesgo que se implementa sólo en caso de que ocurra)</t>
  </si>
  <si>
    <t>Fondo de Contingencia (Provisión ded PO x Impacto o costo de corrección para respuestas condicionadas a ocurrencia de evento) (Resultado de celda SxU)</t>
  </si>
  <si>
    <t>Responsable</t>
  </si>
  <si>
    <t>Fecha Próximo Control (o plazo de la acción)</t>
  </si>
  <si>
    <t>Porcentaje
de la Probabilidad</t>
  </si>
  <si>
    <t>Probabilidad de Ocurrencia (P)</t>
  </si>
  <si>
    <t>Severidad
(P x I)</t>
  </si>
  <si>
    <t>Clasificación   (Colores)</t>
  </si>
  <si>
    <t>Prioridad</t>
  </si>
  <si>
    <t>Características 
del Control</t>
  </si>
  <si>
    <t>Valor del Control</t>
  </si>
  <si>
    <t>Calidad del Control</t>
  </si>
  <si>
    <t>Indicador de Exposición al Riesgo Inherente</t>
  </si>
  <si>
    <t>Indicador de Exposición al Riesgo Residual</t>
  </si>
  <si>
    <t>Nivel de Exposición al Riesgo Inherente</t>
  </si>
  <si>
    <t>Nivel de Exposición al Riesgo Residual (Colores)</t>
  </si>
  <si>
    <t>Clasificación (Colores)</t>
  </si>
  <si>
    <t>Periocidad (PD)</t>
  </si>
  <si>
    <t>Oportutnidad (O)</t>
  </si>
  <si>
    <t>Automatización (A)</t>
  </si>
  <si>
    <t>R1a</t>
  </si>
  <si>
    <t>DNA-CAP.LAB.1      Trabajos Obras Civiles y modificaciones</t>
  </si>
  <si>
    <t>Aumentos de trabajos en obras civiles no acordados en especificaciones técnicas</t>
  </si>
  <si>
    <t>C1: Trabajos no considerados en propuesta por error en lectura de documentos técnicos.</t>
  </si>
  <si>
    <t>I1: Aumento de Costos de trabajos no considerados en fondos de contingencia</t>
  </si>
  <si>
    <t>CE1: Revisión de bases de licitación por personal especialista del Departamento de Propuestas (Probabilidad)</t>
  </si>
  <si>
    <t>Contexto Interno</t>
  </si>
  <si>
    <t>1.3 Estimaciones, supuestos y restricciones</t>
  </si>
  <si>
    <t>Amenaza</t>
  </si>
  <si>
    <t>Mitigar Probabilidad</t>
  </si>
  <si>
    <t>Revisión de bases de licitación por personal especialista de Construcción.</t>
  </si>
  <si>
    <t>Jefe Depto. Propuestas</t>
  </si>
  <si>
    <t>Mitigar Impacto</t>
  </si>
  <si>
    <t xml:space="preserve">Provisionar 10% de aumento en fondo de contingencia. </t>
  </si>
  <si>
    <t>R1b</t>
  </si>
  <si>
    <t>C2: Planos As Built entregados por clientes incompletos o defectuosos</t>
  </si>
  <si>
    <t>I2:Aumento de plazo en trabajos no considerados en buffer a término (PERT) de actividad o en su holgura.</t>
  </si>
  <si>
    <t>CE2: No hay Control</t>
  </si>
  <si>
    <t>Confrontar información entregada por cliente en visita a terreno. Incoporar especialista.</t>
  </si>
  <si>
    <t>Transferir/compartir</t>
  </si>
  <si>
    <t>Tranferir mayores costos y plazos al cliente a travpes de órdenes de cambio.</t>
  </si>
  <si>
    <t>Administrador de Contrato</t>
  </si>
  <si>
    <t>En cuanto ocurra</t>
  </si>
  <si>
    <t>R1c</t>
  </si>
  <si>
    <t>C3:Interesados no previstos al inicio levantan nuevos requerimientos</t>
  </si>
  <si>
    <t>I3: I2:Aumento de plazo en trabajos no considerados en buffre a término de actividad o en su holgura.</t>
  </si>
  <si>
    <t>CE3: Identificación y Registro de Interesados Claves (Probabilidad)</t>
  </si>
  <si>
    <t xml:space="preserve">Efectuar reuniones semanales con cliente para revisar registro de interesados claves. </t>
  </si>
  <si>
    <t>Semanal</t>
  </si>
  <si>
    <t>R2a</t>
  </si>
  <si>
    <t>DNA-CAP.LAB.3.1         Instalar canaletas</t>
  </si>
  <si>
    <t>Hallazgos de interferencias en trazado de canaletas</t>
  </si>
  <si>
    <t>C1: Planos As built defectuosos</t>
  </si>
  <si>
    <t>I1: Aumento de cubicaciones reales en instalación de canaletas</t>
  </si>
  <si>
    <t>CE1: Control de cubicaciones reales por Jefe de Terreno (Impacto).
CE2: Registro de incidencias y traspaso de mayores costos al cliente. (Impacto)</t>
  </si>
  <si>
    <t>1.4 Procesos Técnicos</t>
  </si>
  <si>
    <t xml:space="preserve">Aceptar </t>
  </si>
  <si>
    <t>Monitorear evolución</t>
  </si>
  <si>
    <t>R2b</t>
  </si>
  <si>
    <t>C2: Trabajo de Obras Civiles mal implementados</t>
  </si>
  <si>
    <t>I2:Retraso en el trabajo por reprocesos</t>
  </si>
  <si>
    <t>CE3: Aplicación de protocolos de calidad en recepción de Obras Civiles (Probabilidad).</t>
  </si>
  <si>
    <t>Incoporar en equipo de calidad a especialista en OO.CC</t>
  </si>
  <si>
    <t>Área RRHH</t>
  </si>
  <si>
    <t>Provisionar 10% de aumento en plazo de ejecución de actividades (Costo Indirecto).</t>
  </si>
  <si>
    <t>Jefe de Proyectos</t>
  </si>
  <si>
    <t>R2c</t>
  </si>
  <si>
    <t>I3:Aumento de Costos Indirectos del Proyecto por extensión de plazo (tarea crítica)</t>
  </si>
  <si>
    <t>Provisionar 10% de aumento en fondo de contingencia por reprocesos (Costo Directo)</t>
  </si>
  <si>
    <t>R3a</t>
  </si>
  <si>
    <t>DNA-CAP.LAB.5.2         Montajes PC´s interactivos</t>
  </si>
  <si>
    <t xml:space="preserve">Aumento de precio unitario de PC´s </t>
  </si>
  <si>
    <t>C1: Escalameinto de TC</t>
  </si>
  <si>
    <t>I1: Mayor costo en 15% de costo unitario</t>
  </si>
  <si>
    <t>CE1: No hay Control</t>
  </si>
  <si>
    <t>4.2 Tasa de cambio</t>
  </si>
  <si>
    <t>Contratar Seguro de Tipo de Cambio (Forward) con Banco por monto de Adquisición Total (Proveedor extranjero)</t>
  </si>
  <si>
    <t>R3b</t>
  </si>
  <si>
    <t>C2: Escasa oferta en mercado en modelo solicitado por cliente</t>
  </si>
  <si>
    <t>I2: Retraso en entrega de proveedor por proceso de negociación tardía</t>
  </si>
  <si>
    <t>CE2: Negociación anticipada con proveedor y reservar stock (Probabilidad)</t>
  </si>
  <si>
    <t>Provisionar 15% de aumento en plazo de ejecución de actividades (Costo Indirecto).</t>
  </si>
  <si>
    <t>R3c</t>
  </si>
  <si>
    <t>C3: Vencimiento de Cotización</t>
  </si>
  <si>
    <t>CE3: Seguimiento a Plan de Adquisiones por profesional a cargo y asegurar reemisión de cotización por proveedor (extender plazo) (Probabilidad</t>
  </si>
  <si>
    <t>R4a</t>
  </si>
  <si>
    <t>C1:</t>
  </si>
  <si>
    <t>I1:</t>
  </si>
  <si>
    <t>CE1:</t>
  </si>
  <si>
    <t>R4b</t>
  </si>
  <si>
    <t>C2:</t>
  </si>
  <si>
    <t>I2:</t>
  </si>
  <si>
    <t>CE2:</t>
  </si>
  <si>
    <t>R4c</t>
  </si>
  <si>
    <t>C3:</t>
  </si>
  <si>
    <t>I3:</t>
  </si>
  <si>
    <t>CE3:</t>
  </si>
  <si>
    <t>R5a</t>
  </si>
  <si>
    <t>R5b</t>
  </si>
  <si>
    <t>R5c</t>
  </si>
  <si>
    <t>R6a</t>
  </si>
  <si>
    <t>R6b</t>
  </si>
  <si>
    <t>R6c</t>
  </si>
  <si>
    <t>R7a</t>
  </si>
  <si>
    <t>R7b</t>
  </si>
  <si>
    <t>R7c</t>
  </si>
  <si>
    <t>R8a</t>
  </si>
  <si>
    <t>R8b</t>
  </si>
  <si>
    <t>R8c</t>
  </si>
  <si>
    <t>RBS Propuesta por PMI en PMBOK 7 (ver gráfico 11-4)</t>
  </si>
  <si>
    <t>Nivel 0 RBS</t>
  </si>
  <si>
    <t>Nivel 1 RBS</t>
  </si>
  <si>
    <t>Nivel 2 RBS</t>
  </si>
  <si>
    <t>0. Tipos de Riesgos desde distintas fuentes</t>
  </si>
  <si>
    <t>1. Riesgos Técnicos</t>
  </si>
  <si>
    <t>1.1 Definición de Alcance</t>
  </si>
  <si>
    <t>1.2 Definición de requisitos</t>
  </si>
  <si>
    <t>1.5 Tecnología</t>
  </si>
  <si>
    <t>1.6 Interfases técnicas</t>
  </si>
  <si>
    <t>1.7 Otros riesgos técnicos</t>
  </si>
  <si>
    <t>2. Riesgos de Gestión</t>
  </si>
  <si>
    <t>2.1 Dirección de proyectos</t>
  </si>
  <si>
    <t>2.2 Dirección de Programa/Portafolio</t>
  </si>
  <si>
    <t>2.3 Gestión de Operaciones</t>
  </si>
  <si>
    <t>2.4 Organización</t>
  </si>
  <si>
    <t>2.5 Dotación de Recursos</t>
  </si>
  <si>
    <t>2.6 Comunicaciones</t>
  </si>
  <si>
    <t>2.7 Otros riesgos de gestión</t>
  </si>
  <si>
    <t>3. Riesgos Comerciales</t>
  </si>
  <si>
    <t>3.1 Términos y condiciones contractuales</t>
  </si>
  <si>
    <t xml:space="preserve">3.2 Contratación interna </t>
  </si>
  <si>
    <t>3.3 Proveedores y vendedores</t>
  </si>
  <si>
    <t>3.4 Subcontratos</t>
  </si>
  <si>
    <t>3.5 Estabilidad de los clientes</t>
  </si>
  <si>
    <t>3.6 Asociaciones y empresas conjuntas</t>
  </si>
  <si>
    <t>3.7 Otros riesgos comerciales</t>
  </si>
  <si>
    <t>4. Riesgos Externos</t>
  </si>
  <si>
    <t>4.1 Legislación</t>
  </si>
  <si>
    <t>4.3 Sustentabilidad y comunidades</t>
  </si>
  <si>
    <t>4.4 Ambiental y Clima</t>
  </si>
  <si>
    <t>4.5 Competencia</t>
  </si>
  <si>
    <t>4.6 Normativo y regulatorio</t>
  </si>
  <si>
    <t>4.7 Otros riesgos externos</t>
  </si>
  <si>
    <t>Criterios para elaboración de Listas Desplegables en Matriz de Riesgos (Debe revisarse y adaptarse)</t>
  </si>
  <si>
    <t>Columna B</t>
  </si>
  <si>
    <t>WBS del proyecto (Ejemplo a adaptar para cada proyecto) - copiada directamente de MS Project</t>
  </si>
  <si>
    <t>Columna G</t>
  </si>
  <si>
    <t>Columna H</t>
  </si>
  <si>
    <t>Columna I</t>
  </si>
  <si>
    <t>Columna K</t>
  </si>
  <si>
    <t>Columna L</t>
  </si>
  <si>
    <t>Columna Q</t>
  </si>
  <si>
    <t>Código EDT</t>
  </si>
  <si>
    <t>Nombre de tarea</t>
  </si>
  <si>
    <t>PO del Riesgo</t>
  </si>
  <si>
    <t>Impacto Riesgo</t>
  </si>
  <si>
    <t>Probabilidad Indicativa (límite superior rango)</t>
  </si>
  <si>
    <t>Puntaje Matriz 5x5</t>
  </si>
  <si>
    <t>DNA-CAP.</t>
  </si>
  <si>
    <t>DNA-CAP.LAB</t>
  </si>
  <si>
    <t>DNA-CAP.LAB   Fase 1 Montaje de Laboratorios</t>
  </si>
  <si>
    <t>Considerar listado directamente desde Hoja de Cálculo con RBS</t>
  </si>
  <si>
    <t>DNA-CAP.LAB.1</t>
  </si>
  <si>
    <t>Contexto Externo</t>
  </si>
  <si>
    <t>Oportunidad</t>
  </si>
  <si>
    <t>DNA-CAP.LAB.2</t>
  </si>
  <si>
    <t>DNA-CAP.LAB.2      Instalaciones de Electricidad</t>
  </si>
  <si>
    <t>DNA-CAP.LAB.3</t>
  </si>
  <si>
    <t>DNA-CAP.LAB.3      Montaje de la red</t>
  </si>
  <si>
    <t>Eliminar</t>
  </si>
  <si>
    <t>DNA-CAP.LAB.3.1</t>
  </si>
  <si>
    <t>Postergar</t>
  </si>
  <si>
    <t>DNA-CAP.LAB.3.2</t>
  </si>
  <si>
    <t>DNA-CAP.LAB.3.2         Instalar cables</t>
  </si>
  <si>
    <t>Escalar</t>
  </si>
  <si>
    <t>DNA-CAP.LAB.3.3</t>
  </si>
  <si>
    <t>DNA-CAP.LAB.3.3         Instalar tomas de red</t>
  </si>
  <si>
    <t>DNA-CAP.LAB.3.4</t>
  </si>
  <si>
    <t>DNA-CAP.LAB.3.4         Realización de Pruebas de Red</t>
  </si>
  <si>
    <t>DNA-CAP.LAB.4</t>
  </si>
  <si>
    <t>DNA-CAP.LAB.4      Montaje de mobiliario</t>
  </si>
  <si>
    <t>DNA-CAP.LAB.4.1</t>
  </si>
  <si>
    <t xml:space="preserve">DNA-CAP.LAB.4.1         Montaje de puestos interactivos </t>
  </si>
  <si>
    <t>DNA-CAP.LAB.4.2</t>
  </si>
  <si>
    <t>DNA-CAP.LAB.4.2         Montaje de puestos profesor</t>
  </si>
  <si>
    <t>DNA-CAP.LAB.4.3</t>
  </si>
  <si>
    <t>DNA-CAP.LAB.4.3         Fin de Obras Laboratorios</t>
  </si>
  <si>
    <t>DNA-CAP.LAB.5</t>
  </si>
  <si>
    <t>DNA-CAP.LAB.5      Instalación Equipos Informáticos</t>
  </si>
  <si>
    <t>DNA-CAP.LAB.5.1</t>
  </si>
  <si>
    <t>DNA-CAP.LAB.5.1         Montaje servidores</t>
  </si>
  <si>
    <t>DNA-CAP.LAB.5.2</t>
  </si>
  <si>
    <t>DNA-CAP.LAB.5.3</t>
  </si>
  <si>
    <t>DNA-CAP.LAB.5.3         Montaje equipamiento videoconferencia</t>
  </si>
  <si>
    <t>DNA-CAP.LAB.5.4</t>
  </si>
  <si>
    <t>DNA-CAP.LAB.5.4         Montaje Proyector Data Show</t>
  </si>
  <si>
    <t>DNA-CAP.LAB.5.5</t>
  </si>
  <si>
    <t>DNA-CAP.LAB.5.5         Fin de Instalación Laboratorios</t>
  </si>
  <si>
    <t>DNA-CAP.SPG</t>
  </si>
  <si>
    <t>DNA-CAP.SPG   Fase 2 Instalación Software Propósito General</t>
  </si>
  <si>
    <t>DNA-CAP.SPG.1</t>
  </si>
  <si>
    <t>DNA-CAP.SPG.1      Instalación Sistema Operativo Servidor</t>
  </si>
  <si>
    <t>DNA-CAP.SPG.2</t>
  </si>
  <si>
    <t>DNA-CAP.SPG.2      Instalación Sistema Operativo PC´s</t>
  </si>
  <si>
    <t>DNA-CAP.SPG.3</t>
  </si>
  <si>
    <t>DNA-CAP.SPG.3      Instalación Software Videoconferencia</t>
  </si>
  <si>
    <t>DNA-CAP.SPG.4</t>
  </si>
  <si>
    <t>DNA-CAP.SPG.4      Prueba Instalación Software Propósito General</t>
  </si>
  <si>
    <t>DNA-CAP.PGS</t>
  </si>
  <si>
    <t>DNA-CAP.PGS   Fase 3: Prueba Global del Sistema</t>
  </si>
  <si>
    <t>DNA-CAP.PGS.1</t>
  </si>
  <si>
    <t>DNA-CAP.PGS.1      Prueba Global del Sistema</t>
  </si>
  <si>
    <t>DNA-CAP.PGS.2</t>
  </si>
  <si>
    <t xml:space="preserve">DNA-CAP.PGS.2      Entrega Final a DNA - Recepción del Cliente </t>
  </si>
  <si>
    <t>DNA-CAP.PGS.3</t>
  </si>
  <si>
    <t>DNA-CAP.PGS.3      Cierre de Contrato</t>
  </si>
  <si>
    <t>DNA-CAP.AP</t>
  </si>
  <si>
    <t>DNA-CAP.AP   Administración del Proyecto</t>
  </si>
  <si>
    <r>
      <t xml:space="preserve">Escala de Probabilidad de Ocurrencia </t>
    </r>
    <r>
      <rPr>
        <b/>
        <sz val="12"/>
        <color rgb="FFFF0000"/>
        <rFont val="Calibri"/>
        <family val="2"/>
        <scheme val="minor"/>
      </rPr>
      <t>(debe revisarse y adpatarse a industria o proyecto)</t>
    </r>
  </si>
  <si>
    <t>Clasificación</t>
  </si>
  <si>
    <t>Valor Matriz 5x5</t>
  </si>
  <si>
    <t>Descripción de la Probabilidad y Frecuencia Indicativa</t>
  </si>
  <si>
    <t>Probabilidad Indicativa</t>
  </si>
  <si>
    <t>Casi Seguro</t>
  </si>
  <si>
    <r>
      <t xml:space="preserve">Prácticamente seguro: </t>
    </r>
    <r>
      <rPr>
        <sz val="11"/>
        <color rgb="FF000000"/>
        <rFont val="Calibri"/>
        <family val="2"/>
        <scheme val="minor"/>
      </rPr>
      <t xml:space="preserve">muy alta probabilidad de que ocurra, </t>
    </r>
    <r>
      <rPr>
        <b/>
        <u/>
        <sz val="11"/>
        <color rgb="FFFF0000"/>
        <rFont val="Calibri"/>
        <family val="2"/>
        <scheme val="minor"/>
      </rPr>
      <t>varias veces durante el año</t>
    </r>
    <r>
      <rPr>
        <sz val="11"/>
        <color rgb="FF000000"/>
        <rFont val="Calibri"/>
        <family val="2"/>
        <scheme val="minor"/>
      </rPr>
      <t>. Ha ocurrido en diversas ocasiones en proyectos de similar naturaleza en esta ubicación.</t>
    </r>
  </si>
  <si>
    <t>&gt; 0,80</t>
  </si>
  <si>
    <t>Probable</t>
  </si>
  <si>
    <r>
      <t xml:space="preserve">Probable: </t>
    </r>
    <r>
      <rPr>
        <sz val="11"/>
        <color rgb="FF000000"/>
        <rFont val="Calibri"/>
        <family val="2"/>
        <scheme val="minor"/>
      </rPr>
      <t xml:space="preserve">Alta probabilidad, es posible que ocurra </t>
    </r>
    <r>
      <rPr>
        <b/>
        <u/>
        <sz val="11"/>
        <color rgb="FFFF0000"/>
        <rFont val="Calibri"/>
        <family val="2"/>
        <scheme val="minor"/>
      </rPr>
      <t>una vez al año</t>
    </r>
    <r>
      <rPr>
        <sz val="11"/>
        <color rgb="FF000000"/>
        <rFont val="Calibri"/>
        <family val="2"/>
        <scheme val="minor"/>
      </rPr>
      <t>, aproximadamente. Un evento similar tuvo lugar en diversas oportunidades durante el año, en proyectos de similar índole, para esta organización.</t>
    </r>
  </si>
  <si>
    <t>0,51 - 0,80</t>
  </si>
  <si>
    <t>Posible</t>
  </si>
  <si>
    <r>
      <t>Posible:</t>
    </r>
    <r>
      <rPr>
        <sz val="11"/>
        <color rgb="FF000000"/>
        <rFont val="Calibri"/>
        <family val="2"/>
        <scheme val="minor"/>
      </rPr>
      <t xml:space="preserve"> probabilidad razonable de que pueda ocurrir </t>
    </r>
    <r>
      <rPr>
        <b/>
        <u/>
        <sz val="11"/>
        <color rgb="FFFF0000"/>
        <rFont val="Calibri"/>
        <family val="2"/>
        <scheme val="minor"/>
      </rPr>
      <t xml:space="preserve">por lo menos una vez </t>
    </r>
    <r>
      <rPr>
        <sz val="11"/>
        <color rgb="FF000000"/>
        <rFont val="Calibri"/>
        <family val="2"/>
        <scheme val="minor"/>
      </rPr>
      <t xml:space="preserve">en un período de </t>
    </r>
    <r>
      <rPr>
        <b/>
        <u/>
        <sz val="11"/>
        <color rgb="FFFF0000"/>
        <rFont val="Calibri"/>
        <family val="2"/>
        <scheme val="minor"/>
      </rPr>
      <t>1 a 10 años</t>
    </r>
    <r>
      <rPr>
        <sz val="11"/>
        <color rgb="FF000000"/>
        <rFont val="Calibri"/>
        <family val="2"/>
        <scheme val="minor"/>
      </rPr>
      <t>. Un evento similar tuvo lugar una vez en otros proyectos similares, para esta organización.</t>
    </r>
  </si>
  <si>
    <t>0,11 - 0,50</t>
  </si>
  <si>
    <t>Improbable</t>
  </si>
  <si>
    <r>
      <t xml:space="preserve">Improbable: </t>
    </r>
    <r>
      <rPr>
        <sz val="11"/>
        <color rgb="FF000000"/>
        <rFont val="Calibri"/>
        <family val="2"/>
        <scheme val="minor"/>
      </rPr>
      <t xml:space="preserve">Admisible, es improbable que ocurra durante el proyecto, aunque podría ocurrir durante los próximos </t>
    </r>
    <r>
      <rPr>
        <b/>
        <u/>
        <sz val="11"/>
        <color rgb="FFFF0000"/>
        <rFont val="Calibri"/>
        <family val="2"/>
        <scheme val="minor"/>
      </rPr>
      <t>10 a 40 años</t>
    </r>
    <r>
      <rPr>
        <sz val="11"/>
        <color rgb="FF000000"/>
        <rFont val="Calibri"/>
        <family val="2"/>
        <scheme val="minor"/>
      </rPr>
      <t>. Un evento similar ocurrió en otros proyectos similares en esta industria.</t>
    </r>
  </si>
  <si>
    <t>0,02 - 0,10</t>
  </si>
  <si>
    <t>Raro</t>
  </si>
  <si>
    <r>
      <t>Raro o Infrecuente</t>
    </r>
    <r>
      <rPr>
        <sz val="11"/>
        <color rgb="FF000000"/>
        <rFont val="Calibri"/>
        <family val="2"/>
        <scheme val="minor"/>
      </rPr>
      <t xml:space="preserve">: muy baja probabilidad de que ocurra, aunque no imposible, es improbable que se produzca durante los próximos 40 años. Un evento similar </t>
    </r>
    <r>
      <rPr>
        <b/>
        <u/>
        <sz val="11"/>
        <color rgb="FFFF0000"/>
        <rFont val="Calibri"/>
        <family val="2"/>
        <scheme val="minor"/>
      </rPr>
      <t>ocurrió en otro lugar del mundo en esta industria</t>
    </r>
    <r>
      <rPr>
        <sz val="11"/>
        <color rgb="FF000000"/>
        <rFont val="Calibri"/>
        <family val="2"/>
        <scheme val="minor"/>
      </rPr>
      <t>.</t>
    </r>
  </si>
  <si>
    <t>&lt; 0,02</t>
  </si>
  <si>
    <t>Nota: la escala señalada más arriba puede personalizarse, según se requiera, a fin de adecuarse al análisis y período de exposición escogido para el análisis. En la mayoría de los proyectos de gran envergadura, se escoge un período de exposición de 10 años, puesto que, en general, cualquier impacto sobre el costo del proyecto o flujos de caja afectará el VAN dentro de este período de tiempo.</t>
  </si>
  <si>
    <r>
      <t>Escala de Medidión de Impacto o Consecuencia</t>
    </r>
    <r>
      <rPr>
        <b/>
        <sz val="11"/>
        <color rgb="FFFF0000"/>
        <rFont val="Calibri"/>
        <family val="2"/>
        <scheme val="minor"/>
      </rPr>
      <t xml:space="preserve"> (debe revisarse y adpatarse a industria o proyecto y según definiciones del sponsor)</t>
    </r>
  </si>
  <si>
    <t>Desempeño Técnico Entregables</t>
  </si>
  <si>
    <t>Presupuesto Proyecto</t>
  </si>
  <si>
    <t>Cronograma Proyecto</t>
  </si>
  <si>
    <t xml:space="preserve">Seguridad y Salud Ocupacional (SSO) </t>
  </si>
  <si>
    <t>Medio ambiente</t>
  </si>
  <si>
    <t>Legales y regulaciones</t>
  </si>
  <si>
    <t>Reputación</t>
  </si>
  <si>
    <t>Catastrófico</t>
  </si>
  <si>
    <t>•No se lograría el 60% de capacidad de diseño de entregables en eatpa de operaciones</t>
  </si>
  <si>
    <t>•Más del 30% de exceso de gastos</t>
  </si>
  <si>
    <t>•Más del 50% de atraso en el término del proyecto</t>
  </si>
  <si>
    <t>•Fatalidades múltiples</t>
  </si>
  <si>
    <t>•Daño a medio ambiente a largo plazo, 5 años o más, con exigencia &gt; US$5,0MM para compensar, estudios y/o penas.</t>
  </si>
  <si>
    <t>•Multas y juicios muy importantes</t>
  </si>
  <si>
    <t>•Desfavorable cobertura de los medios mundiales</t>
  </si>
  <si>
    <t>•Investigación del Gobierno</t>
  </si>
  <si>
    <t>•Aumentaría Costos Operacionales (OPEX) &gt; 30% del estimado</t>
  </si>
  <si>
    <t>•Múltiples litigios</t>
  </si>
  <si>
    <t>•Gran interés público</t>
  </si>
  <si>
    <t>•Gran pérdida de apoyo de accionistas</t>
  </si>
  <si>
    <t>Grave</t>
  </si>
  <si>
    <t>•No se lograría 80% capacidad diseño (&gt;60%) sin incurrir en importantes inversiones (CAPEX) (&gt;10% LBC)</t>
  </si>
  <si>
    <t>•16% a 30% de exceso de gastos</t>
  </si>
  <si>
    <t>•17% a 50% de atraso en el término del proyecto</t>
  </si>
  <si>
    <t>•Fatalidad</t>
  </si>
  <si>
    <t>•Daño a medio ambiente a mediano plazo &gt;1 año &lt; 5 años, con exigencia de US$1,0MM a US$5,0MM para compensar, estudios y/o penas.</t>
  </si>
  <si>
    <t>•Multas y juicios importantes</t>
  </si>
  <si>
    <t>•Desfavorable cobertura de los medios nacionales</t>
  </si>
  <si>
    <t>•Participación de algún miembro del Gobierno</t>
  </si>
  <si>
    <t>•Aumentaría Costos Operacionales (OPEX) &gt;20% y &lt;30% del estimado</t>
  </si>
  <si>
    <t>•Lesión vinculada a una invalidez permanente</t>
  </si>
  <si>
    <t>•Litigios muy graves, incluyendo la acción popular</t>
  </si>
  <si>
    <t>•Cambio en Gerencia Senior</t>
  </si>
  <si>
    <t>•Pérdida importante de apoyo de accionistas</t>
  </si>
  <si>
    <t>Importante</t>
  </si>
  <si>
    <t>•No se lograría 100% capacidad diseño sin incurrir en importantes inversiones (CAPEX) (&gt;10% LBC)</t>
  </si>
  <si>
    <t>•6% a 16% de exceso de gastos</t>
  </si>
  <si>
    <t>•8% a 17% de atraso en el término del proyecto</t>
  </si>
  <si>
    <t>•Lesiones graves</t>
  </si>
  <si>
    <t>•Daño a medio ambiente a corto plazo &lt; 1 año, con exigencia de hasta US$1,0MM para compensar, estudios y/o penas.</t>
  </si>
  <si>
    <t>•Grave violación de la regulación con investigación o informe a autoridades con posibles juicios y/o multas moderadas.</t>
  </si>
  <si>
    <t>•Desfavorable cobertura de los medios locales y RRSS</t>
  </si>
  <si>
    <t>•Participación del Directorio</t>
  </si>
  <si>
    <t>•Aumentaría Costos Operacionales (OPEX) &gt;10% y &lt;20% del estimado</t>
  </si>
  <si>
    <t>•Largo tiempo perdido</t>
  </si>
  <si>
    <t>•Litigios grave, sin acción popular</t>
  </si>
  <si>
    <t>•Pérdida de apoyo de accionistas</t>
  </si>
  <si>
    <t>Moderado</t>
  </si>
  <si>
    <t>•No se lograría 100% capacidad diseño sin incurrir en inversiones menores  (CAPEX) (&gt;5 y &lt;10%% LBC)</t>
  </si>
  <si>
    <t>•0,5% a 6% de exceso de gastos</t>
  </si>
  <si>
    <t>•3% a 8% de atraso en el término del proyecto</t>
  </si>
  <si>
    <t>•Lesiones importante</t>
  </si>
  <si>
    <t>•Daño medio ambiente con exigencia de hasta US$0,25MM para compensar, estudios y/o penas.</t>
  </si>
  <si>
    <t>•Violación menor de la regulación con investigación o informe a autoridades con  multas moderadas.</t>
  </si>
  <si>
    <t>•Desfavorable cobertura de los medios locales</t>
  </si>
  <si>
    <t>•Informe al Directorio</t>
  </si>
  <si>
    <t>•Aumentaría Costos Operacionales (OPEX) &gt;2% y &lt;10% del estimado</t>
  </si>
  <si>
    <t>•Tiempo perdido reducido</t>
  </si>
  <si>
    <t>•Preocupación de accionistas</t>
  </si>
  <si>
    <t>Menor</t>
  </si>
  <si>
    <t>•Se lograría 100% capacidad diseño, pero incurriendo en inversiones menores (CAPEX) (&lt;2% LBC)</t>
  </si>
  <si>
    <t>•menos de 0,5% de exceso de gastos, dentro de presupuesto</t>
  </si>
  <si>
    <t>•menos 3% de atraso en el término del proyecto</t>
  </si>
  <si>
    <t>•Lesiones menores o cuasiaccidentes</t>
  </si>
  <si>
    <t>•Insignificante impacto ambiental, manejado dentro de presupuesto</t>
  </si>
  <si>
    <t>•Asunto de bajo nivel legal o de autorización.</t>
  </si>
  <si>
    <t>•Sin atención de los medios</t>
  </si>
  <si>
    <t>•Problema planteado por los trabajadores.</t>
  </si>
  <si>
    <t>Nota: la escala señalada más arriba debe adapatarse a la tolerancia al riesgo de los principales interesados del proyecto.</t>
  </si>
  <si>
    <t>No tocar estas celdas</t>
  </si>
  <si>
    <t>Tabla Resumen de Matriz de Riesgos Inherentes</t>
  </si>
  <si>
    <t>Tabla Resumen de Matriz de Riesgos Residual</t>
  </si>
  <si>
    <t>Evento</t>
  </si>
  <si>
    <t>Probabilidad</t>
  </si>
  <si>
    <t>Impacto</t>
  </si>
  <si>
    <t>Otros riesgos</t>
  </si>
  <si>
    <t>Act X</t>
  </si>
  <si>
    <t>Act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</si>
</sst>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164" formatCode="_-&quot;$&quot;\ * #,##0.00_-;\-&quot;$&quot;\ * #,##0.00_-;_-&quot;$&quot;\ * &quot;-&quot;??_-;_-@_-"/>
    <numFmt numFmtId="165" formatCode="_-&quot;$&quot;\ * #,##0_-;\-&quot;$&quot;\ * #,##0_-;_-&quot;$&quot;\ * &quot;-&quot;??_-;_-@_-"/>
    <numFmt numFmtId="166" formatCode="&quot;$&quot;\ #,##0"/>
    <numFmt numFmtId="167" formatCode="_-&quot;US&quot;&quot;$&quot;\ * #,##0_-;\-&quot;$&quot;\ * #,##0_-;_-&quot;$&quot;\ * &quot;-&quot;??_-;_-@_-"/>
    <numFmt numFmtId="168" formatCode="&quot;$&quot;#,##0"/>
    <numFmt numFmtId="169" formatCode="_-* #,##0.00_-;\-* #,##0.00_-;_-* &quot;-&quot;??_-;_-@_-"/>
  </numFmts>
  <fonts count="49" x14ac:knownFonts="1">
    <font>
      <sz val="11"/>
      <color theme="1"/>
      <name val="Calibri"/>
      <family val="2"/>
      <scheme val="minor"/>
    </font>
    <font>
      <sz val="11"/>
      <color theme="1"/>
      <name val="Calibri"/>
      <family val="2"/>
      <scheme val="minor"/>
    </font>
    <font>
      <b/>
      <sz val="11"/>
      <color rgb="FFFF0000"/>
      <name val="Calibri"/>
      <family val="2"/>
      <scheme val="minor"/>
    </font>
    <font>
      <b/>
      <sz val="11"/>
      <color theme="1"/>
      <name val="Calibri"/>
      <family val="2"/>
      <scheme val="minor"/>
    </font>
    <font>
      <b/>
      <sz val="11"/>
      <name val="Calibri"/>
      <family val="2"/>
      <scheme val="minor"/>
    </font>
    <font>
      <b/>
      <sz val="11"/>
      <color theme="0"/>
      <name val="Calibri"/>
      <family val="2"/>
      <scheme val="minor"/>
    </font>
    <font>
      <sz val="11"/>
      <color theme="1"/>
      <name val="Arial"/>
      <family val="2"/>
    </font>
    <font>
      <b/>
      <sz val="11"/>
      <color theme="1"/>
      <name val="Arial"/>
      <family val="2"/>
    </font>
    <font>
      <b/>
      <sz val="24"/>
      <name val="Arial"/>
      <family val="2"/>
    </font>
    <font>
      <b/>
      <sz val="14"/>
      <name val="Arial"/>
      <family val="2"/>
    </font>
    <font>
      <sz val="11"/>
      <name val="Arial"/>
      <family val="2"/>
    </font>
    <font>
      <b/>
      <sz val="11"/>
      <color theme="0"/>
      <name val="Arial"/>
      <family val="2"/>
    </font>
    <font>
      <sz val="11"/>
      <color theme="0"/>
      <name val="Arial"/>
      <family val="2"/>
    </font>
    <font>
      <b/>
      <sz val="11"/>
      <name val="Arial"/>
      <family val="2"/>
    </font>
    <font>
      <sz val="11"/>
      <color theme="0"/>
      <name val="Calibri"/>
      <family val="2"/>
      <scheme val="minor"/>
    </font>
    <font>
      <b/>
      <sz val="9"/>
      <color indexed="81"/>
      <name val="Tahoma"/>
      <family val="2"/>
    </font>
    <font>
      <sz val="9"/>
      <color indexed="81"/>
      <name val="Tahoma"/>
      <family val="2"/>
    </font>
    <font>
      <sz val="11"/>
      <color indexed="81"/>
      <name val="Tahoma"/>
      <family val="2"/>
    </font>
    <font>
      <b/>
      <sz val="11"/>
      <color indexed="81"/>
      <name val="Tahoma"/>
      <family val="2"/>
    </font>
    <font>
      <b/>
      <sz val="12"/>
      <color indexed="81"/>
      <name val="Tahoma"/>
      <family val="2"/>
    </font>
    <font>
      <sz val="12"/>
      <color indexed="81"/>
      <name val="Tahoma"/>
      <family val="2"/>
    </font>
    <font>
      <b/>
      <sz val="11"/>
      <color theme="3"/>
      <name val="Calibri"/>
      <family val="2"/>
      <scheme val="minor"/>
    </font>
    <font>
      <b/>
      <sz val="11"/>
      <color rgb="FFFFC000"/>
      <name val="Calibri"/>
      <family val="2"/>
      <scheme val="minor"/>
    </font>
    <font>
      <b/>
      <sz val="8"/>
      <color theme="0"/>
      <name val="Arial"/>
      <family val="2"/>
    </font>
    <font>
      <b/>
      <sz val="11"/>
      <color theme="3" tint="-0.249977111117893"/>
      <name val="Calibri"/>
      <family val="2"/>
      <scheme val="minor"/>
    </font>
    <font>
      <b/>
      <sz val="11"/>
      <color rgb="FFC00000"/>
      <name val="Calibri"/>
      <family val="2"/>
      <scheme val="minor"/>
    </font>
    <font>
      <sz val="11"/>
      <color rgb="FF000000"/>
      <name val="Calibri"/>
      <family val="2"/>
      <scheme val="minor"/>
    </font>
    <font>
      <b/>
      <sz val="11"/>
      <color rgb="FF000000"/>
      <name val="Calibri"/>
      <family val="2"/>
      <scheme val="minor"/>
    </font>
    <font>
      <b/>
      <u/>
      <sz val="11"/>
      <color rgb="FFFF0000"/>
      <name val="Calibri"/>
      <family val="2"/>
      <scheme val="minor"/>
    </font>
    <font>
      <b/>
      <sz val="11"/>
      <color theme="4" tint="-0.249977111117893"/>
      <name val="Calibri"/>
      <family val="2"/>
      <scheme val="minor"/>
    </font>
    <font>
      <b/>
      <sz val="14"/>
      <color rgb="FF000000"/>
      <name val="Calibri"/>
      <family val="2"/>
      <scheme val="minor"/>
    </font>
    <font>
      <b/>
      <sz val="14"/>
      <color rgb="FFFF0000"/>
      <name val="Calibri"/>
      <family val="2"/>
      <scheme val="minor"/>
    </font>
    <font>
      <sz val="9"/>
      <color rgb="FF000000"/>
      <name val="Calibri"/>
      <family val="2"/>
      <scheme val="minor"/>
    </font>
    <font>
      <b/>
      <sz val="14"/>
      <name val="Calibri"/>
      <family val="2"/>
      <scheme val="minor"/>
    </font>
    <font>
      <sz val="14"/>
      <name val="Calibri"/>
      <family val="2"/>
      <scheme val="minor"/>
    </font>
    <font>
      <sz val="11"/>
      <color rgb="FFFF0000"/>
      <name val="Calibri"/>
      <family val="2"/>
      <scheme val="minor"/>
    </font>
    <font>
      <b/>
      <sz val="10"/>
      <color rgb="FFFF0000"/>
      <name val="Arial"/>
      <family val="2"/>
    </font>
    <font>
      <b/>
      <sz val="8"/>
      <color rgb="FFFF0000"/>
      <name val="Arial"/>
      <family val="2"/>
    </font>
    <font>
      <sz val="8"/>
      <color rgb="FFFF0000"/>
      <name val="Arial"/>
      <family val="2"/>
    </font>
    <font>
      <b/>
      <sz val="12"/>
      <color theme="3"/>
      <name val="Calibri"/>
      <family val="2"/>
      <scheme val="minor"/>
    </font>
    <font>
      <b/>
      <sz val="12"/>
      <color rgb="FFFF0000"/>
      <name val="Calibri"/>
      <family val="2"/>
      <scheme val="minor"/>
    </font>
    <font>
      <sz val="14"/>
      <color theme="0"/>
      <name val="Calibri"/>
      <family val="2"/>
      <scheme val="minor"/>
    </font>
    <font>
      <b/>
      <sz val="14"/>
      <color theme="0"/>
      <name val="Arial"/>
      <family val="2"/>
    </font>
    <font>
      <sz val="11"/>
      <color theme="4"/>
      <name val="Calibri"/>
      <family val="2"/>
      <scheme val="minor"/>
    </font>
    <font>
      <b/>
      <sz val="11"/>
      <color theme="0"/>
      <name val="Calibri"/>
      <family val="2"/>
    </font>
    <font>
      <sz val="11"/>
      <color theme="0"/>
      <name val="Calibri"/>
      <family val="2"/>
    </font>
    <font>
      <b/>
      <sz val="11"/>
      <color rgb="FF000000"/>
      <name val="Calibri"/>
      <family val="2"/>
    </font>
    <font>
      <sz val="11"/>
      <color theme="1"/>
      <name val="Calibri"/>
      <family val="2"/>
    </font>
    <font>
      <b/>
      <i/>
      <sz val="11"/>
      <color rgb="FF000000"/>
      <name val="Calibri"/>
      <family val="2"/>
    </font>
  </fonts>
  <fills count="2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5"/>
        <bgColor indexed="64"/>
      </patternFill>
    </fill>
    <fill>
      <patternFill patternType="solid">
        <fgColor theme="2" tint="-0.499984740745262"/>
        <bgColor indexed="64"/>
      </patternFill>
    </fill>
    <fill>
      <patternFill patternType="solid">
        <fgColor rgb="FFFFC000"/>
        <bgColor indexed="64"/>
      </patternFill>
    </fill>
    <fill>
      <patternFill patternType="solid">
        <fgColor rgb="FF0070C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FFFFF"/>
        <bgColor indexed="64"/>
      </patternFill>
    </fill>
    <fill>
      <patternFill patternType="solid">
        <fgColor rgb="FFFFFF99"/>
        <bgColor indexed="64"/>
      </patternFill>
    </fill>
    <fill>
      <patternFill patternType="solid">
        <fgColor rgb="FFE2EFD9"/>
        <bgColor indexed="64"/>
      </patternFill>
    </fill>
    <fill>
      <patternFill patternType="solid">
        <fgColor rgb="FFF2F2F2"/>
        <bgColor indexed="64"/>
      </patternFill>
    </fill>
    <fill>
      <patternFill patternType="solid">
        <fgColor rgb="FFC00000"/>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505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style="thin">
        <color theme="0"/>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1BBCC"/>
      </left>
      <right style="thin">
        <color rgb="FFB1BBCC"/>
      </right>
      <top style="thin">
        <color rgb="FFB1BBCC"/>
      </top>
      <bottom style="thin">
        <color rgb="FFB1BBCC"/>
      </bottom>
      <diagonal/>
    </border>
    <border>
      <left style="thin">
        <color rgb="FFB1BBCC"/>
      </left>
      <right style="thin">
        <color rgb="FFB1BBCC"/>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top/>
      <bottom/>
      <diagonal/>
    </border>
    <border>
      <left style="medium">
        <color rgb="FFFFFFFF"/>
      </left>
      <right/>
      <top/>
      <bottom style="medium">
        <color rgb="FFFFFFFF"/>
      </bottom>
      <diagonal/>
    </border>
    <border>
      <left/>
      <right style="thin">
        <color theme="0"/>
      </right>
      <top style="thin">
        <color theme="0"/>
      </top>
      <bottom style="thin">
        <color theme="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7" tint="0.39997558519241921"/>
      </left>
      <right/>
      <top style="thin">
        <color theme="7" tint="0.39997558519241921"/>
      </top>
      <bottom/>
      <diagonal/>
    </border>
    <border>
      <left/>
      <right/>
      <top style="thin">
        <color theme="7" tint="0.39997558519241921"/>
      </top>
      <bottom/>
      <diagonal/>
    </border>
    <border>
      <left/>
      <right/>
      <top/>
      <bottom style="thin">
        <color theme="7" tint="0.39997558519241921"/>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s>
  <cellStyleXfs count="7">
    <xf numFmtId="0" fontId="0"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42" fontId="1" fillId="0" borderId="0" applyFont="0" applyFill="0" applyBorder="0" applyAlignment="0" applyProtection="0"/>
    <xf numFmtId="0" fontId="1" fillId="0" borderId="0"/>
    <xf numFmtId="169" fontId="1" fillId="0" borderId="0" applyFont="0" applyFill="0" applyBorder="0" applyAlignment="0" applyProtection="0"/>
  </cellStyleXfs>
  <cellXfs count="321">
    <xf numFmtId="0" fontId="0" fillId="0" borderId="0" xfId="0"/>
    <xf numFmtId="0" fontId="0" fillId="0" borderId="0" xfId="0" applyAlignment="1">
      <alignment horizontal="center"/>
    </xf>
    <xf numFmtId="0" fontId="0" fillId="3" borderId="0" xfId="0" applyFill="1"/>
    <xf numFmtId="0" fontId="3" fillId="3" borderId="0" xfId="0" applyFont="1" applyFill="1"/>
    <xf numFmtId="0" fontId="0" fillId="3" borderId="0" xfId="0" applyFill="1" applyAlignment="1">
      <alignment horizontal="center" vertic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vertical="center"/>
    </xf>
    <xf numFmtId="0" fontId="7" fillId="0" borderId="0" xfId="0" applyFont="1"/>
    <xf numFmtId="0" fontId="6" fillId="0" borderId="0" xfId="0" applyFont="1" applyAlignment="1">
      <alignment vertical="center" wrapText="1"/>
    </xf>
    <xf numFmtId="0" fontId="6" fillId="0" borderId="0" xfId="0" applyFont="1" applyAlignment="1">
      <alignment wrapText="1"/>
    </xf>
    <xf numFmtId="0" fontId="6" fillId="0" borderId="0" xfId="0" applyFont="1" applyAlignment="1">
      <alignment horizontal="center" vertical="center" wrapText="1"/>
    </xf>
    <xf numFmtId="0" fontId="7" fillId="0" borderId="0" xfId="0" applyFont="1" applyAlignment="1">
      <alignment horizontal="center" vertical="center"/>
    </xf>
    <xf numFmtId="167" fontId="6" fillId="0" borderId="0" xfId="0" applyNumberFormat="1" applyFont="1"/>
    <xf numFmtId="166" fontId="6" fillId="0" borderId="0" xfId="0" applyNumberFormat="1" applyFont="1"/>
    <xf numFmtId="0" fontId="6" fillId="0" borderId="0" xfId="0" applyFont="1" applyAlignment="1">
      <alignment horizontal="left"/>
    </xf>
    <xf numFmtId="0" fontId="22" fillId="15" borderId="0" xfId="0" applyFont="1" applyFill="1" applyAlignment="1">
      <alignment horizontal="center"/>
    </xf>
    <xf numFmtId="0" fontId="4" fillId="16" borderId="0" xfId="0" applyFont="1" applyFill="1"/>
    <xf numFmtId="0" fontId="3" fillId="17" borderId="0" xfId="0" applyFont="1" applyFill="1"/>
    <xf numFmtId="0" fontId="5" fillId="10" borderId="0" xfId="0" applyFont="1" applyFill="1"/>
    <xf numFmtId="0" fontId="5" fillId="18" borderId="0" xfId="0" applyFont="1" applyFill="1"/>
    <xf numFmtId="0" fontId="23" fillId="18" borderId="39" xfId="0" applyFont="1" applyFill="1" applyBorder="1" applyAlignment="1">
      <alignment horizontal="center" vertical="center" wrapText="1"/>
    </xf>
    <xf numFmtId="0" fontId="24" fillId="0" borderId="0" xfId="0" applyFont="1"/>
    <xf numFmtId="0" fontId="25" fillId="0" borderId="0" xfId="0" applyFont="1"/>
    <xf numFmtId="0" fontId="23" fillId="18" borderId="39" xfId="0" applyFont="1" applyFill="1" applyBorder="1" applyAlignment="1">
      <alignment horizontal="center" vertical="center"/>
    </xf>
    <xf numFmtId="0" fontId="25" fillId="0" borderId="0" xfId="0" applyFont="1" applyAlignment="1">
      <alignment horizontal="center"/>
    </xf>
    <xf numFmtId="0" fontId="26" fillId="22" borderId="41" xfId="0" applyFont="1" applyFill="1" applyBorder="1" applyAlignment="1">
      <alignment horizontal="center" vertical="center" wrapText="1" readingOrder="1"/>
    </xf>
    <xf numFmtId="0" fontId="2" fillId="22" borderId="41" xfId="0" applyFont="1" applyFill="1" applyBorder="1" applyAlignment="1">
      <alignment horizontal="center" vertical="center" wrapText="1" readingOrder="1"/>
    </xf>
    <xf numFmtId="0" fontId="27" fillId="22" borderId="41" xfId="0" applyFont="1" applyFill="1" applyBorder="1" applyAlignment="1">
      <alignment horizontal="left" vertical="center" wrapText="1" readingOrder="1"/>
    </xf>
    <xf numFmtId="0" fontId="29" fillId="14" borderId="41" xfId="0" applyFont="1" applyFill="1" applyBorder="1" applyAlignment="1">
      <alignment horizontal="center" vertical="center" wrapText="1" readingOrder="1"/>
    </xf>
    <xf numFmtId="0" fontId="32" fillId="22" borderId="42" xfId="0" applyFont="1" applyFill="1" applyBorder="1" applyAlignment="1">
      <alignment horizontal="center" vertical="center" wrapText="1" readingOrder="1"/>
    </xf>
    <xf numFmtId="0" fontId="32" fillId="22" borderId="43" xfId="0" applyFont="1" applyFill="1" applyBorder="1" applyAlignment="1">
      <alignment horizontal="center" vertical="center" wrapText="1" readingOrder="1"/>
    </xf>
    <xf numFmtId="0" fontId="32" fillId="22" borderId="44" xfId="0" applyFont="1" applyFill="1" applyBorder="1" applyAlignment="1">
      <alignment horizontal="center" vertical="center" wrapText="1" readingOrder="1"/>
    </xf>
    <xf numFmtId="0" fontId="7" fillId="0" borderId="0" xfId="0" applyFont="1" applyAlignment="1">
      <alignment horizontal="center" vertical="top"/>
    </xf>
    <xf numFmtId="0" fontId="14" fillId="6" borderId="38" xfId="0" applyFont="1" applyFill="1" applyBorder="1" applyAlignment="1">
      <alignment horizontal="center" vertical="center" textRotation="90" wrapText="1"/>
    </xf>
    <xf numFmtId="0" fontId="11" fillId="23" borderId="1" xfId="0" applyFont="1" applyFill="1" applyBorder="1" applyAlignment="1">
      <alignment horizontal="center" vertical="center" wrapText="1"/>
    </xf>
    <xf numFmtId="9" fontId="6" fillId="0" borderId="1" xfId="2" applyFont="1" applyBorder="1" applyAlignment="1">
      <alignment horizontal="center" vertical="center"/>
    </xf>
    <xf numFmtId="0" fontId="6" fillId="0" borderId="1" xfId="0" applyFont="1" applyBorder="1" applyAlignment="1">
      <alignment horizontal="center" vertical="center"/>
    </xf>
    <xf numFmtId="10" fontId="6" fillId="0" borderId="1" xfId="2" applyNumberFormat="1" applyFont="1" applyBorder="1" applyAlignment="1">
      <alignment horizontal="center" vertical="center"/>
    </xf>
    <xf numFmtId="0" fontId="5" fillId="24" borderId="50" xfId="5" applyFont="1" applyFill="1" applyBorder="1" applyAlignment="1">
      <alignment horizontal="center" vertical="center"/>
    </xf>
    <xf numFmtId="0" fontId="5" fillId="24" borderId="51" xfId="5" applyFont="1" applyFill="1" applyBorder="1" applyAlignment="1">
      <alignment horizontal="center" vertical="center"/>
    </xf>
    <xf numFmtId="0" fontId="36" fillId="19" borderId="39" xfId="0" applyFont="1" applyFill="1" applyBorder="1" applyAlignment="1">
      <alignment vertical="center" wrapText="1"/>
    </xf>
    <xf numFmtId="0" fontId="37" fillId="20" borderId="39" xfId="0" applyFont="1" applyFill="1" applyBorder="1" applyAlignment="1">
      <alignment vertical="center" wrapText="1"/>
    </xf>
    <xf numFmtId="0" fontId="38" fillId="19" borderId="39" xfId="0" applyFont="1" applyFill="1" applyBorder="1" applyAlignment="1">
      <alignment vertical="center" wrapText="1"/>
    </xf>
    <xf numFmtId="0" fontId="38" fillId="21" borderId="39" xfId="0" applyFont="1" applyFill="1" applyBorder="1" applyAlignment="1">
      <alignment vertical="center" wrapText="1"/>
    </xf>
    <xf numFmtId="0" fontId="35" fillId="0" borderId="0" xfId="0" applyFont="1"/>
    <xf numFmtId="0" fontId="38" fillId="19" borderId="40" xfId="0" applyFont="1" applyFill="1" applyBorder="1" applyAlignment="1">
      <alignment vertical="center" wrapText="1"/>
    </xf>
    <xf numFmtId="0" fontId="21" fillId="0" borderId="0" xfId="0" applyFont="1"/>
    <xf numFmtId="0" fontId="39" fillId="0" borderId="0" xfId="0" applyFont="1"/>
    <xf numFmtId="0" fontId="14" fillId="6" borderId="53" xfId="0" applyFont="1" applyFill="1" applyBorder="1" applyAlignment="1">
      <alignment horizontal="center" vertical="center" textRotation="90" wrapText="1"/>
    </xf>
    <xf numFmtId="0" fontId="14" fillId="6" borderId="54" xfId="0" applyFont="1" applyFill="1" applyBorder="1" applyAlignment="1">
      <alignment horizontal="center" vertical="center" textRotation="90" wrapText="1"/>
    </xf>
    <xf numFmtId="0" fontId="8" fillId="0" borderId="0" xfId="0" applyFont="1" applyAlignment="1">
      <alignment horizontal="center" vertical="top"/>
    </xf>
    <xf numFmtId="49" fontId="6" fillId="16" borderId="11" xfId="0" applyNumberFormat="1" applyFont="1" applyFill="1" applyBorder="1" applyAlignment="1">
      <alignment horizontal="left" vertical="center" wrapText="1"/>
    </xf>
    <xf numFmtId="0" fontId="6" fillId="16" borderId="11" xfId="0" applyFont="1" applyFill="1" applyBorder="1" applyAlignment="1">
      <alignment horizontal="center" vertical="center"/>
    </xf>
    <xf numFmtId="0" fontId="13" fillId="16" borderId="11" xfId="0" applyFont="1" applyFill="1" applyBorder="1" applyAlignment="1">
      <alignment horizontal="center" vertical="center" wrapText="1"/>
    </xf>
    <xf numFmtId="0" fontId="10" fillId="16" borderId="11" xfId="0" applyFont="1" applyFill="1" applyBorder="1" applyAlignment="1">
      <alignment horizontal="center" vertical="center" wrapText="1"/>
    </xf>
    <xf numFmtId="165" fontId="10" fillId="16" borderId="11" xfId="3" applyNumberFormat="1" applyFont="1" applyFill="1" applyBorder="1" applyAlignment="1">
      <alignment horizontal="center" vertical="center" wrapText="1"/>
    </xf>
    <xf numFmtId="0" fontId="6" fillId="16" borderId="12" xfId="0" applyFont="1" applyFill="1" applyBorder="1" applyAlignment="1">
      <alignment horizontal="center" vertical="center"/>
    </xf>
    <xf numFmtId="0" fontId="6" fillId="16" borderId="18" xfId="0" applyFont="1" applyFill="1" applyBorder="1" applyAlignment="1">
      <alignment horizontal="center" vertical="center"/>
    </xf>
    <xf numFmtId="1" fontId="7" fillId="16" borderId="11" xfId="0" applyNumberFormat="1" applyFont="1" applyFill="1" applyBorder="1" applyAlignment="1">
      <alignment horizontal="center" vertical="center"/>
    </xf>
    <xf numFmtId="2" fontId="7" fillId="16" borderId="11" xfId="0" applyNumberFormat="1" applyFont="1" applyFill="1" applyBorder="1" applyAlignment="1">
      <alignment horizontal="center" vertical="center"/>
    </xf>
    <xf numFmtId="0" fontId="6" fillId="16" borderId="11" xfId="0" applyFont="1" applyFill="1" applyBorder="1" applyAlignment="1">
      <alignment horizontal="center" vertical="center" wrapText="1"/>
    </xf>
    <xf numFmtId="0" fontId="6" fillId="16" borderId="23" xfId="0" applyFont="1" applyFill="1" applyBorder="1" applyAlignment="1">
      <alignment horizontal="center" vertical="center" wrapText="1"/>
    </xf>
    <xf numFmtId="49" fontId="6" fillId="16" borderId="1" xfId="0" applyNumberFormat="1" applyFont="1" applyFill="1" applyBorder="1" applyAlignment="1">
      <alignment horizontal="left" vertical="center" wrapText="1"/>
    </xf>
    <xf numFmtId="0" fontId="6" fillId="16" borderId="1" xfId="0" applyFont="1" applyFill="1" applyBorder="1" applyAlignment="1">
      <alignment horizontal="center" vertical="center"/>
    </xf>
    <xf numFmtId="0" fontId="13"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165" fontId="10" fillId="16" borderId="1" xfId="3" applyNumberFormat="1" applyFont="1" applyFill="1" applyBorder="1" applyAlignment="1">
      <alignment horizontal="center" vertical="center" wrapText="1"/>
    </xf>
    <xf numFmtId="0" fontId="6" fillId="16" borderId="14" xfId="0" applyFont="1" applyFill="1" applyBorder="1" applyAlignment="1">
      <alignment horizontal="center" vertical="center"/>
    </xf>
    <xf numFmtId="49" fontId="6" fillId="26" borderId="1" xfId="0" applyNumberFormat="1" applyFont="1" applyFill="1" applyBorder="1" applyAlignment="1">
      <alignment horizontal="left" vertical="center" wrapText="1"/>
    </xf>
    <xf numFmtId="0" fontId="6" fillId="26" borderId="1" xfId="0" applyFont="1" applyFill="1" applyBorder="1" applyAlignment="1">
      <alignment horizontal="center" vertical="center"/>
    </xf>
    <xf numFmtId="0" fontId="13" fillId="26" borderId="1" xfId="0" applyFont="1" applyFill="1" applyBorder="1" applyAlignment="1">
      <alignment horizontal="center" vertical="center" wrapText="1"/>
    </xf>
    <xf numFmtId="0" fontId="10" fillId="26" borderId="1" xfId="0" applyFont="1" applyFill="1" applyBorder="1" applyAlignment="1">
      <alignment horizontal="center" vertical="center" wrapText="1"/>
    </xf>
    <xf numFmtId="165" fontId="10" fillId="26" borderId="1" xfId="3" applyNumberFormat="1" applyFont="1" applyFill="1" applyBorder="1" applyAlignment="1">
      <alignment horizontal="center" vertical="center" wrapText="1"/>
    </xf>
    <xf numFmtId="0" fontId="6" fillId="26" borderId="14" xfId="0" applyFont="1" applyFill="1" applyBorder="1" applyAlignment="1">
      <alignment horizontal="center" vertical="center"/>
    </xf>
    <xf numFmtId="0" fontId="6" fillId="26" borderId="18" xfId="0" applyFont="1" applyFill="1" applyBorder="1" applyAlignment="1">
      <alignment horizontal="center" vertical="center"/>
    </xf>
    <xf numFmtId="0" fontId="6" fillId="26" borderId="11" xfId="0" applyFont="1" applyFill="1" applyBorder="1" applyAlignment="1">
      <alignment horizontal="center" vertical="center"/>
    </xf>
    <xf numFmtId="1" fontId="7" fillId="26" borderId="11" xfId="0" applyNumberFormat="1" applyFont="1" applyFill="1" applyBorder="1" applyAlignment="1">
      <alignment horizontal="center" vertical="center"/>
    </xf>
    <xf numFmtId="2" fontId="7" fillId="26" borderId="11" xfId="0" applyNumberFormat="1" applyFont="1" applyFill="1" applyBorder="1" applyAlignment="1">
      <alignment horizontal="center" vertical="center"/>
    </xf>
    <xf numFmtId="0" fontId="6" fillId="26" borderId="11" xfId="0" applyFont="1" applyFill="1" applyBorder="1" applyAlignment="1">
      <alignment horizontal="center" vertical="center" wrapText="1"/>
    </xf>
    <xf numFmtId="0" fontId="6" fillId="26" borderId="23" xfId="0" applyFont="1" applyFill="1" applyBorder="1" applyAlignment="1">
      <alignment horizontal="center" vertical="center" wrapText="1"/>
    </xf>
    <xf numFmtId="49" fontId="6" fillId="27" borderId="1" xfId="0" applyNumberFormat="1" applyFont="1" applyFill="1" applyBorder="1" applyAlignment="1">
      <alignment horizontal="left" vertical="center" wrapText="1"/>
    </xf>
    <xf numFmtId="0" fontId="6" fillId="27" borderId="1" xfId="0" applyFont="1" applyFill="1" applyBorder="1" applyAlignment="1">
      <alignment horizontal="center" vertical="center"/>
    </xf>
    <xf numFmtId="0" fontId="13" fillId="27" borderId="1" xfId="0" applyFont="1" applyFill="1" applyBorder="1" applyAlignment="1">
      <alignment horizontal="center" vertical="center" wrapText="1"/>
    </xf>
    <xf numFmtId="0" fontId="10" fillId="27" borderId="1" xfId="0" applyFont="1" applyFill="1" applyBorder="1" applyAlignment="1">
      <alignment horizontal="center" vertical="center" wrapText="1"/>
    </xf>
    <xf numFmtId="165" fontId="10" fillId="27" borderId="1" xfId="3" applyNumberFormat="1" applyFont="1" applyFill="1" applyBorder="1" applyAlignment="1">
      <alignment horizontal="center" vertical="center" wrapText="1"/>
    </xf>
    <xf numFmtId="0" fontId="6" fillId="27" borderId="14" xfId="0" applyFont="1" applyFill="1" applyBorder="1" applyAlignment="1">
      <alignment horizontal="center" vertical="center"/>
    </xf>
    <xf numFmtId="0" fontId="6" fillId="27" borderId="18" xfId="0" applyFont="1" applyFill="1" applyBorder="1" applyAlignment="1">
      <alignment horizontal="center" vertical="center"/>
    </xf>
    <xf numFmtId="0" fontId="6" fillId="27" borderId="11" xfId="0" applyFont="1" applyFill="1" applyBorder="1" applyAlignment="1">
      <alignment horizontal="center" vertical="center"/>
    </xf>
    <xf numFmtId="1" fontId="7" fillId="27" borderId="11" xfId="0" applyNumberFormat="1" applyFont="1" applyFill="1" applyBorder="1" applyAlignment="1">
      <alignment horizontal="center" vertical="center"/>
    </xf>
    <xf numFmtId="2" fontId="7" fillId="27" borderId="11" xfId="0" applyNumberFormat="1" applyFont="1" applyFill="1" applyBorder="1" applyAlignment="1">
      <alignment horizontal="center" vertical="center"/>
    </xf>
    <xf numFmtId="0" fontId="6" fillId="27" borderId="11" xfId="0" applyFont="1" applyFill="1" applyBorder="1" applyAlignment="1">
      <alignment horizontal="center" vertical="center" wrapText="1"/>
    </xf>
    <xf numFmtId="0" fontId="6" fillId="27" borderId="23" xfId="0" applyFont="1" applyFill="1" applyBorder="1" applyAlignment="1">
      <alignment horizontal="center" vertical="center" wrapText="1"/>
    </xf>
    <xf numFmtId="49" fontId="6" fillId="27" borderId="16" xfId="0" applyNumberFormat="1" applyFont="1" applyFill="1" applyBorder="1" applyAlignment="1">
      <alignment horizontal="left" vertical="center" wrapText="1"/>
    </xf>
    <xf numFmtId="0" fontId="6" fillId="27" borderId="16" xfId="0" applyFont="1" applyFill="1" applyBorder="1" applyAlignment="1">
      <alignment horizontal="center" vertical="center"/>
    </xf>
    <xf numFmtId="0" fontId="13" fillId="27" borderId="16" xfId="0" applyFont="1" applyFill="1" applyBorder="1" applyAlignment="1">
      <alignment horizontal="center" vertical="center" wrapText="1"/>
    </xf>
    <xf numFmtId="0" fontId="10" fillId="27" borderId="16" xfId="0" applyFont="1" applyFill="1" applyBorder="1" applyAlignment="1">
      <alignment horizontal="center" vertical="center" wrapText="1"/>
    </xf>
    <xf numFmtId="165" fontId="10" fillId="27" borderId="16" xfId="3" applyNumberFormat="1" applyFont="1" applyFill="1" applyBorder="1" applyAlignment="1">
      <alignment horizontal="center" vertical="center" wrapText="1"/>
    </xf>
    <xf numFmtId="0" fontId="6" fillId="27" borderId="17" xfId="0" applyFont="1" applyFill="1" applyBorder="1" applyAlignment="1">
      <alignment horizontal="center" vertical="center"/>
    </xf>
    <xf numFmtId="0" fontId="6" fillId="27" borderId="56" xfId="0" applyFont="1" applyFill="1" applyBorder="1" applyAlignment="1">
      <alignment horizontal="center" vertical="center"/>
    </xf>
    <xf numFmtId="0" fontId="6" fillId="27" borderId="25" xfId="0" applyFont="1" applyFill="1" applyBorder="1" applyAlignment="1">
      <alignment horizontal="center" vertical="center"/>
    </xf>
    <xf numFmtId="1" fontId="7" fillId="27" borderId="25" xfId="0" applyNumberFormat="1" applyFont="1" applyFill="1" applyBorder="1" applyAlignment="1">
      <alignment horizontal="center" vertical="center"/>
    </xf>
    <xf numFmtId="2" fontId="7" fillId="27" borderId="25" xfId="0" applyNumberFormat="1" applyFont="1" applyFill="1" applyBorder="1" applyAlignment="1">
      <alignment horizontal="center" vertical="center"/>
    </xf>
    <xf numFmtId="0" fontId="6" fillId="27" borderId="25" xfId="0" applyFont="1" applyFill="1" applyBorder="1" applyAlignment="1">
      <alignment horizontal="center" vertical="center" wrapText="1"/>
    </xf>
    <xf numFmtId="0" fontId="6" fillId="27" borderId="57" xfId="0" applyFont="1" applyFill="1" applyBorder="1" applyAlignment="1">
      <alignment horizontal="center" vertical="center" wrapText="1"/>
    </xf>
    <xf numFmtId="0" fontId="6" fillId="3" borderId="0" xfId="0" applyFont="1" applyFill="1"/>
    <xf numFmtId="0" fontId="6" fillId="3" borderId="0" xfId="0" applyFont="1" applyFill="1" applyAlignment="1">
      <alignment vertical="top"/>
    </xf>
    <xf numFmtId="0" fontId="6" fillId="3" borderId="0" xfId="0" applyFont="1" applyFill="1" applyAlignment="1">
      <alignment vertical="center" wrapText="1"/>
    </xf>
    <xf numFmtId="0" fontId="6" fillId="3" borderId="0" xfId="0" applyFont="1" applyFill="1" applyAlignment="1">
      <alignment wrapText="1"/>
    </xf>
    <xf numFmtId="0" fontId="6" fillId="3" borderId="0" xfId="0" applyFont="1" applyFill="1" applyAlignment="1">
      <alignment horizontal="center" vertical="center" wrapText="1"/>
    </xf>
    <xf numFmtId="9" fontId="9" fillId="4" borderId="23" xfId="2" applyFont="1" applyFill="1" applyBorder="1" applyAlignment="1">
      <alignment horizontal="center" vertical="center" wrapText="1"/>
    </xf>
    <xf numFmtId="9" fontId="9" fillId="4" borderId="2" xfId="2" applyFont="1" applyFill="1" applyBorder="1" applyAlignment="1">
      <alignment horizontal="center" vertical="center" wrapText="1"/>
    </xf>
    <xf numFmtId="168" fontId="9" fillId="4" borderId="2" xfId="0" applyNumberFormat="1" applyFont="1" applyFill="1" applyBorder="1" applyAlignment="1">
      <alignment horizontal="center" vertical="center" wrapText="1"/>
    </xf>
    <xf numFmtId="168" fontId="42" fillId="28" borderId="18" xfId="0" applyNumberFormat="1" applyFont="1" applyFill="1" applyBorder="1" applyAlignment="1">
      <alignment horizontal="center" vertical="center" wrapText="1"/>
    </xf>
    <xf numFmtId="0" fontId="8" fillId="0" borderId="0" xfId="0" applyFont="1" applyAlignment="1">
      <alignment horizontal="center" vertical="top" wrapText="1"/>
    </xf>
    <xf numFmtId="14" fontId="10" fillId="16" borderId="11" xfId="0" applyNumberFormat="1" applyFont="1" applyFill="1" applyBorder="1" applyAlignment="1">
      <alignment horizontal="center" vertical="center" wrapText="1"/>
    </xf>
    <xf numFmtId="14" fontId="10" fillId="16" borderId="1" xfId="0" applyNumberFormat="1" applyFont="1" applyFill="1" applyBorder="1" applyAlignment="1">
      <alignment horizontal="center" vertical="center" wrapText="1"/>
    </xf>
    <xf numFmtId="14" fontId="10" fillId="26" borderId="1" xfId="0" applyNumberFormat="1" applyFont="1" applyFill="1" applyBorder="1" applyAlignment="1">
      <alignment horizontal="center" vertical="center" wrapText="1"/>
    </xf>
    <xf numFmtId="14" fontId="10" fillId="27" borderId="1" xfId="0" applyNumberFormat="1" applyFont="1" applyFill="1" applyBorder="1" applyAlignment="1">
      <alignment horizontal="center" vertical="center" wrapText="1"/>
    </xf>
    <xf numFmtId="0" fontId="0" fillId="25" borderId="50" xfId="5" applyFont="1" applyFill="1" applyBorder="1" applyAlignment="1">
      <alignment horizontal="center"/>
    </xf>
    <xf numFmtId="0" fontId="14" fillId="0" borderId="0" xfId="0" applyFont="1"/>
    <xf numFmtId="0" fontId="43" fillId="0" borderId="0" xfId="0" applyFont="1"/>
    <xf numFmtId="165" fontId="6" fillId="0" borderId="0" xfId="0" applyNumberFormat="1" applyFont="1"/>
    <xf numFmtId="0" fontId="3" fillId="3" borderId="0" xfId="0" applyFont="1" applyFill="1" applyAlignment="1">
      <alignment horizontal="right"/>
    </xf>
    <xf numFmtId="0" fontId="5" fillId="5" borderId="0" xfId="0" applyFont="1" applyFill="1" applyAlignment="1">
      <alignment horizontal="center" vertical="center"/>
    </xf>
    <xf numFmtId="0" fontId="44" fillId="9" borderId="0" xfId="1" applyFont="1" applyFill="1" applyAlignment="1">
      <alignment vertical="center"/>
    </xf>
    <xf numFmtId="0" fontId="45" fillId="9" borderId="0" xfId="1" applyFont="1" applyFill="1" applyAlignment="1">
      <alignment vertical="center"/>
    </xf>
    <xf numFmtId="0" fontId="1" fillId="0" borderId="0" xfId="1" applyAlignment="1">
      <alignment vertical="center"/>
    </xf>
    <xf numFmtId="0" fontId="44" fillId="28" borderId="1" xfId="1" applyFont="1" applyFill="1" applyBorder="1" applyAlignment="1">
      <alignment horizontal="center" vertical="center"/>
    </xf>
    <xf numFmtId="0" fontId="46" fillId="2" borderId="1" xfId="1" applyFont="1" applyFill="1" applyBorder="1" applyAlignment="1">
      <alignment horizontal="left" vertical="center"/>
    </xf>
    <xf numFmtId="0" fontId="1" fillId="0" borderId="1" xfId="1" applyBorder="1" applyAlignment="1">
      <alignment vertical="center"/>
    </xf>
    <xf numFmtId="0" fontId="47" fillId="0" borderId="1" xfId="0" applyFont="1" applyBorder="1" applyAlignment="1">
      <alignment vertical="center"/>
    </xf>
    <xf numFmtId="0" fontId="47" fillId="0" borderId="0" xfId="0" applyFont="1" applyAlignment="1">
      <alignment vertical="center"/>
    </xf>
    <xf numFmtId="0" fontId="47" fillId="0" borderId="1" xfId="0" applyFont="1" applyBorder="1" applyAlignment="1">
      <alignment horizontal="left" vertical="center"/>
    </xf>
    <xf numFmtId="0" fontId="47" fillId="0" borderId="0" xfId="0" applyFont="1" applyAlignment="1">
      <alignment horizontal="left" vertical="center"/>
    </xf>
    <xf numFmtId="0" fontId="44" fillId="28" borderId="1" xfId="1" applyFont="1" applyFill="1" applyBorder="1" applyAlignment="1">
      <alignment vertical="center"/>
    </xf>
    <xf numFmtId="9" fontId="44" fillId="28" borderId="1" xfId="1" applyNumberFormat="1" applyFont="1" applyFill="1" applyBorder="1" applyAlignment="1">
      <alignment horizontal="center" vertical="center" wrapText="1"/>
    </xf>
    <xf numFmtId="0" fontId="1" fillId="0" borderId="13" xfId="1" applyBorder="1" applyAlignment="1">
      <alignment horizontal="right" vertical="center" wrapText="1"/>
    </xf>
    <xf numFmtId="0" fontId="46" fillId="0" borderId="36" xfId="1" applyFont="1" applyBorder="1" applyAlignment="1">
      <alignment horizontal="center" vertical="center" wrapText="1"/>
    </xf>
    <xf numFmtId="0" fontId="1" fillId="0" borderId="1" xfId="1" applyBorder="1" applyAlignment="1">
      <alignment horizontal="center" vertical="center" wrapText="1"/>
    </xf>
    <xf numFmtId="0" fontId="1" fillId="0" borderId="14" xfId="1" applyBorder="1" applyAlignment="1">
      <alignment vertical="center" wrapText="1"/>
    </xf>
    <xf numFmtId="0" fontId="1" fillId="0" borderId="48" xfId="1" applyBorder="1" applyAlignment="1">
      <alignment horizontal="right" vertical="center" wrapText="1"/>
    </xf>
    <xf numFmtId="0" fontId="46" fillId="0" borderId="62" xfId="1" applyFont="1" applyBorder="1" applyAlignment="1">
      <alignment horizontal="center" vertical="center" wrapText="1"/>
    </xf>
    <xf numFmtId="0" fontId="1" fillId="0" borderId="38" xfId="1" applyBorder="1" applyAlignment="1">
      <alignment horizontal="center" vertical="center" wrapText="1"/>
    </xf>
    <xf numFmtId="0" fontId="1" fillId="0" borderId="49" xfId="1" applyBorder="1" applyAlignment="1">
      <alignment vertical="center" wrapText="1"/>
    </xf>
    <xf numFmtId="0" fontId="46" fillId="0" borderId="15" xfId="1" applyFont="1" applyBorder="1" applyAlignment="1">
      <alignment horizontal="right" vertical="center" wrapText="1"/>
    </xf>
    <xf numFmtId="0" fontId="46" fillId="0" borderId="16" xfId="1" applyFont="1" applyBorder="1" applyAlignment="1">
      <alignment horizontal="center" vertical="center" wrapText="1"/>
    </xf>
    <xf numFmtId="0" fontId="1" fillId="0" borderId="17" xfId="1" applyBorder="1" applyAlignment="1">
      <alignment vertical="center" wrapText="1"/>
    </xf>
    <xf numFmtId="0" fontId="1" fillId="0" borderId="10" xfId="1" applyBorder="1" applyAlignment="1">
      <alignment horizontal="right" vertical="center" wrapText="1"/>
    </xf>
    <xf numFmtId="0" fontId="46" fillId="0" borderId="18" xfId="1" applyFont="1" applyBorder="1" applyAlignment="1">
      <alignment horizontal="center" vertical="center" wrapText="1"/>
    </xf>
    <xf numFmtId="0" fontId="1" fillId="0" borderId="11" xfId="1" applyBorder="1" applyAlignment="1">
      <alignment horizontal="center" vertical="center" wrapText="1"/>
    </xf>
    <xf numFmtId="0" fontId="1" fillId="0" borderId="12" xfId="1" applyBorder="1" applyAlignment="1">
      <alignment vertical="center" wrapText="1"/>
    </xf>
    <xf numFmtId="0" fontId="1" fillId="0" borderId="63" xfId="1" applyBorder="1" applyAlignment="1">
      <alignment horizontal="right" vertical="center" wrapText="1"/>
    </xf>
    <xf numFmtId="0" fontId="46" fillId="0" borderId="64" xfId="1" applyFont="1" applyBorder="1" applyAlignment="1">
      <alignment horizontal="center" vertical="center" wrapText="1"/>
    </xf>
    <xf numFmtId="0" fontId="1" fillId="0" borderId="37" xfId="1" applyBorder="1" applyAlignment="1">
      <alignment horizontal="center" vertical="center" wrapText="1"/>
    </xf>
    <xf numFmtId="0" fontId="1" fillId="0" borderId="65" xfId="1" applyBorder="1" applyAlignment="1">
      <alignment vertical="center" wrapText="1"/>
    </xf>
    <xf numFmtId="0" fontId="1" fillId="0" borderId="66" xfId="1" applyBorder="1" applyAlignment="1">
      <alignment horizontal="center" vertical="center" wrapText="1"/>
    </xf>
    <xf numFmtId="0" fontId="1" fillId="0" borderId="12" xfId="1" applyBorder="1" applyAlignment="1">
      <alignment horizontal="left" vertical="center" wrapText="1"/>
    </xf>
    <xf numFmtId="0" fontId="1" fillId="0" borderId="14" xfId="1" applyBorder="1" applyAlignment="1">
      <alignment horizontal="left" vertical="center" wrapText="1"/>
    </xf>
    <xf numFmtId="0" fontId="1" fillId="0" borderId="65" xfId="1" applyBorder="1" applyAlignment="1">
      <alignment horizontal="left" vertical="center" wrapText="1"/>
    </xf>
    <xf numFmtId="0" fontId="46" fillId="0" borderId="67" xfId="1" applyFont="1" applyBorder="1" applyAlignment="1">
      <alignment horizontal="right" vertical="center" wrapText="1"/>
    </xf>
    <xf numFmtId="0" fontId="46" fillId="0" borderId="58" xfId="1" applyFont="1" applyBorder="1" applyAlignment="1">
      <alignment horizontal="center" vertical="center" wrapText="1"/>
    </xf>
    <xf numFmtId="0" fontId="1" fillId="0" borderId="28" xfId="1" applyBorder="1" applyAlignment="1">
      <alignment vertical="center" wrapText="1"/>
    </xf>
    <xf numFmtId="0" fontId="44" fillId="9" borderId="67" xfId="1" applyFont="1" applyFill="1" applyBorder="1" applyAlignment="1">
      <alignment horizontal="right" vertical="center" wrapText="1"/>
    </xf>
    <xf numFmtId="0" fontId="46" fillId="0" borderId="0" xfId="1" applyFont="1" applyAlignment="1">
      <alignment horizontal="right" vertical="center"/>
    </xf>
    <xf numFmtId="0" fontId="48" fillId="0" borderId="0" xfId="1" applyFont="1" applyAlignment="1">
      <alignment vertical="center"/>
    </xf>
    <xf numFmtId="0" fontId="44" fillId="9" borderId="3" xfId="1" applyFont="1" applyFill="1" applyBorder="1" applyAlignment="1">
      <alignment horizontal="center" vertical="center" wrapText="1"/>
    </xf>
    <xf numFmtId="0" fontId="44" fillId="9" borderId="5" xfId="1" applyFont="1" applyFill="1" applyBorder="1" applyAlignment="1">
      <alignment horizontal="center" vertical="center" wrapText="1"/>
    </xf>
    <xf numFmtId="0" fontId="44" fillId="9" borderId="4" xfId="1" applyFont="1" applyFill="1" applyBorder="1" applyAlignment="1">
      <alignment horizontal="center" vertical="center" wrapText="1"/>
    </xf>
    <xf numFmtId="0" fontId="2" fillId="3" borderId="0" xfId="0" applyFont="1" applyFill="1" applyAlignment="1">
      <alignment horizontal="left"/>
    </xf>
    <xf numFmtId="0" fontId="0" fillId="3" borderId="0" xfId="0" applyFill="1" applyAlignment="1">
      <alignment horizontal="left" vertical="center" wrapText="1"/>
    </xf>
    <xf numFmtId="0" fontId="0" fillId="3" borderId="0" xfId="0" applyFill="1" applyAlignment="1">
      <alignment horizontal="left" vertical="center"/>
    </xf>
    <xf numFmtId="0" fontId="44" fillId="9" borderId="59" xfId="1" applyFont="1" applyFill="1" applyBorder="1" applyAlignment="1">
      <alignment horizontal="center" vertical="center"/>
    </xf>
    <xf numFmtId="0" fontId="44" fillId="9" borderId="60" xfId="1" applyFont="1" applyFill="1" applyBorder="1" applyAlignment="1">
      <alignment horizontal="center" vertical="center"/>
    </xf>
    <xf numFmtId="0" fontId="44" fillId="9" borderId="61" xfId="1" applyFont="1" applyFill="1" applyBorder="1" applyAlignment="1">
      <alignment horizontal="center" vertical="center"/>
    </xf>
    <xf numFmtId="0" fontId="7" fillId="27" borderId="1" xfId="0" applyFont="1" applyFill="1" applyBorder="1" applyAlignment="1">
      <alignment horizontal="center" vertical="center"/>
    </xf>
    <xf numFmtId="0" fontId="7" fillId="27" borderId="16" xfId="0" applyFont="1" applyFill="1" applyBorder="1" applyAlignment="1">
      <alignment horizontal="center" vertical="center"/>
    </xf>
    <xf numFmtId="0" fontId="6" fillId="27" borderId="1" xfId="0" applyFont="1" applyFill="1" applyBorder="1" applyAlignment="1">
      <alignment horizontal="center" vertical="center"/>
    </xf>
    <xf numFmtId="0" fontId="6" fillId="27" borderId="16" xfId="0" applyFont="1" applyFill="1" applyBorder="1" applyAlignment="1">
      <alignment horizontal="center" vertical="center"/>
    </xf>
    <xf numFmtId="9" fontId="6" fillId="27" borderId="1" xfId="0" applyNumberFormat="1" applyFont="1" applyFill="1" applyBorder="1" applyAlignment="1">
      <alignment horizontal="center" vertical="center" wrapText="1"/>
    </xf>
    <xf numFmtId="9" fontId="6" fillId="27" borderId="16" xfId="0" applyNumberFormat="1" applyFont="1" applyFill="1" applyBorder="1" applyAlignment="1">
      <alignment horizontal="center" vertical="center" wrapText="1"/>
    </xf>
    <xf numFmtId="1" fontId="6" fillId="27" borderId="1" xfId="2" applyNumberFormat="1" applyFont="1" applyFill="1" applyBorder="1" applyAlignment="1">
      <alignment horizontal="center" vertical="center"/>
    </xf>
    <xf numFmtId="1" fontId="6" fillId="27" borderId="16" xfId="2" applyNumberFormat="1" applyFont="1" applyFill="1" applyBorder="1" applyAlignment="1">
      <alignment horizontal="center" vertical="center"/>
    </xf>
    <xf numFmtId="0" fontId="7" fillId="16" borderId="11" xfId="0" applyFont="1" applyFill="1" applyBorder="1" applyAlignment="1">
      <alignment horizontal="center" vertical="center"/>
    </xf>
    <xf numFmtId="0" fontId="7" fillId="16" borderId="1" xfId="0" applyFont="1" applyFill="1" applyBorder="1" applyAlignment="1">
      <alignment horizontal="center" vertical="center"/>
    </xf>
    <xf numFmtId="0" fontId="6" fillId="16" borderId="11" xfId="0" applyFont="1" applyFill="1" applyBorder="1" applyAlignment="1">
      <alignment horizontal="center" vertical="center"/>
    </xf>
    <xf numFmtId="0" fontId="6" fillId="16" borderId="1" xfId="0" applyFont="1" applyFill="1" applyBorder="1" applyAlignment="1">
      <alignment horizontal="center" vertical="center"/>
    </xf>
    <xf numFmtId="0" fontId="7" fillId="26" borderId="13" xfId="0" applyFont="1" applyFill="1" applyBorder="1" applyAlignment="1">
      <alignment horizontal="center" vertical="center"/>
    </xf>
    <xf numFmtId="0" fontId="6" fillId="26" borderId="1" xfId="0" applyFont="1" applyFill="1" applyBorder="1" applyAlignment="1">
      <alignment horizontal="left" vertical="center" wrapText="1"/>
    </xf>
    <xf numFmtId="49" fontId="6" fillId="26" borderId="1" xfId="0" applyNumberFormat="1" applyFont="1" applyFill="1" applyBorder="1" applyAlignment="1">
      <alignment horizontal="left" vertical="center" wrapText="1"/>
    </xf>
    <xf numFmtId="9" fontId="6" fillId="26" borderId="1" xfId="0" applyNumberFormat="1" applyFont="1" applyFill="1" applyBorder="1" applyAlignment="1">
      <alignment horizontal="center" vertical="center" wrapText="1"/>
    </xf>
    <xf numFmtId="1" fontId="6" fillId="26" borderId="1" xfId="2" applyNumberFormat="1" applyFont="1" applyFill="1" applyBorder="1" applyAlignment="1">
      <alignment horizontal="center" vertical="center"/>
    </xf>
    <xf numFmtId="0" fontId="7" fillId="26" borderId="1" xfId="0" applyFont="1" applyFill="1" applyBorder="1" applyAlignment="1">
      <alignment horizontal="center" vertical="center"/>
    </xf>
    <xf numFmtId="0" fontId="6" fillId="26" borderId="1" xfId="0" applyFont="1" applyFill="1" applyBorder="1" applyAlignment="1">
      <alignment horizontal="center" vertical="center"/>
    </xf>
    <xf numFmtId="9" fontId="6" fillId="16" borderId="11" xfId="0" applyNumberFormat="1" applyFont="1" applyFill="1" applyBorder="1" applyAlignment="1">
      <alignment horizontal="center" vertical="center" wrapText="1"/>
    </xf>
    <xf numFmtId="9" fontId="6" fillId="16" borderId="1" xfId="0" applyNumberFormat="1" applyFont="1" applyFill="1" applyBorder="1" applyAlignment="1">
      <alignment horizontal="center" vertical="center" wrapText="1"/>
    </xf>
    <xf numFmtId="1" fontId="6" fillId="16" borderId="11" xfId="2" applyNumberFormat="1" applyFont="1" applyFill="1" applyBorder="1" applyAlignment="1">
      <alignment horizontal="center" vertical="center"/>
    </xf>
    <xf numFmtId="1" fontId="6" fillId="16" borderId="1" xfId="2" applyNumberFormat="1" applyFont="1" applyFill="1" applyBorder="1" applyAlignment="1">
      <alignment horizontal="center" vertical="center"/>
    </xf>
    <xf numFmtId="0" fontId="7" fillId="16" borderId="10" xfId="0" applyFont="1" applyFill="1" applyBorder="1" applyAlignment="1">
      <alignment horizontal="center" vertical="center"/>
    </xf>
    <xf numFmtId="0" fontId="7" fillId="16" borderId="13" xfId="0" applyFont="1" applyFill="1" applyBorder="1" applyAlignment="1">
      <alignment horizontal="center" vertical="center"/>
    </xf>
    <xf numFmtId="0" fontId="6" fillId="7" borderId="11"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6" fillId="7" borderId="16" xfId="0" applyFont="1" applyFill="1" applyBorder="1" applyAlignment="1" applyProtection="1">
      <alignment horizontal="center" vertical="center" wrapText="1"/>
      <protection locked="0"/>
    </xf>
    <xf numFmtId="0" fontId="6" fillId="16" borderId="11" xfId="0" applyFont="1" applyFill="1" applyBorder="1" applyAlignment="1">
      <alignment horizontal="left" vertical="center" wrapText="1"/>
    </xf>
    <xf numFmtId="0" fontId="6" fillId="16" borderId="1" xfId="0" applyFont="1" applyFill="1" applyBorder="1" applyAlignment="1">
      <alignment horizontal="left" vertical="center" wrapText="1"/>
    </xf>
    <xf numFmtId="49" fontId="6" fillId="16" borderId="11" xfId="0" applyNumberFormat="1" applyFont="1" applyFill="1" applyBorder="1" applyAlignment="1">
      <alignment horizontal="left" vertical="center" wrapText="1"/>
    </xf>
    <xf numFmtId="49" fontId="6" fillId="16" borderId="1" xfId="0" applyNumberFormat="1" applyFont="1" applyFill="1" applyBorder="1" applyAlignment="1">
      <alignment horizontal="left" vertical="center" wrapText="1"/>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6" xfId="0" applyFont="1" applyFill="1" applyBorder="1" applyAlignment="1">
      <alignment horizontal="center" vertical="center"/>
    </xf>
    <xf numFmtId="0" fontId="7" fillId="27" borderId="13" xfId="0" applyFont="1" applyFill="1" applyBorder="1" applyAlignment="1">
      <alignment horizontal="center" vertical="center"/>
    </xf>
    <xf numFmtId="0" fontId="7" fillId="27" borderId="15" xfId="0" applyFont="1" applyFill="1" applyBorder="1" applyAlignment="1">
      <alignment horizontal="center" vertical="center"/>
    </xf>
    <xf numFmtId="0" fontId="6" fillId="27" borderId="1" xfId="0" applyFont="1" applyFill="1" applyBorder="1" applyAlignment="1">
      <alignment horizontal="left" vertical="center" wrapText="1"/>
    </xf>
    <xf numFmtId="0" fontId="6" fillId="27" borderId="16" xfId="0" applyFont="1" applyFill="1" applyBorder="1" applyAlignment="1">
      <alignment horizontal="left" vertical="center" wrapText="1"/>
    </xf>
    <xf numFmtId="49" fontId="6" fillId="27" borderId="1" xfId="0" applyNumberFormat="1" applyFont="1" applyFill="1" applyBorder="1" applyAlignment="1">
      <alignment horizontal="left" vertical="center" wrapText="1"/>
    </xf>
    <xf numFmtId="49" fontId="6" fillId="27" borderId="16" xfId="0" applyNumberFormat="1" applyFont="1" applyFill="1" applyBorder="1" applyAlignment="1">
      <alignment horizontal="left" vertical="center" wrapText="1"/>
    </xf>
    <xf numFmtId="0" fontId="9" fillId="4" borderId="24" xfId="0" applyFont="1" applyFill="1" applyBorder="1" applyAlignment="1">
      <alignment horizontal="center" vertical="center" wrapText="1"/>
    </xf>
    <xf numFmtId="0" fontId="9" fillId="4" borderId="26" xfId="0" applyFont="1" applyFill="1" applyBorder="1" applyAlignment="1">
      <alignment horizontal="center" vertical="center" wrapText="1"/>
    </xf>
    <xf numFmtId="9" fontId="9" fillId="4" borderId="3" xfId="2" applyFont="1" applyFill="1" applyBorder="1" applyAlignment="1">
      <alignment horizontal="center" vertical="center" wrapText="1"/>
    </xf>
    <xf numFmtId="9" fontId="9" fillId="4" borderId="5" xfId="2" applyFont="1" applyFill="1" applyBorder="1" applyAlignment="1">
      <alignment horizontal="center" vertical="center" wrapText="1"/>
    </xf>
    <xf numFmtId="9" fontId="9" fillId="4" borderId="4" xfId="2" applyFont="1" applyFill="1" applyBorder="1" applyAlignment="1">
      <alignment horizontal="center" vertical="center" wrapText="1"/>
    </xf>
    <xf numFmtId="0" fontId="12" fillId="16" borderId="11" xfId="0" applyFont="1" applyFill="1" applyBorder="1" applyAlignment="1">
      <alignment horizontal="center" vertical="center"/>
    </xf>
    <xf numFmtId="0" fontId="12" fillId="16" borderId="1" xfId="0" applyFont="1" applyFill="1" applyBorder="1" applyAlignment="1">
      <alignment horizontal="center" vertical="center"/>
    </xf>
    <xf numFmtId="0" fontId="33" fillId="4" borderId="13"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4" borderId="6" xfId="0" applyFont="1" applyFill="1" applyBorder="1" applyAlignment="1">
      <alignment horizontal="left" vertical="center" wrapText="1"/>
    </xf>
    <xf numFmtId="0" fontId="34" fillId="4" borderId="22" xfId="0" applyFont="1" applyFill="1" applyBorder="1" applyAlignment="1">
      <alignment horizontal="center" vertical="center" wrapText="1"/>
    </xf>
    <xf numFmtId="0" fontId="34" fillId="4" borderId="31" xfId="0" applyFont="1" applyFill="1" applyBorder="1" applyAlignment="1">
      <alignment horizontal="center" vertical="center" wrapText="1"/>
    </xf>
    <xf numFmtId="0" fontId="33" fillId="4" borderId="22" xfId="0" applyFont="1" applyFill="1" applyBorder="1" applyAlignment="1">
      <alignment horizontal="center" vertical="center" wrapText="1"/>
    </xf>
    <xf numFmtId="0" fontId="33" fillId="4" borderId="7" xfId="0" applyFont="1" applyFill="1" applyBorder="1" applyAlignment="1">
      <alignment horizontal="center" vertical="center" wrapText="1"/>
    </xf>
    <xf numFmtId="14" fontId="34" fillId="4" borderId="13" xfId="0" applyNumberFormat="1" applyFont="1" applyFill="1" applyBorder="1" applyAlignment="1">
      <alignment horizontal="center" vertical="center" wrapText="1"/>
    </xf>
    <xf numFmtId="0" fontId="34" fillId="4" borderId="1" xfId="0" applyFont="1" applyFill="1" applyBorder="1" applyAlignment="1">
      <alignment horizontal="center" vertical="center" wrapText="1"/>
    </xf>
    <xf numFmtId="0" fontId="34" fillId="4" borderId="14"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1" fillId="13"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12" fillId="6" borderId="11" xfId="0" applyFont="1" applyFill="1" applyBorder="1" applyAlignment="1">
      <alignment horizontal="center" vertical="center" textRotation="90" wrapText="1"/>
    </xf>
    <xf numFmtId="0" fontId="12" fillId="6" borderId="38" xfId="0" applyFont="1" applyFill="1" applyBorder="1" applyAlignment="1">
      <alignment horizontal="center" vertical="center" textRotation="90" wrapText="1"/>
    </xf>
    <xf numFmtId="0" fontId="14" fillId="6" borderId="11" xfId="0" applyFont="1" applyFill="1" applyBorder="1" applyAlignment="1">
      <alignment horizontal="center" vertical="center" textRotation="90" wrapText="1"/>
    </xf>
    <xf numFmtId="0" fontId="14" fillId="6" borderId="38" xfId="0" applyFont="1" applyFill="1" applyBorder="1" applyAlignment="1">
      <alignment horizontal="center" vertical="center" textRotation="90" wrapText="1"/>
    </xf>
    <xf numFmtId="0" fontId="12" fillId="6" borderId="10" xfId="0" applyFont="1" applyFill="1" applyBorder="1" applyAlignment="1">
      <alignment horizontal="center" vertical="center"/>
    </xf>
    <xf numFmtId="0" fontId="12" fillId="6" borderId="48" xfId="0" applyFont="1" applyFill="1" applyBorder="1" applyAlignment="1">
      <alignment horizontal="center" vertical="center"/>
    </xf>
    <xf numFmtId="0" fontId="12" fillId="6" borderId="11" xfId="0" applyFont="1" applyFill="1" applyBorder="1" applyAlignment="1">
      <alignment horizontal="center" vertical="center" wrapText="1"/>
    </xf>
    <xf numFmtId="0" fontId="12" fillId="6" borderId="38" xfId="0" applyFont="1" applyFill="1" applyBorder="1" applyAlignment="1">
      <alignment horizontal="center" vertical="center" wrapText="1"/>
    </xf>
    <xf numFmtId="0" fontId="9" fillId="4" borderId="13" xfId="0" applyFont="1" applyFill="1" applyBorder="1" applyAlignment="1">
      <alignment horizontal="left" vertical="center" wrapText="1"/>
    </xf>
    <xf numFmtId="0" fontId="9" fillId="4" borderId="1" xfId="0" applyFont="1" applyFill="1" applyBorder="1" applyAlignment="1">
      <alignment horizontal="left" vertical="center" wrapText="1"/>
    </xf>
    <xf numFmtId="42" fontId="9" fillId="4" borderId="1" xfId="4" applyFont="1" applyFill="1" applyBorder="1" applyAlignment="1">
      <alignment horizontal="left" vertical="center" wrapText="1"/>
    </xf>
    <xf numFmtId="42" fontId="9" fillId="4" borderId="14" xfId="4" applyFont="1" applyFill="1" applyBorder="1" applyAlignment="1">
      <alignment horizontal="left" vertical="center" wrapText="1"/>
    </xf>
    <xf numFmtId="0" fontId="8" fillId="0" borderId="0" xfId="0" applyFont="1" applyAlignment="1">
      <alignment horizontal="left" vertical="top"/>
    </xf>
    <xf numFmtId="0" fontId="33" fillId="4" borderId="10" xfId="0" applyFont="1" applyFill="1" applyBorder="1" applyAlignment="1">
      <alignment horizontal="left" vertical="center" wrapText="1"/>
    </xf>
    <xf numFmtId="0" fontId="33" fillId="4" borderId="11" xfId="0" applyFont="1" applyFill="1" applyBorder="1" applyAlignment="1">
      <alignment horizontal="left" vertical="center" wrapText="1"/>
    </xf>
    <xf numFmtId="0" fontId="33" fillId="4" borderId="23" xfId="0" applyFont="1" applyFill="1" applyBorder="1" applyAlignment="1">
      <alignment horizontal="left" vertical="center" wrapText="1"/>
    </xf>
    <xf numFmtId="0" fontId="41" fillId="28" borderId="20" xfId="0" applyFont="1" applyFill="1" applyBorder="1" applyAlignment="1">
      <alignment horizontal="center" vertical="top"/>
    </xf>
    <xf numFmtId="0" fontId="41" fillId="28" borderId="18" xfId="0" applyFont="1" applyFill="1" applyBorder="1" applyAlignment="1">
      <alignment horizontal="center" vertical="top"/>
    </xf>
    <xf numFmtId="0" fontId="33" fillId="4" borderId="23" xfId="0" applyFont="1" applyFill="1" applyBorder="1" applyAlignment="1">
      <alignment horizontal="center" vertical="center" wrapText="1"/>
    </xf>
    <xf numFmtId="0" fontId="33" fillId="4" borderId="21"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11" xfId="0" applyFont="1" applyFill="1" applyBorder="1" applyAlignment="1">
      <alignment horizontal="center" vertical="center"/>
    </xf>
    <xf numFmtId="0" fontId="34" fillId="4" borderId="12" xfId="0" applyFont="1" applyFill="1" applyBorder="1" applyAlignment="1">
      <alignment horizontal="center" vertical="center"/>
    </xf>
    <xf numFmtId="0" fontId="9" fillId="4" borderId="10" xfId="0" applyFont="1" applyFill="1" applyBorder="1" applyAlignment="1">
      <alignment horizontal="left" vertical="center" wrapText="1"/>
    </xf>
    <xf numFmtId="0" fontId="9" fillId="4" borderId="23" xfId="0" applyFont="1" applyFill="1" applyBorder="1" applyAlignment="1">
      <alignment horizontal="left" vertical="center" wrapText="1"/>
    </xf>
    <xf numFmtId="0" fontId="9" fillId="4" borderId="11" xfId="0" applyFont="1" applyFill="1" applyBorder="1" applyAlignment="1">
      <alignment horizontal="left" vertical="center" wrapText="1"/>
    </xf>
    <xf numFmtId="42" fontId="9" fillId="4" borderId="11" xfId="4" applyFont="1" applyFill="1" applyBorder="1" applyAlignment="1">
      <alignment horizontal="left" vertical="center" wrapText="1"/>
    </xf>
    <xf numFmtId="42" fontId="9" fillId="4" borderId="12" xfId="4" applyFont="1" applyFill="1" applyBorder="1" applyAlignment="1">
      <alignment horizontal="left" vertical="center" wrapText="1"/>
    </xf>
    <xf numFmtId="0" fontId="11" fillId="11" borderId="9" xfId="0" applyFont="1" applyFill="1" applyBorder="1" applyAlignment="1">
      <alignment horizontal="center" vertical="center" wrapText="1"/>
    </xf>
    <xf numFmtId="0" fontId="11" fillId="11" borderId="19" xfId="0" applyFont="1" applyFill="1" applyBorder="1" applyAlignment="1">
      <alignment horizontal="center" vertical="center" wrapText="1"/>
    </xf>
    <xf numFmtId="0" fontId="11" fillId="11" borderId="8"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2" fillId="5" borderId="35" xfId="0" applyFont="1" applyFill="1" applyBorder="1" applyAlignment="1">
      <alignment horizontal="center" vertical="center" wrapText="1"/>
    </xf>
    <xf numFmtId="0" fontId="12" fillId="5" borderId="33" xfId="0" applyFont="1" applyFill="1" applyBorder="1" applyAlignment="1">
      <alignment horizontal="center" vertical="center" wrapText="1"/>
    </xf>
    <xf numFmtId="0" fontId="12" fillId="5" borderId="34" xfId="0" applyFont="1" applyFill="1" applyBorder="1" applyAlignment="1">
      <alignment horizontal="center" vertical="center" wrapText="1"/>
    </xf>
    <xf numFmtId="0" fontId="34" fillId="4" borderId="29" xfId="0" applyFont="1" applyFill="1" applyBorder="1" applyAlignment="1">
      <alignment horizontal="center" vertical="center" wrapText="1"/>
    </xf>
    <xf numFmtId="0" fontId="34" fillId="4" borderId="30" xfId="0" applyFont="1" applyFill="1" applyBorder="1" applyAlignment="1">
      <alignment horizontal="center" vertical="center" wrapText="1"/>
    </xf>
    <xf numFmtId="0" fontId="33" fillId="4" borderId="29" xfId="0" applyFont="1" applyFill="1" applyBorder="1" applyAlignment="1">
      <alignment horizontal="center" vertical="center" wrapText="1"/>
    </xf>
    <xf numFmtId="0" fontId="33" fillId="4" borderId="27" xfId="0" applyFont="1" applyFill="1" applyBorder="1" applyAlignment="1">
      <alignment horizontal="center" vertical="center" wrapText="1"/>
    </xf>
    <xf numFmtId="0" fontId="34" fillId="4" borderId="15" xfId="0" applyFont="1" applyFill="1" applyBorder="1" applyAlignment="1">
      <alignment horizontal="center" vertical="center" wrapText="1"/>
    </xf>
    <xf numFmtId="0" fontId="34" fillId="4" borderId="16" xfId="0" applyFont="1" applyFill="1" applyBorder="1" applyAlignment="1">
      <alignment horizontal="center" vertical="center" wrapText="1"/>
    </xf>
    <xf numFmtId="0" fontId="34" fillId="4" borderId="17" xfId="0" applyFont="1" applyFill="1" applyBorder="1" applyAlignment="1">
      <alignment horizontal="center" vertical="center" wrapText="1"/>
    </xf>
    <xf numFmtId="0" fontId="9" fillId="4" borderId="15" xfId="0" applyFont="1" applyFill="1" applyBorder="1" applyAlignment="1">
      <alignment horizontal="left" vertical="center" wrapText="1"/>
    </xf>
    <xf numFmtId="0" fontId="9" fillId="4" borderId="16" xfId="0" applyFont="1" applyFill="1" applyBorder="1" applyAlignment="1">
      <alignment horizontal="left" vertical="center" wrapText="1"/>
    </xf>
    <xf numFmtId="42" fontId="9" fillId="4" borderId="16" xfId="4" applyFont="1" applyFill="1" applyBorder="1" applyAlignment="1">
      <alignment horizontal="left" vertical="center" wrapText="1"/>
    </xf>
    <xf numFmtId="42" fontId="9" fillId="4" borderId="17" xfId="4" applyFont="1" applyFill="1" applyBorder="1" applyAlignment="1">
      <alignment horizontal="left" vertical="center" wrapText="1"/>
    </xf>
    <xf numFmtId="0" fontId="12" fillId="6" borderId="11" xfId="0" applyFont="1" applyFill="1" applyBorder="1" applyAlignment="1">
      <alignment horizontal="center" vertical="center"/>
    </xf>
    <xf numFmtId="0" fontId="12" fillId="6" borderId="38" xfId="0" applyFont="1" applyFill="1" applyBorder="1" applyAlignment="1">
      <alignment horizontal="center" vertical="center"/>
    </xf>
    <xf numFmtId="0" fontId="14" fillId="6" borderId="11" xfId="0" applyFont="1" applyFill="1" applyBorder="1" applyAlignment="1">
      <alignment horizontal="center" vertical="center" wrapText="1"/>
    </xf>
    <xf numFmtId="0" fontId="14" fillId="6" borderId="38" xfId="0" applyFont="1" applyFill="1" applyBorder="1" applyAlignment="1">
      <alignment horizontal="center" vertical="center" wrapText="1"/>
    </xf>
    <xf numFmtId="0" fontId="14" fillId="6" borderId="32" xfId="0" applyFont="1" applyFill="1" applyBorder="1" applyAlignment="1">
      <alignment horizontal="center" vertical="center" textRotation="90" wrapText="1"/>
    </xf>
    <xf numFmtId="0" fontId="14" fillId="6" borderId="55" xfId="0" applyFont="1" applyFill="1" applyBorder="1" applyAlignment="1">
      <alignment horizontal="center" vertical="center" textRotation="90" wrapText="1"/>
    </xf>
    <xf numFmtId="0" fontId="14" fillId="6" borderId="12" xfId="0" applyFont="1" applyFill="1" applyBorder="1" applyAlignment="1">
      <alignment horizontal="center" vertical="center" textRotation="90" wrapText="1"/>
    </xf>
    <xf numFmtId="0" fontId="14" fillId="6" borderId="49" xfId="0" applyFont="1" applyFill="1" applyBorder="1" applyAlignment="1">
      <alignment horizontal="center" vertical="center" textRotation="90" wrapText="1"/>
    </xf>
    <xf numFmtId="0" fontId="14" fillId="6" borderId="47" xfId="0" applyFont="1" applyFill="1" applyBorder="1" applyAlignment="1">
      <alignment horizontal="center" vertical="center" wrapText="1"/>
    </xf>
    <xf numFmtId="0" fontId="14" fillId="6" borderId="32" xfId="0" applyFont="1" applyFill="1" applyBorder="1" applyAlignment="1">
      <alignment horizontal="center" vertical="center" wrapText="1"/>
    </xf>
    <xf numFmtId="0" fontId="4" fillId="16" borderId="0" xfId="0" applyFont="1" applyFill="1" applyAlignment="1">
      <alignment horizontal="center" vertical="center" wrapText="1"/>
    </xf>
    <xf numFmtId="0" fontId="3" fillId="17" borderId="0" xfId="0" applyFont="1" applyFill="1" applyAlignment="1">
      <alignment horizontal="center" vertical="center" wrapText="1"/>
    </xf>
    <xf numFmtId="0" fontId="5" fillId="10" borderId="0" xfId="0" applyFont="1" applyFill="1" applyAlignment="1">
      <alignment horizontal="center" vertical="center" wrapText="1"/>
    </xf>
    <xf numFmtId="0" fontId="5" fillId="18" borderId="0" xfId="0" applyFont="1" applyFill="1" applyAlignment="1">
      <alignment horizontal="center" vertical="center" wrapText="1"/>
    </xf>
    <xf numFmtId="0" fontId="21" fillId="14" borderId="0" xfId="0" applyFont="1" applyFill="1" applyAlignment="1">
      <alignment horizontal="center" vertical="center" wrapText="1"/>
    </xf>
    <xf numFmtId="0" fontId="0" fillId="0" borderId="0" xfId="0" applyAlignment="1">
      <alignment horizontal="center" vertical="center" wrapText="1"/>
    </xf>
    <xf numFmtId="0" fontId="25" fillId="0" borderId="0" xfId="0" applyFont="1" applyAlignment="1">
      <alignment horizontal="center"/>
    </xf>
    <xf numFmtId="0" fontId="26" fillId="22" borderId="0" xfId="0" applyFont="1" applyFill="1" applyAlignment="1">
      <alignment horizontal="center" vertical="center" wrapText="1" readingOrder="1"/>
    </xf>
    <xf numFmtId="0" fontId="32" fillId="22" borderId="42" xfId="0" applyFont="1" applyFill="1" applyBorder="1" applyAlignment="1">
      <alignment horizontal="center" vertical="center" wrapText="1" readingOrder="1"/>
    </xf>
    <xf numFmtId="0" fontId="32" fillId="22" borderId="43" xfId="0" applyFont="1" applyFill="1" applyBorder="1" applyAlignment="1">
      <alignment horizontal="center" vertical="center" wrapText="1" readingOrder="1"/>
    </xf>
    <xf numFmtId="0" fontId="32" fillId="22" borderId="44" xfId="0" applyFont="1" applyFill="1" applyBorder="1" applyAlignment="1">
      <alignment horizontal="center" vertical="center" wrapText="1" readingOrder="1"/>
    </xf>
    <xf numFmtId="0" fontId="30" fillId="22" borderId="42" xfId="0" applyFont="1" applyFill="1" applyBorder="1" applyAlignment="1">
      <alignment horizontal="center" vertical="center" wrapText="1" readingOrder="1"/>
    </xf>
    <xf numFmtId="0" fontId="30" fillId="22" borderId="43" xfId="0" applyFont="1" applyFill="1" applyBorder="1" applyAlignment="1">
      <alignment horizontal="center" vertical="center" wrapText="1" readingOrder="1"/>
    </xf>
    <xf numFmtId="0" fontId="30" fillId="22" borderId="44" xfId="0" applyFont="1" applyFill="1" applyBorder="1" applyAlignment="1">
      <alignment horizontal="center" vertical="center" wrapText="1" readingOrder="1"/>
    </xf>
    <xf numFmtId="0" fontId="31" fillId="22" borderId="42" xfId="0" applyFont="1" applyFill="1" applyBorder="1" applyAlignment="1">
      <alignment horizontal="center" vertical="center" wrapText="1" readingOrder="1"/>
    </xf>
    <xf numFmtId="0" fontId="31" fillId="22" borderId="43" xfId="0" applyFont="1" applyFill="1" applyBorder="1" applyAlignment="1">
      <alignment horizontal="center" vertical="center" wrapText="1" readingOrder="1"/>
    </xf>
    <xf numFmtId="0" fontId="31" fillId="22" borderId="44" xfId="0" applyFont="1" applyFill="1" applyBorder="1" applyAlignment="1">
      <alignment horizontal="center" vertical="center" wrapText="1" readingOrder="1"/>
    </xf>
    <xf numFmtId="0" fontId="32" fillId="22" borderId="45" xfId="0" applyFont="1" applyFill="1" applyBorder="1" applyAlignment="1">
      <alignment horizontal="center" vertical="center" wrapText="1" readingOrder="1"/>
    </xf>
    <xf numFmtId="0" fontId="32" fillId="22" borderId="46" xfId="0" applyFont="1" applyFill="1" applyBorder="1" applyAlignment="1">
      <alignment horizontal="center" vertical="center" wrapText="1" readingOrder="1"/>
    </xf>
    <xf numFmtId="0" fontId="2" fillId="0" borderId="52" xfId="0" applyFont="1" applyBorder="1" applyAlignment="1">
      <alignment horizontal="center"/>
    </xf>
  </cellXfs>
  <cellStyles count="7">
    <cellStyle name="Millares 2" xfId="6" xr:uid="{3249373C-3735-4C52-805F-2ECCD2D4F6DC}"/>
    <cellStyle name="Moneda" xfId="3" builtinId="4"/>
    <cellStyle name="Moneda [0]" xfId="4" builtinId="7"/>
    <cellStyle name="Normal" xfId="0" builtinId="0"/>
    <cellStyle name="Normal 2" xfId="1" xr:uid="{00000000-0005-0000-0000-000003000000}"/>
    <cellStyle name="Porcentaje" xfId="2" builtinId="5"/>
    <cellStyle name="常规 2" xfId="5" xr:uid="{4E2149BD-0BDF-4A73-B8FD-20CBCC27460F}"/>
  </cellStyles>
  <dxfs count="37">
    <dxf>
      <fill>
        <patternFill>
          <bgColor rgb="FFFF0000"/>
        </patternFill>
      </fill>
    </dxf>
    <dxf>
      <fill>
        <patternFill>
          <bgColor rgb="FFFFFF00"/>
        </patternFill>
      </fill>
    </dxf>
    <dxf>
      <fill>
        <patternFill>
          <bgColor rgb="FF0070C0"/>
        </patternFill>
      </fill>
    </dxf>
    <dxf>
      <fill>
        <patternFill>
          <bgColor rgb="FF92D050"/>
        </patternFill>
      </fill>
    </dxf>
    <dxf>
      <fill>
        <patternFill>
          <bgColor rgb="FF92D050"/>
        </patternFill>
      </fill>
    </dxf>
    <dxf>
      <fill>
        <patternFill>
          <bgColor rgb="FF0070C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6793212551390574"/>
          <c:y val="0.11401723263159014"/>
          <c:w val="0.82175632155775091"/>
          <c:h val="0.87581106813627163"/>
        </c:manualLayout>
      </c:layout>
      <c:bubbleChart>
        <c:varyColors val="0"/>
        <c:ser>
          <c:idx val="16"/>
          <c:order val="0"/>
          <c:tx>
            <c:strRef>
              <c:f>'T2-T4 Mapas Riesgo (Auto)'!$F$4</c:f>
              <c:strCache>
                <c:ptCount val="1"/>
                <c:pt idx="0">
                  <c:v>R1a</c:v>
                </c:pt>
              </c:strCache>
            </c:strRef>
          </c:tx>
          <c:spPr>
            <a:solidFill>
              <a:schemeClr val="dk1">
                <a:tint val="75000"/>
                <a:alpha val="75000"/>
              </a:schemeClr>
            </a:solidFill>
            <a:ln>
              <a:noFill/>
            </a:ln>
            <a:effectLst/>
          </c:spPr>
          <c:invertIfNegative val="0"/>
          <c:dLbls>
            <c:dLbl>
              <c:idx val="0"/>
              <c:layout>
                <c:manualLayout>
                  <c:x val="1.7434992874010506E-2"/>
                  <c:y val="3.326471362686913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(Auto)'!$H$4</c:f>
              <c:numCache>
                <c:formatCode>General</c:formatCode>
                <c:ptCount val="1"/>
                <c:pt idx="0">
                  <c:v>3</c:v>
                </c:pt>
              </c:numCache>
            </c:numRef>
          </c:xVal>
          <c:yVal>
            <c:numRef>
              <c:f>'T2-T4 Mapas Riesgo (Auto)'!$G$4</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1-A012-41F6-84BF-DC0047278805}"/>
            </c:ext>
          </c:extLst>
        </c:ser>
        <c:ser>
          <c:idx val="25"/>
          <c:order val="1"/>
          <c:tx>
            <c:strRef>
              <c:f>'T2-T4 Mapas Riesgo (Auto)'!$F$5</c:f>
              <c:strCache>
                <c:ptCount val="1"/>
                <c:pt idx="0">
                  <c:v>R1b</c:v>
                </c:pt>
              </c:strCache>
            </c:strRef>
          </c:tx>
          <c:spPr>
            <a:solidFill>
              <a:schemeClr val="dk1">
                <a:tint val="30000"/>
                <a:alpha val="75000"/>
              </a:schemeClr>
            </a:solidFill>
            <a:ln>
              <a:noFill/>
            </a:ln>
            <a:effectLst/>
          </c:spPr>
          <c:invertIfNegative val="0"/>
          <c:dLbls>
            <c:dLbl>
              <c:idx val="0"/>
              <c:layout>
                <c:manualLayout>
                  <c:x val="0"/>
                  <c:y val="4.69619486496975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(Auto)'!$H$5</c:f>
              <c:numCache>
                <c:formatCode>General</c:formatCode>
                <c:ptCount val="1"/>
                <c:pt idx="0">
                  <c:v>3</c:v>
                </c:pt>
              </c:numCache>
            </c:numRef>
          </c:xVal>
          <c:yVal>
            <c:numRef>
              <c:f>'T2-T4 Mapas Riesgo (Auto)'!$G$5</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3-A012-41F6-84BF-DC0047278805}"/>
            </c:ext>
          </c:extLst>
        </c:ser>
        <c:ser>
          <c:idx val="26"/>
          <c:order val="2"/>
          <c:tx>
            <c:strRef>
              <c:f>'T2-T4 Mapas Riesgo (Auto)'!$F$6</c:f>
              <c:strCache>
                <c:ptCount val="1"/>
                <c:pt idx="0">
                  <c:v>R1c</c:v>
                </c:pt>
              </c:strCache>
            </c:strRef>
          </c:tx>
          <c:spPr>
            <a:solidFill>
              <a:schemeClr val="dk1">
                <a:tint val="60000"/>
                <a:alpha val="75000"/>
              </a:schemeClr>
            </a:solidFill>
            <a:ln>
              <a:noFill/>
            </a:ln>
            <a:effectLst/>
          </c:spPr>
          <c:invertIfNegative val="0"/>
          <c:dLbls>
            <c:dLbl>
              <c:idx val="0"/>
              <c:layout>
                <c:manualLayout>
                  <c:x val="-8.4684251102336836E-2"/>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(Auto)'!$H$6</c:f>
              <c:numCache>
                <c:formatCode>General</c:formatCode>
                <c:ptCount val="1"/>
                <c:pt idx="0">
                  <c:v>3</c:v>
                </c:pt>
              </c:numCache>
            </c:numRef>
          </c:xVal>
          <c:yVal>
            <c:numRef>
              <c:f>'T2-T4 Mapas Riesgo (Auto)'!$G$6</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5-A012-41F6-84BF-DC0047278805}"/>
            </c:ext>
          </c:extLst>
        </c:ser>
        <c:ser>
          <c:idx val="27"/>
          <c:order val="3"/>
          <c:tx>
            <c:strRef>
              <c:f>'T2-T4 Mapas Riesgo (Auto)'!$F$8</c:f>
              <c:strCache>
                <c:ptCount val="1"/>
                <c:pt idx="0">
                  <c:v>R2b</c:v>
                </c:pt>
              </c:strCache>
            </c:strRef>
          </c:tx>
          <c:spPr>
            <a:solidFill>
              <a:schemeClr val="dk1">
                <a:tint val="80000"/>
                <a:alpha val="75000"/>
              </a:schemeClr>
            </a:solidFill>
            <a:ln>
              <a:noFill/>
            </a:ln>
            <a:effectLst/>
          </c:spPr>
          <c:invertIfNegative val="0"/>
          <c:dLbls>
            <c:dLbl>
              <c:idx val="0"/>
              <c:layout>
                <c:manualLayout>
                  <c:x val="1.2453566338578932E-3"/>
                  <c:y val="4.69619486496975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(Auto)'!$H$8</c:f>
              <c:numCache>
                <c:formatCode>General</c:formatCode>
                <c:ptCount val="1"/>
                <c:pt idx="0">
                  <c:v>3</c:v>
                </c:pt>
              </c:numCache>
            </c:numRef>
          </c:xVal>
          <c:yVal>
            <c:numRef>
              <c:f>'T2-T4 Mapas Riesgo (Auto)'!$G$8</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7-A012-41F6-84BF-DC0047278805}"/>
            </c:ext>
          </c:extLst>
        </c:ser>
        <c:ser>
          <c:idx val="28"/>
          <c:order val="4"/>
          <c:tx>
            <c:strRef>
              <c:f>'T2-T4 Mapas Riesgo (Auto)'!$F$9</c:f>
              <c:strCache>
                <c:ptCount val="1"/>
                <c:pt idx="0">
                  <c:v>R2c</c:v>
                </c:pt>
              </c:strCache>
            </c:strRef>
          </c:tx>
          <c:spPr>
            <a:solidFill>
              <a:schemeClr val="dk1">
                <a:tint val="88500"/>
                <a:alpha val="75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(Auto)'!$H$9</c:f>
              <c:numCache>
                <c:formatCode>General</c:formatCode>
                <c:ptCount val="1"/>
                <c:pt idx="0">
                  <c:v>2</c:v>
                </c:pt>
              </c:numCache>
            </c:numRef>
          </c:xVal>
          <c:yVal>
            <c:numRef>
              <c:f>'T2-T4 Mapas Riesgo (Auto)'!$G$9</c:f>
              <c:numCache>
                <c:formatCode>General</c:formatCode>
                <c:ptCount val="1"/>
                <c:pt idx="0">
                  <c:v>3</c:v>
                </c:pt>
              </c:numCache>
            </c:numRef>
          </c:yVal>
          <c:bubbleSize>
            <c:numLit>
              <c:formatCode>General</c:formatCode>
              <c:ptCount val="1"/>
              <c:pt idx="0">
                <c:v>1</c:v>
              </c:pt>
            </c:numLit>
          </c:bubbleSize>
          <c:bubble3D val="0"/>
          <c:extLst>
            <c:ext xmlns:c16="http://schemas.microsoft.com/office/drawing/2014/chart" uri="{C3380CC4-5D6E-409C-BE32-E72D297353CC}">
              <c16:uniqueId val="{00000008-A012-41F6-84BF-DC0047278805}"/>
            </c:ext>
          </c:extLst>
        </c:ser>
        <c:ser>
          <c:idx val="29"/>
          <c:order val="5"/>
          <c:tx>
            <c:strRef>
              <c:f>'T2-T4 Mapas Riesgo (Auto)'!$F$10</c:f>
              <c:strCache>
                <c:ptCount val="1"/>
                <c:pt idx="0">
                  <c:v>R3a</c:v>
                </c:pt>
              </c:strCache>
            </c:strRef>
          </c:tx>
          <c:spPr>
            <a:solidFill>
              <a:schemeClr val="dk1">
                <a:tint val="55000"/>
                <a:alpha val="75000"/>
              </a:schemeClr>
            </a:solidFill>
            <a:ln>
              <a:noFill/>
            </a:ln>
            <a:effectLst/>
          </c:spPr>
          <c:invertIfNegative val="0"/>
          <c:dLbls>
            <c:dLbl>
              <c:idx val="0"/>
              <c:layout>
                <c:manualLayout>
                  <c:x val="-0.10460995724406294"/>
                  <c:y val="0"/>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(Auto)'!$H$10</c:f>
              <c:numCache>
                <c:formatCode>General</c:formatCode>
                <c:ptCount val="1"/>
                <c:pt idx="0">
                  <c:v>2</c:v>
                </c:pt>
              </c:numCache>
            </c:numRef>
          </c:xVal>
          <c:yVal>
            <c:numRef>
              <c:f>'T2-T4 Mapas Riesgo (Auto)'!$G$10</c:f>
              <c:numCache>
                <c:formatCode>General</c:formatCode>
                <c:ptCount val="1"/>
                <c:pt idx="0">
                  <c:v>3</c:v>
                </c:pt>
              </c:numCache>
            </c:numRef>
          </c:yVal>
          <c:bubbleSize>
            <c:numLit>
              <c:formatCode>General</c:formatCode>
              <c:ptCount val="1"/>
              <c:pt idx="0">
                <c:v>1</c:v>
              </c:pt>
            </c:numLit>
          </c:bubbleSize>
          <c:bubble3D val="0"/>
          <c:extLst>
            <c:ext xmlns:c16="http://schemas.microsoft.com/office/drawing/2014/chart" uri="{C3380CC4-5D6E-409C-BE32-E72D297353CC}">
              <c16:uniqueId val="{0000000A-A012-41F6-84BF-DC0047278805}"/>
            </c:ext>
          </c:extLst>
        </c:ser>
        <c:ser>
          <c:idx val="30"/>
          <c:order val="6"/>
          <c:tx>
            <c:strRef>
              <c:f>'T2-T4 Mapas Riesgo (Auto)'!$F$11</c:f>
              <c:strCache>
                <c:ptCount val="1"/>
                <c:pt idx="0">
                  <c:v>R3b</c:v>
                </c:pt>
              </c:strCache>
            </c:strRef>
          </c:tx>
          <c:spPr>
            <a:solidFill>
              <a:schemeClr val="dk1">
                <a:tint val="75000"/>
                <a:alpha val="75000"/>
              </a:schemeClr>
            </a:solidFill>
            <a:ln>
              <a:noFill/>
            </a:ln>
            <a:effectLst/>
          </c:spPr>
          <c:invertIfNegative val="0"/>
          <c:dLbls>
            <c:dLbl>
              <c:idx val="0"/>
              <c:layout>
                <c:manualLayout>
                  <c:x val="-9.3401747539342078E-2"/>
                  <c:y val="-5.870243581212200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(Auto)'!$H$11</c:f>
              <c:numCache>
                <c:formatCode>General</c:formatCode>
                <c:ptCount val="1"/>
                <c:pt idx="0">
                  <c:v>4</c:v>
                </c:pt>
              </c:numCache>
            </c:numRef>
          </c:xVal>
          <c:yVal>
            <c:numRef>
              <c:f>'T2-T4 Mapas Riesgo (Auto)'!$G$11</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C-A012-41F6-84BF-DC0047278805}"/>
            </c:ext>
          </c:extLst>
        </c:ser>
        <c:ser>
          <c:idx val="31"/>
          <c:order val="7"/>
          <c:tx>
            <c:strRef>
              <c:f>'T2-T4 Mapas Riesgo (Auto)'!$F$12</c:f>
              <c:strCache>
                <c:ptCount val="1"/>
                <c:pt idx="0">
                  <c:v>R3c</c:v>
                </c:pt>
              </c:strCache>
            </c:strRef>
          </c:tx>
          <c:spPr>
            <a:solidFill>
              <a:schemeClr val="dk1">
                <a:tint val="98500"/>
                <a:alpha val="75000"/>
              </a:schemeClr>
            </a:solidFill>
            <a:ln>
              <a:noFill/>
            </a:ln>
            <a:effectLst/>
          </c:spPr>
          <c:invertIfNegative val="0"/>
          <c:dLbls>
            <c:dLbl>
              <c:idx val="0"/>
              <c:layout>
                <c:manualLayout>
                  <c:x val="-8.0948181200763067E-2"/>
                  <c:y val="7.826991441616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extLst>
                <c:ext xmlns:c15="http://schemas.microsoft.com/office/drawing/2012/chart" uri="{CE6537A1-D6FC-4f65-9D91-7224C49458BB}">
                  <c15:spPr xmlns:c15="http://schemas.microsoft.com/office/drawing/2012/chart">
                    <a:prstGeom prst="wedgeRectCallout">
                      <a:avLst/>
                    </a:prstGeom>
                    <a:noFill/>
                    <a:ln>
                      <a:noFill/>
                    </a:ln>
                  </c15:spPr>
                  <c15:layout>
                    <c:manualLayout>
                      <c:w val="3.592726411229312E-2"/>
                      <c:h val="3.1545857002407106E-2"/>
                    </c:manualLayout>
                  </c15:layout>
                </c:ext>
                <c:ext xmlns:c16="http://schemas.microsoft.com/office/drawing/2014/chart" uri="{C3380CC4-5D6E-409C-BE32-E72D297353CC}">
                  <c16:uniqueId val="{0000000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(Auto)'!$H$12</c:f>
              <c:numCache>
                <c:formatCode>General</c:formatCode>
                <c:ptCount val="1"/>
                <c:pt idx="0">
                  <c:v>3</c:v>
                </c:pt>
              </c:numCache>
            </c:numRef>
          </c:xVal>
          <c:yVal>
            <c:numRef>
              <c:f>'T2-T4 Mapas Riesgo (Auto)'!$G$12</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0E-A012-41F6-84BF-DC0047278805}"/>
            </c:ext>
          </c:extLst>
        </c:ser>
        <c:ser>
          <c:idx val="32"/>
          <c:order val="8"/>
          <c:tx>
            <c:strRef>
              <c:f>'T2-T4 Mapas Riesgo (Auto)'!$F$13</c:f>
              <c:strCache>
                <c:ptCount val="1"/>
                <c:pt idx="0">
                  <c:v>R4a</c:v>
                </c:pt>
              </c:strCache>
            </c:strRef>
          </c:tx>
          <c:spPr>
            <a:solidFill>
              <a:schemeClr val="dk1">
                <a:tint val="30000"/>
                <a:alpha val="75000"/>
              </a:schemeClr>
            </a:solidFill>
            <a:ln>
              <a:noFill/>
            </a:ln>
            <a:effectLst/>
          </c:spPr>
          <c:invertIfNegative val="0"/>
          <c:dLbls>
            <c:dLbl>
              <c:idx val="0"/>
              <c:layout>
                <c:manualLayout>
                  <c:x val="-7.4721398031475424E-3"/>
                  <c:y val="-4.30484529288894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(Auto)'!$H$13</c:f>
              <c:numCache>
                <c:formatCode>General</c:formatCode>
                <c:ptCount val="1"/>
                <c:pt idx="0">
                  <c:v>0</c:v>
                </c:pt>
              </c:numCache>
            </c:numRef>
          </c:xVal>
          <c:yVal>
            <c:numRef>
              <c:f>'T2-T4 Mapas Riesgo (Auto)'!$G$13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0-A012-41F6-84BF-DC0047278805}"/>
            </c:ext>
          </c:extLst>
        </c:ser>
        <c:ser>
          <c:idx val="33"/>
          <c:order val="9"/>
          <c:tx>
            <c:strRef>
              <c:f>'T2-T4 Mapas Riesgo (Auto)'!$F$14</c:f>
              <c:strCache>
                <c:ptCount val="1"/>
                <c:pt idx="0">
                  <c:v>R4b</c:v>
                </c:pt>
              </c:strCache>
            </c:strRef>
          </c:tx>
          <c:spPr>
            <a:solidFill>
              <a:schemeClr val="dk1">
                <a:tint val="60000"/>
                <a:alpha val="75000"/>
              </a:schemeClr>
            </a:solidFill>
            <a:ln>
              <a:noFill/>
            </a:ln>
            <a:effectLst/>
          </c:spPr>
          <c:invertIfNegative val="0"/>
          <c:dLbls>
            <c:dLbl>
              <c:idx val="0"/>
              <c:layout>
                <c:manualLayout>
                  <c:x val="-9.3401747539341995E-2"/>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(Auto)'!$H$14</c:f>
              <c:numCache>
                <c:formatCode>General</c:formatCode>
                <c:ptCount val="1"/>
                <c:pt idx="0">
                  <c:v>0</c:v>
                </c:pt>
              </c:numCache>
            </c:numRef>
          </c:xVal>
          <c:yVal>
            <c:numRef>
              <c:f>'T2-T4 Mapas Riesgo (Auto)'!$G$14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2-A012-41F6-84BF-DC0047278805}"/>
            </c:ext>
          </c:extLst>
        </c:ser>
        <c:ser>
          <c:idx val="34"/>
          <c:order val="10"/>
          <c:tx>
            <c:strRef>
              <c:f>'T2-T4 Mapas Riesgo (Auto)'!$F$15</c:f>
              <c:strCache>
                <c:ptCount val="1"/>
                <c:pt idx="0">
                  <c:v>R4c</c:v>
                </c:pt>
              </c:strCache>
            </c:strRef>
          </c:tx>
          <c:spPr>
            <a:solidFill>
              <a:schemeClr val="dk1">
                <a:tint val="80000"/>
                <a:alpha val="75000"/>
              </a:schemeClr>
            </a:solidFill>
            <a:ln>
              <a:noFill/>
            </a:ln>
            <a:effectLst/>
          </c:spPr>
          <c:invertIfNegative val="0"/>
          <c:xVal>
            <c:numRef>
              <c:f>'T2-T4 Mapas Riesgo (Auto)'!$H$15</c:f>
              <c:numCache>
                <c:formatCode>General</c:formatCode>
                <c:ptCount val="1"/>
                <c:pt idx="0">
                  <c:v>0</c:v>
                </c:pt>
              </c:numCache>
            </c:numRef>
          </c:xVal>
          <c:yVal>
            <c:numRef>
              <c:f>'T2-T4 Mapas Riesgo (Auto)'!$G$15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4-A012-41F6-84BF-DC0047278805}"/>
            </c:ext>
          </c:extLst>
        </c:ser>
        <c:ser>
          <c:idx val="35"/>
          <c:order val="11"/>
          <c:tx>
            <c:strRef>
              <c:f>'T2-T4 Mapas Riesgo (Auto)'!$F$16</c:f>
              <c:strCache>
                <c:ptCount val="1"/>
                <c:pt idx="0">
                  <c:v>R5a</c:v>
                </c:pt>
              </c:strCache>
            </c:strRef>
          </c:tx>
          <c:spPr>
            <a:solidFill>
              <a:schemeClr val="dk1">
                <a:tint val="88500"/>
                <a:alpha val="75000"/>
              </a:schemeClr>
            </a:solidFill>
            <a:ln>
              <a:noFill/>
            </a:ln>
            <a:effectLst/>
          </c:spPr>
          <c:invertIfNegative val="0"/>
          <c:dLbls>
            <c:dLbl>
              <c:idx val="0"/>
              <c:layout>
                <c:manualLayout>
                  <c:x val="-2.4907132677157866E-2"/>
                  <c:y val="3.913495720808133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(Auto)'!$H$16</c:f>
              <c:numCache>
                <c:formatCode>General</c:formatCode>
                <c:ptCount val="1"/>
                <c:pt idx="0">
                  <c:v>0</c:v>
                </c:pt>
              </c:numCache>
            </c:numRef>
          </c:xVal>
          <c:yVal>
            <c:numRef>
              <c:f>'T2-T4 Mapas Riesgo (Auto)'!$G$16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6-A012-41F6-84BF-DC0047278805}"/>
            </c:ext>
          </c:extLst>
        </c:ser>
        <c:ser>
          <c:idx val="36"/>
          <c:order val="12"/>
          <c:tx>
            <c:strRef>
              <c:f>'T2-T4 Mapas Riesgo (Auto)'!$F$17</c:f>
              <c:strCache>
                <c:ptCount val="1"/>
                <c:pt idx="0">
                  <c:v>R5b</c:v>
                </c:pt>
              </c:strCache>
            </c:strRef>
          </c:tx>
          <c:spPr>
            <a:solidFill>
              <a:schemeClr val="dk1">
                <a:tint val="55000"/>
                <a:alpha val="75000"/>
              </a:schemeClr>
            </a:solidFill>
            <a:ln>
              <a:noFill/>
            </a:ln>
            <a:effectLst/>
          </c:spPr>
          <c:invertIfNegative val="0"/>
          <c:dLbls>
            <c:dLbl>
              <c:idx val="0"/>
              <c:layout>
                <c:manualLayout>
                  <c:x val="-0.10336460061020523"/>
                  <c:y val="7.826991441616268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(Auto)'!$H$17</c:f>
              <c:numCache>
                <c:formatCode>General</c:formatCode>
                <c:ptCount val="1"/>
                <c:pt idx="0">
                  <c:v>0</c:v>
                </c:pt>
              </c:numCache>
            </c:numRef>
          </c:xVal>
          <c:yVal>
            <c:numRef>
              <c:f>'T2-T4 Mapas Riesgo (Auto)'!$G$17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8-A012-41F6-84BF-DC0047278805}"/>
            </c:ext>
          </c:extLst>
        </c:ser>
        <c:ser>
          <c:idx val="37"/>
          <c:order val="13"/>
          <c:tx>
            <c:strRef>
              <c:f>'T2-T4 Mapas Riesgo (Auto)'!$F$18</c:f>
              <c:strCache>
                <c:ptCount val="1"/>
                <c:pt idx="0">
                  <c:v>R5c</c:v>
                </c:pt>
              </c:strCache>
            </c:strRef>
          </c:tx>
          <c:spPr>
            <a:solidFill>
              <a:schemeClr val="dk1">
                <a:tint val="75000"/>
                <a:alpha val="75000"/>
              </a:schemeClr>
            </a:solidFill>
            <a:ln>
              <a:noFill/>
            </a:ln>
            <a:effectLst/>
          </c:spPr>
          <c:invertIfNegative val="0"/>
          <c:dLbls>
            <c:dLbl>
              <c:idx val="0"/>
              <c:layout>
                <c:manualLayout>
                  <c:x val="-2.8643202578731635E-2"/>
                  <c:y val="6.65294272537381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(Auto)'!$H$18</c:f>
              <c:numCache>
                <c:formatCode>General</c:formatCode>
                <c:ptCount val="1"/>
                <c:pt idx="0">
                  <c:v>0</c:v>
                </c:pt>
              </c:numCache>
            </c:numRef>
          </c:xVal>
          <c:yVal>
            <c:numRef>
              <c:f>'T2-T4 Mapas Riesgo (Auto)'!$G$18</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A-A012-41F6-84BF-DC0047278805}"/>
            </c:ext>
          </c:extLst>
        </c:ser>
        <c:ser>
          <c:idx val="38"/>
          <c:order val="14"/>
          <c:tx>
            <c:strRef>
              <c:f>'T2-T4 Mapas Riesgo (Auto)'!$F$19</c:f>
              <c:strCache>
                <c:ptCount val="1"/>
                <c:pt idx="0">
                  <c:v>R6a</c:v>
                </c:pt>
              </c:strCache>
            </c:strRef>
          </c:tx>
          <c:spPr>
            <a:solidFill>
              <a:schemeClr val="dk1">
                <a:tint val="98500"/>
                <a:alpha val="75000"/>
              </a:schemeClr>
            </a:solidFill>
            <a:ln>
              <a:noFill/>
            </a:ln>
            <a:effectLst/>
          </c:spPr>
          <c:invertIfNegative val="0"/>
          <c:dLbls>
            <c:dLbl>
              <c:idx val="0"/>
              <c:layout>
                <c:manualLayout>
                  <c:x val="-2.1171062775584185E-2"/>
                  <c:y val="5.674568795171779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(Auto)'!$H$19</c:f>
              <c:numCache>
                <c:formatCode>General</c:formatCode>
                <c:ptCount val="1"/>
                <c:pt idx="0">
                  <c:v>0</c:v>
                </c:pt>
              </c:numCache>
            </c:numRef>
          </c:xVal>
          <c:yVal>
            <c:numRef>
              <c:f>'T2-T4 Mapas Riesgo (Auto)'!$G$19</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C-A012-41F6-84BF-DC0047278805}"/>
            </c:ext>
          </c:extLst>
        </c:ser>
        <c:ser>
          <c:idx val="39"/>
          <c:order val="15"/>
          <c:tx>
            <c:strRef>
              <c:f>'T2-T4 Mapas Riesgo (Auto)'!$F$20</c:f>
              <c:strCache>
                <c:ptCount val="1"/>
                <c:pt idx="0">
                  <c:v>R6b</c:v>
                </c:pt>
              </c:strCache>
            </c:strRef>
          </c:tx>
          <c:spPr>
            <a:solidFill>
              <a:schemeClr val="dk1">
                <a:tint val="30000"/>
                <a:alpha val="75000"/>
              </a:schemeClr>
            </a:solidFill>
            <a:ln w="25400">
              <a:noFill/>
            </a:ln>
            <a:effectLst/>
          </c:spPr>
          <c:invertIfNegative val="0"/>
          <c:dLbls>
            <c:dLbl>
              <c:idx val="0"/>
              <c:layout>
                <c:manualLayout>
                  <c:x val="-9.1325098154251879E-17"/>
                  <c:y val="4.30484529288894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(Auto)'!$H$20</c:f>
              <c:numCache>
                <c:formatCode>General</c:formatCode>
                <c:ptCount val="1"/>
                <c:pt idx="0">
                  <c:v>0</c:v>
                </c:pt>
              </c:numCache>
            </c:numRef>
          </c:xVal>
          <c:yVal>
            <c:numRef>
              <c:f>'T2-T4 Mapas Riesgo (Auto)'!$G$20</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1E-A012-41F6-84BF-DC0047278805}"/>
            </c:ext>
          </c:extLst>
        </c:ser>
        <c:ser>
          <c:idx val="40"/>
          <c:order val="16"/>
          <c:tx>
            <c:strRef>
              <c:f>'T2-T4 Mapas Riesgo (Auto)'!$F$21</c:f>
              <c:strCache>
                <c:ptCount val="1"/>
                <c:pt idx="0">
                  <c:v>R6c</c:v>
                </c:pt>
              </c:strCache>
            </c:strRef>
          </c:tx>
          <c:spPr>
            <a:solidFill>
              <a:schemeClr val="dk1">
                <a:tint val="60000"/>
                <a:alpha val="75000"/>
              </a:schemeClr>
            </a:solidFill>
            <a:ln w="25400">
              <a:noFill/>
            </a:ln>
            <a:effectLst/>
          </c:spPr>
          <c:invertIfNegative val="0"/>
          <c:dLbls>
            <c:dLbl>
              <c:idx val="0"/>
              <c:layout>
                <c:manualLayout>
                  <c:x val="-1.2453566338578932E-3"/>
                  <c:y val="-3.326471362686913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F-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(Auto)'!$H$21</c:f>
              <c:numCache>
                <c:formatCode>General</c:formatCode>
                <c:ptCount val="1"/>
                <c:pt idx="0">
                  <c:v>0</c:v>
                </c:pt>
              </c:numCache>
            </c:numRef>
          </c:xVal>
          <c:yVal>
            <c:numRef>
              <c:f>'T2-T4 Mapas Riesgo (Auto)'!$G$21</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0-A012-41F6-84BF-DC0047278805}"/>
            </c:ext>
          </c:extLst>
        </c:ser>
        <c:ser>
          <c:idx val="41"/>
          <c:order val="17"/>
          <c:tx>
            <c:strRef>
              <c:f>'T2-T4 Mapas Riesgo (Auto)'!$F$22</c:f>
              <c:strCache>
                <c:ptCount val="1"/>
                <c:pt idx="0">
                  <c:v>R7a</c:v>
                </c:pt>
              </c:strCache>
            </c:strRef>
          </c:tx>
          <c:spPr>
            <a:solidFill>
              <a:schemeClr val="dk1">
                <a:tint val="80000"/>
                <a:alpha val="75000"/>
              </a:schemeClr>
            </a:solidFill>
            <a:ln w="25400">
              <a:noFill/>
            </a:ln>
            <a:effectLst/>
          </c:spPr>
          <c:invertIfNegative val="0"/>
          <c:dLbls>
            <c:dLbl>
              <c:idx val="0"/>
              <c:layout>
                <c:manualLayout>
                  <c:x val="-3.7360699015736797E-3"/>
                  <c:y val="-3.717820934767727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1-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(Auto)'!$H$22</c:f>
              <c:numCache>
                <c:formatCode>General</c:formatCode>
                <c:ptCount val="1"/>
                <c:pt idx="0">
                  <c:v>0</c:v>
                </c:pt>
              </c:numCache>
            </c:numRef>
          </c:xVal>
          <c:yVal>
            <c:numRef>
              <c:f>'T2-T4 Mapas Riesgo (Auto)'!$G$22</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2-A012-41F6-84BF-DC0047278805}"/>
            </c:ext>
          </c:extLst>
        </c:ser>
        <c:ser>
          <c:idx val="42"/>
          <c:order val="18"/>
          <c:tx>
            <c:strRef>
              <c:f>'T2-T4 Mapas Riesgo (Auto)'!$F$23</c:f>
              <c:strCache>
                <c:ptCount val="1"/>
                <c:pt idx="0">
                  <c:v>R7b</c:v>
                </c:pt>
              </c:strCache>
            </c:strRef>
          </c:tx>
          <c:spPr>
            <a:solidFill>
              <a:schemeClr val="dk1">
                <a:tint val="88500"/>
                <a:alpha val="75000"/>
              </a:schemeClr>
            </a:solidFill>
            <a:ln w="25400">
              <a:noFill/>
            </a:ln>
            <a:effectLst/>
          </c:spPr>
          <c:invertIfNegative val="0"/>
          <c:dLbls>
            <c:dLbl>
              <c:idx val="0"/>
              <c:layout>
                <c:manualLayout>
                  <c:x val="-4.9814265354315729E-3"/>
                  <c:y val="-4.696194864969760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3-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(Auto)'!$H$23</c:f>
              <c:numCache>
                <c:formatCode>General</c:formatCode>
                <c:ptCount val="1"/>
                <c:pt idx="0">
                  <c:v>0</c:v>
                </c:pt>
              </c:numCache>
            </c:numRef>
          </c:xVal>
          <c:yVal>
            <c:numRef>
              <c:f>'T2-T4 Mapas Riesgo (Auto)'!$G$23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4-A012-41F6-84BF-DC0047278805}"/>
            </c:ext>
          </c:extLst>
        </c:ser>
        <c:ser>
          <c:idx val="43"/>
          <c:order val="19"/>
          <c:tx>
            <c:strRef>
              <c:f>'T2-T4 Mapas Riesgo (Auto)'!$F$24</c:f>
              <c:strCache>
                <c:ptCount val="1"/>
                <c:pt idx="0">
                  <c:v>R7c</c:v>
                </c:pt>
              </c:strCache>
            </c:strRef>
          </c:tx>
          <c:spPr>
            <a:solidFill>
              <a:schemeClr val="dk1">
                <a:tint val="55000"/>
                <a:alpha val="75000"/>
              </a:schemeClr>
            </a:solidFill>
            <a:ln w="25400">
              <a:solidFill>
                <a:sysClr val="windowText" lastClr="000000">
                  <a:lumMod val="25000"/>
                  <a:lumOff val="75000"/>
                </a:sysClr>
              </a:solidFill>
            </a:ln>
            <a:effectLst/>
          </c:spPr>
          <c:invertIfNegative val="0"/>
          <c:dLbls>
            <c:dLbl>
              <c:idx val="0"/>
              <c:layout>
                <c:manualLayout>
                  <c:x val="-3.113391584644733E-2"/>
                  <c:y val="6.65294272537382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5-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(Auto)'!$H$24</c:f>
              <c:numCache>
                <c:formatCode>General</c:formatCode>
                <c:ptCount val="1"/>
                <c:pt idx="0">
                  <c:v>0</c:v>
                </c:pt>
              </c:numCache>
            </c:numRef>
          </c:xVal>
          <c:yVal>
            <c:numRef>
              <c:f>'T2-T4 Mapas Riesgo (Auto)'!$G$24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6-A012-41F6-84BF-DC0047278805}"/>
            </c:ext>
          </c:extLst>
        </c:ser>
        <c:ser>
          <c:idx val="44"/>
          <c:order val="20"/>
          <c:tx>
            <c:strRef>
              <c:f>'T2-T4 Mapas Riesgo (Auto)'!$F$25</c:f>
              <c:strCache>
                <c:ptCount val="1"/>
                <c:pt idx="0">
                  <c:v>R8a</c:v>
                </c:pt>
              </c:strCache>
            </c:strRef>
          </c:tx>
          <c:spPr>
            <a:solidFill>
              <a:schemeClr val="dk1">
                <a:tint val="75000"/>
                <a:alpha val="75000"/>
              </a:schemeClr>
            </a:solidFill>
            <a:ln w="25400">
              <a:noFill/>
            </a:ln>
            <a:effectLst/>
          </c:spPr>
          <c:invertIfNegative val="0"/>
          <c:dLbls>
            <c:dLbl>
              <c:idx val="0"/>
              <c:layout>
                <c:manualLayout>
                  <c:x val="0"/>
                  <c:y val="2.9351217906061003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7-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(Auto)'!$H$25</c:f>
              <c:numCache>
                <c:formatCode>General</c:formatCode>
                <c:ptCount val="1"/>
                <c:pt idx="0">
                  <c:v>0</c:v>
                </c:pt>
              </c:numCache>
            </c:numRef>
          </c:xVal>
          <c:yVal>
            <c:numRef>
              <c:f>'T2-T4 Mapas Riesgo (Auto)'!$G$25</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8-A012-41F6-84BF-DC0047278805}"/>
            </c:ext>
          </c:extLst>
        </c:ser>
        <c:ser>
          <c:idx val="45"/>
          <c:order val="21"/>
          <c:tx>
            <c:strRef>
              <c:f>'T2-T4 Mapas Riesgo (Auto)'!$F$26</c:f>
              <c:strCache>
                <c:ptCount val="1"/>
                <c:pt idx="0">
                  <c:v>R8b</c:v>
                </c:pt>
              </c:strCache>
            </c:strRef>
          </c:tx>
          <c:spPr>
            <a:solidFill>
              <a:schemeClr val="dk1">
                <a:tint val="98500"/>
                <a:alpha val="75000"/>
              </a:schemeClr>
            </a:solidFill>
            <a:ln w="25400">
              <a:noFill/>
            </a:ln>
            <a:effectLst/>
          </c:spPr>
          <c:invertIfNegative val="0"/>
          <c:dLbls>
            <c:dLbl>
              <c:idx val="0"/>
              <c:layout>
                <c:manualLayout>
                  <c:x val="-3.7360699015736797E-3"/>
                  <c:y val="-2.5437722185253014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9-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(Auto)'!$H$26</c:f>
              <c:numCache>
                <c:formatCode>General</c:formatCode>
                <c:ptCount val="1"/>
                <c:pt idx="0">
                  <c:v>0</c:v>
                </c:pt>
              </c:numCache>
            </c:numRef>
          </c:xVal>
          <c:yVal>
            <c:numRef>
              <c:f>'T2-T4 Mapas Riesgo (Auto)'!$G$26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A-A012-41F6-84BF-DC0047278805}"/>
            </c:ext>
          </c:extLst>
        </c:ser>
        <c:ser>
          <c:idx val="1"/>
          <c:order val="22"/>
          <c:tx>
            <c:strRef>
              <c:f>'T2-T4 Mapas Riesgo (Auto)'!$F$27</c:f>
              <c:strCache>
                <c:ptCount val="1"/>
                <c:pt idx="0">
                  <c:v>R8c</c:v>
                </c:pt>
              </c:strCache>
            </c:strRef>
          </c:tx>
          <c:spPr>
            <a:solidFill>
              <a:schemeClr val="dk1">
                <a:tint val="55000"/>
                <a:alpha val="75000"/>
              </a:schemeClr>
            </a:solidFill>
            <a:ln w="25400">
              <a:noFill/>
            </a:ln>
            <a:effectLst/>
          </c:spPr>
          <c:invertIfNegative val="0"/>
          <c:dLbls>
            <c:dLbl>
              <c:idx val="0"/>
              <c:layout>
                <c:manualLayout>
                  <c:x val="-7.223068476375781E-2"/>
                  <c:y val="6.4572679393334206E-2"/>
                </c:manualLayout>
              </c:layout>
              <c:showLegendKey val="0"/>
              <c:showVal val="0"/>
              <c:showCatName val="0"/>
              <c:showSerName val="1"/>
              <c:showPercent val="0"/>
              <c:showBubbleSize val="1"/>
              <c:extLst>
                <c:ext xmlns:c15="http://schemas.microsoft.com/office/drawing/2012/chart" uri="{CE6537A1-D6FC-4f65-9D91-7224C49458BB}"/>
                <c:ext xmlns:c16="http://schemas.microsoft.com/office/drawing/2014/chart" uri="{C3380CC4-5D6E-409C-BE32-E72D297353CC}">
                  <c16:uniqueId val="{0000002B-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(Auto)'!$H$27</c:f>
              <c:numCache>
                <c:formatCode>General</c:formatCode>
                <c:ptCount val="1"/>
                <c:pt idx="0">
                  <c:v>0</c:v>
                </c:pt>
              </c:numCache>
            </c:numRef>
          </c:xVal>
          <c:yVal>
            <c:numRef>
              <c:f>'T2-T4 Mapas Riesgo (Auto)'!$G$27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C-A012-41F6-84BF-DC0047278805}"/>
            </c:ext>
          </c:extLst>
        </c:ser>
        <c:ser>
          <c:idx val="0"/>
          <c:order val="23"/>
          <c:tx>
            <c:strRef>
              <c:f>'T2-T4 Mapas Riesgo (Auto)'!$F$7</c:f>
              <c:strCache>
                <c:ptCount val="1"/>
                <c:pt idx="0">
                  <c:v>R2a</c:v>
                </c:pt>
              </c:strCache>
            </c:strRef>
          </c:tx>
          <c:spPr>
            <a:solidFill>
              <a:schemeClr val="dk1">
                <a:tint val="88500"/>
                <a:alpha val="75000"/>
              </a:schemeClr>
            </a:solidFill>
            <a:ln w="25400">
              <a:noFill/>
            </a:ln>
            <a:effectLst/>
          </c:spPr>
          <c:invertIfNegative val="0"/>
          <c:dLbls>
            <c:dLbl>
              <c:idx val="0"/>
              <c:layout>
                <c:manualLayout>
                  <c:x val="-1.2453566338578932E-3"/>
                  <c:y val="-4.109170506848540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D-A012-41F6-84BF-DC00472788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(Auto)'!$H$7</c:f>
              <c:numCache>
                <c:formatCode>General</c:formatCode>
                <c:ptCount val="1"/>
                <c:pt idx="0">
                  <c:v>3</c:v>
                </c:pt>
              </c:numCache>
            </c:numRef>
          </c:xVal>
          <c:yVal>
            <c:numRef>
              <c:f>'T2-T4 Mapas Riesgo (Auto)'!$G$7</c:f>
              <c:numCache>
                <c:formatCode>General</c:formatCode>
                <c:ptCount val="1"/>
                <c:pt idx="0">
                  <c:v>2</c:v>
                </c:pt>
              </c:numCache>
            </c:numRef>
          </c:yVal>
          <c:bubbleSize>
            <c:numLit>
              <c:formatCode>General</c:formatCode>
              <c:ptCount val="1"/>
              <c:pt idx="0">
                <c:v>1</c:v>
              </c:pt>
            </c:numLit>
          </c:bubbleSize>
          <c:bubble3D val="0"/>
          <c:extLst>
            <c:ext xmlns:c16="http://schemas.microsoft.com/office/drawing/2014/chart" uri="{C3380CC4-5D6E-409C-BE32-E72D297353CC}">
              <c16:uniqueId val="{0000002E-A012-41F6-84BF-DC0047278805}"/>
            </c:ext>
          </c:extLst>
        </c:ser>
        <c:ser>
          <c:idx val="2"/>
          <c:order val="24"/>
          <c:tx>
            <c:strRef>
              <c:f>'T2-T4 Mapas Riesgo (Auto)'!$J$1</c:f>
              <c:strCache>
                <c:ptCount val="1"/>
              </c:strCache>
            </c:strRef>
          </c:tx>
          <c:spPr>
            <a:noFill/>
            <a:ln w="25400">
              <a:noFill/>
            </a:ln>
            <a:effectLst/>
          </c:spPr>
          <c:invertIfNegative val="0"/>
          <c:xVal>
            <c:numRef>
              <c:f>'T2-T4 Mapas Riesgo (Auto)'!$L$1</c:f>
              <c:numCache>
                <c:formatCode>General</c:formatCode>
                <c:ptCount val="1"/>
                <c:pt idx="0">
                  <c:v>5</c:v>
                </c:pt>
              </c:numCache>
            </c:numRef>
          </c:xVal>
          <c:yVal>
            <c:numRef>
              <c:f>'T2-T4 Mapas Riesgo (Auto)'!$K$1</c:f>
              <c:numCache>
                <c:formatCode>General</c:formatCode>
                <c:ptCount val="1"/>
                <c:pt idx="0">
                  <c:v>5</c:v>
                </c:pt>
              </c:numCache>
            </c:numRef>
          </c:yVal>
          <c:bubbleSize>
            <c:numLit>
              <c:formatCode>General</c:formatCode>
              <c:ptCount val="1"/>
              <c:pt idx="0">
                <c:v>1</c:v>
              </c:pt>
            </c:numLit>
          </c:bubbleSize>
          <c:bubble3D val="0"/>
          <c:extLst>
            <c:ext xmlns:c16="http://schemas.microsoft.com/office/drawing/2014/chart" uri="{C3380CC4-5D6E-409C-BE32-E72D297353CC}">
              <c16:uniqueId val="{00000001-38B4-448B-A6D3-F9E40F02B345}"/>
            </c:ext>
          </c:extLst>
        </c:ser>
        <c:dLbls>
          <c:showLegendKey val="0"/>
          <c:showVal val="0"/>
          <c:showCatName val="0"/>
          <c:showSerName val="0"/>
          <c:showPercent val="0"/>
          <c:showBubbleSize val="0"/>
        </c:dLbls>
        <c:bubbleScale val="20"/>
        <c:showNegBubbles val="0"/>
        <c:axId val="509646991"/>
        <c:axId val="699377039"/>
      </c:bubbleChart>
      <c:valAx>
        <c:axId val="509646991"/>
        <c:scaling>
          <c:orientation val="minMax"/>
          <c:max val="5.5"/>
          <c:min val="0.5"/>
        </c:scaling>
        <c:delete val="1"/>
        <c:axPos val="b"/>
        <c:numFmt formatCode="General" sourceLinked="1"/>
        <c:majorTickMark val="out"/>
        <c:minorTickMark val="none"/>
        <c:tickLblPos val="nextTo"/>
        <c:crossAx val="699377039"/>
        <c:crossesAt val="0"/>
        <c:crossBetween val="midCat"/>
      </c:valAx>
      <c:valAx>
        <c:axId val="699377039"/>
        <c:scaling>
          <c:orientation val="minMax"/>
          <c:max val="5.5"/>
          <c:min val="0.5"/>
        </c:scaling>
        <c:delete val="1"/>
        <c:axPos val="l"/>
        <c:numFmt formatCode="General" sourceLinked="1"/>
        <c:majorTickMark val="out"/>
        <c:minorTickMark val="none"/>
        <c:tickLblPos val="nextTo"/>
        <c:crossAx val="509646991"/>
        <c:crosses val="autoZero"/>
        <c:crossBetween val="midCat"/>
      </c:valAx>
      <c:spPr>
        <a:noFill/>
        <a:ln w="0">
          <a:noFill/>
        </a:ln>
        <a:effectLst/>
      </c:spPr>
    </c:plotArea>
    <c:plotVisOnly val="1"/>
    <c:dispBlanksAs val="gap"/>
    <c:showDLblsOverMax val="0"/>
    <c:extLst/>
  </c:chart>
  <c:spPr>
    <a:blipFill>
      <a:blip xmlns:r="http://schemas.openxmlformats.org/officeDocument/2006/relationships" r:embed="rId3"/>
      <a:stretch>
        <a:fillRect/>
      </a:stretch>
    </a:blipFill>
    <a:ln w="9525" cap="flat" cmpd="sng" algn="ctr">
      <a:solidFill>
        <a:sysClr val="windowText" lastClr="000000">
          <a:lumMod val="25000"/>
          <a:lumOff val="75000"/>
        </a:sys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5417530901122908"/>
          <c:y val="0.12006574144310658"/>
          <c:w val="0.83603646365013617"/>
          <c:h val="0.87774335195888842"/>
        </c:manualLayout>
      </c:layout>
      <c:bubbleChart>
        <c:varyColors val="0"/>
        <c:ser>
          <c:idx val="1"/>
          <c:order val="0"/>
          <c:tx>
            <c:strRef>
              <c:f>'T2-T4 Mapas Riesgo (Auto)'!$B$5</c:f>
              <c:strCache>
                <c:ptCount val="1"/>
                <c:pt idx="0">
                  <c:v>R1b</c:v>
                </c:pt>
              </c:strCache>
            </c:strRef>
          </c:tx>
          <c:spPr>
            <a:solidFill>
              <a:schemeClr val="accent1">
                <a:shade val="40000"/>
                <a:alpha val="75000"/>
              </a:schemeClr>
            </a:solidFill>
            <a:ln>
              <a:noFill/>
            </a:ln>
            <a:effectLst/>
          </c:spPr>
          <c:invertIfNegative val="0"/>
          <c:dPt>
            <c:idx val="0"/>
            <c:invertIfNegative val="0"/>
            <c:bubble3D val="0"/>
            <c:extLst>
              <c:ext xmlns:c16="http://schemas.microsoft.com/office/drawing/2014/chart" uri="{C3380CC4-5D6E-409C-BE32-E72D297353CC}">
                <c16:uniqueId val="{00000000-F51E-431A-9DAA-49365C78E9D9}"/>
              </c:ext>
            </c:extLst>
          </c:dPt>
          <c:dLbls>
            <c:dLbl>
              <c:idx val="0"/>
              <c:layout>
                <c:manualLayout>
                  <c:x val="-6.5268808041063373E-2"/>
                  <c:y val="-4.699937632625520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(Auto)'!$D$5</c:f>
              <c:numCache>
                <c:formatCode>General</c:formatCode>
                <c:ptCount val="1"/>
                <c:pt idx="0">
                  <c:v>3</c:v>
                </c:pt>
              </c:numCache>
            </c:numRef>
          </c:xVal>
          <c:yVal>
            <c:numRef>
              <c:f>'T2-T4 Mapas Riesgo (Auto)'!$C$5</c:f>
              <c:numCache>
                <c:formatCode>General</c:formatCode>
                <c:ptCount val="1"/>
                <c:pt idx="0">
                  <c:v>3</c:v>
                </c:pt>
              </c:numCache>
            </c:numRef>
          </c:yVal>
          <c:bubbleSize>
            <c:numLit>
              <c:formatCode>General</c:formatCode>
              <c:ptCount val="1"/>
              <c:pt idx="0">
                <c:v>1</c:v>
              </c:pt>
            </c:numLit>
          </c:bubbleSize>
          <c:bubble3D val="0"/>
          <c:extLst>
            <c:ext xmlns:c16="http://schemas.microsoft.com/office/drawing/2014/chart" uri="{C3380CC4-5D6E-409C-BE32-E72D297353CC}">
              <c16:uniqueId val="{00000001-F51E-431A-9DAA-49365C78E9D9}"/>
            </c:ext>
          </c:extLst>
        </c:ser>
        <c:ser>
          <c:idx val="0"/>
          <c:order val="1"/>
          <c:tx>
            <c:strRef>
              <c:f>'T2-T4 Mapas Riesgo (Auto)'!$B$7</c:f>
              <c:strCache>
                <c:ptCount val="1"/>
                <c:pt idx="0">
                  <c:v>R2a</c:v>
                </c:pt>
              </c:strCache>
            </c:strRef>
          </c:tx>
          <c:spPr>
            <a:solidFill>
              <a:schemeClr val="accent1">
                <a:shade val="35000"/>
                <a:alpha val="75000"/>
              </a:schemeClr>
            </a:solidFill>
            <a:ln>
              <a:noFill/>
            </a:ln>
            <a:effectLst/>
          </c:spPr>
          <c:invertIfNegative val="0"/>
          <c:dLbls>
            <c:dLbl>
              <c:idx val="0"/>
              <c:layout>
                <c:manualLayout>
                  <c:x val="-3.7287178656818937E-3"/>
                  <c:y val="0"/>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(Auto)'!$D$7</c:f>
              <c:numCache>
                <c:formatCode>General</c:formatCode>
                <c:ptCount val="1"/>
                <c:pt idx="0">
                  <c:v>2</c:v>
                </c:pt>
              </c:numCache>
            </c:numRef>
          </c:xVal>
          <c:yVal>
            <c:numRef>
              <c:f>'T2-T4 Mapas Riesgo (Auto)'!$C$7</c:f>
              <c:numCache>
                <c:formatCode>General</c:formatCode>
                <c:ptCount val="1"/>
                <c:pt idx="0">
                  <c:v>3</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03-F51E-431A-9DAA-49365C78E9D9}"/>
            </c:ext>
          </c:extLst>
        </c:ser>
        <c:ser>
          <c:idx val="2"/>
          <c:order val="2"/>
          <c:tx>
            <c:strRef>
              <c:f>'T2-T4 Mapas Riesgo (Auto)'!$B$9</c:f>
              <c:strCache>
                <c:ptCount val="1"/>
                <c:pt idx="0">
                  <c:v>R2c</c:v>
                </c:pt>
              </c:strCache>
            </c:strRef>
          </c:tx>
          <c:spPr>
            <a:solidFill>
              <a:schemeClr val="accent1">
                <a:shade val="46000"/>
                <a:alpha val="75000"/>
              </a:schemeClr>
            </a:solidFill>
            <a:ln>
              <a:noFill/>
            </a:ln>
            <a:effectLst/>
          </c:spPr>
          <c:invertIfNegative val="0"/>
          <c:dLbls>
            <c:dLbl>
              <c:idx val="0"/>
              <c:layout>
                <c:manualLayout>
                  <c:x val="-3.9151537589659884E-2"/>
                  <c:y val="4.40620032182609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(Auto)'!$D$9</c:f>
              <c:numCache>
                <c:formatCode>General</c:formatCode>
                <c:ptCount val="1"/>
                <c:pt idx="0">
                  <c:v>3</c:v>
                </c:pt>
              </c:numCache>
            </c:numRef>
          </c:xVal>
          <c:yVal>
            <c:numRef>
              <c:f>'T2-T4 Mapas Riesgo (Auto)'!$C$9</c:f>
              <c:numCache>
                <c:formatCode>General</c:formatCode>
                <c:ptCount val="1"/>
                <c:pt idx="0">
                  <c:v>3</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05-F51E-431A-9DAA-49365C78E9D9}"/>
            </c:ext>
          </c:extLst>
        </c:ser>
        <c:ser>
          <c:idx val="3"/>
          <c:order val="3"/>
          <c:tx>
            <c:strRef>
              <c:f>'T2-T4 Mapas Riesgo (Auto)'!$B$4</c:f>
              <c:strCache>
                <c:ptCount val="1"/>
                <c:pt idx="0">
                  <c:v>R1a</c:v>
                </c:pt>
              </c:strCache>
            </c:strRef>
          </c:tx>
          <c:spPr>
            <a:solidFill>
              <a:schemeClr val="accent1">
                <a:shade val="51000"/>
                <a:alpha val="75000"/>
              </a:schemeClr>
            </a:solidFill>
            <a:ln>
              <a:noFill/>
            </a:ln>
            <a:effectLst/>
          </c:spPr>
          <c:invertIfNegative val="0"/>
          <c:dLbls>
            <c:dLbl>
              <c:idx val="0"/>
              <c:layout>
                <c:manualLayout>
                  <c:x val="-7.2709998380796934E-2"/>
                  <c:y val="-4.112453633704356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(Auto)'!$D$4</c:f>
              <c:numCache>
                <c:formatCode>General</c:formatCode>
                <c:ptCount val="1"/>
                <c:pt idx="0">
                  <c:v>4</c:v>
                </c:pt>
              </c:numCache>
            </c:numRef>
          </c:xVal>
          <c:yVal>
            <c:numRef>
              <c:f>'T2-T4 Mapas Riesgo (Auto)'!$C$4</c:f>
              <c:numCache>
                <c:formatCode>General</c:formatCode>
                <c:ptCount val="1"/>
                <c:pt idx="0">
                  <c:v>4</c:v>
                </c:pt>
              </c:numCache>
            </c:numRef>
          </c:yVal>
          <c:bubbleSize>
            <c:numLit>
              <c:formatCode>General</c:formatCode>
              <c:ptCount val="1"/>
              <c:pt idx="0">
                <c:v>1</c:v>
              </c:pt>
            </c:numLit>
          </c:bubbleSize>
          <c:bubble3D val="0"/>
          <c:extLst>
            <c:ext xmlns:c16="http://schemas.microsoft.com/office/drawing/2014/chart" uri="{C3380CC4-5D6E-409C-BE32-E72D297353CC}">
              <c16:uniqueId val="{00000007-F51E-431A-9DAA-49365C78E9D9}"/>
            </c:ext>
          </c:extLst>
        </c:ser>
        <c:ser>
          <c:idx val="4"/>
          <c:order val="4"/>
          <c:tx>
            <c:strRef>
              <c:f>'T2-T4 Mapas Riesgo (Auto)'!$B$13</c:f>
              <c:strCache>
                <c:ptCount val="1"/>
                <c:pt idx="0">
                  <c:v>R4a</c:v>
                </c:pt>
              </c:strCache>
            </c:strRef>
          </c:tx>
          <c:spPr>
            <a:solidFill>
              <a:schemeClr val="accent1">
                <a:shade val="56000"/>
                <a:alpha val="75000"/>
              </a:schemeClr>
            </a:solidFill>
            <a:ln>
              <a:noFill/>
            </a:ln>
            <a:effectLst/>
          </c:spPr>
          <c:invertIfNegative val="0"/>
          <c:dLbls>
            <c:dLbl>
              <c:idx val="0"/>
              <c:layout>
                <c:manualLayout>
                  <c:x val="-0.10067538237341113"/>
                  <c:y val="-2.643720193095657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(Auto)'!$D$13</c:f>
              <c:numCache>
                <c:formatCode>General</c:formatCode>
                <c:ptCount val="1"/>
                <c:pt idx="0">
                  <c:v>0</c:v>
                </c:pt>
              </c:numCache>
            </c:numRef>
          </c:xVal>
          <c:yVal>
            <c:numRef>
              <c:f>'T2-T4 Mapas Riesgo (Auto)'!$C$13</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09-F51E-431A-9DAA-49365C78E9D9}"/>
            </c:ext>
          </c:extLst>
        </c:ser>
        <c:ser>
          <c:idx val="5"/>
          <c:order val="5"/>
          <c:tx>
            <c:strRef>
              <c:f>'T2-T4 Mapas Riesgo (Auto)'!$B$15</c:f>
              <c:strCache>
                <c:ptCount val="1"/>
                <c:pt idx="0">
                  <c:v>R4c</c:v>
                </c:pt>
              </c:strCache>
            </c:strRef>
          </c:tx>
          <c:spPr>
            <a:solidFill>
              <a:schemeClr val="accent1">
                <a:shade val="62000"/>
                <a:alpha val="75000"/>
              </a:schemeClr>
            </a:solidFill>
            <a:ln>
              <a:noFill/>
            </a:ln>
            <a:effectLst/>
          </c:spPr>
          <c:invertIfNegative val="0"/>
          <c:dLbls>
            <c:dLbl>
              <c:idx val="0"/>
              <c:layout>
                <c:manualLayout>
                  <c:x val="-7.2709998380796934E-2"/>
                  <c:y val="-6.168680450556534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(Auto)'!$D$15</c:f>
              <c:numCache>
                <c:formatCode>General</c:formatCode>
                <c:ptCount val="1"/>
                <c:pt idx="0">
                  <c:v>0</c:v>
                </c:pt>
              </c:numCache>
            </c:numRef>
          </c:xVal>
          <c:yVal>
            <c:numRef>
              <c:f>'T2-T4 Mapas Riesgo (Auto)'!$C$15</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0B-F51E-431A-9DAA-49365C78E9D9}"/>
            </c:ext>
          </c:extLst>
        </c:ser>
        <c:ser>
          <c:idx val="6"/>
          <c:order val="6"/>
          <c:tx>
            <c:strRef>
              <c:f>'T2-T4 Mapas Riesgo (Auto)'!$B$17</c:f>
              <c:strCache>
                <c:ptCount val="1"/>
                <c:pt idx="0">
                  <c:v>R5b</c:v>
                </c:pt>
              </c:strCache>
            </c:strRef>
          </c:tx>
          <c:spPr>
            <a:solidFill>
              <a:schemeClr val="accent1">
                <a:shade val="67000"/>
                <a:alpha val="75000"/>
              </a:schemeClr>
            </a:solidFill>
            <a:ln>
              <a:noFill/>
            </a:ln>
            <a:effectLst/>
          </c:spPr>
          <c:invertIfNegative val="0"/>
          <c:dLbls>
            <c:dLbl>
              <c:idx val="0"/>
              <c:layout>
                <c:manualLayout>
                  <c:x val="-2.9829742925455149E-2"/>
                  <c:y val="-5.287440386191315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(Auto)'!$D$17</c:f>
              <c:numCache>
                <c:formatCode>General</c:formatCode>
                <c:ptCount val="1"/>
                <c:pt idx="0">
                  <c:v>0</c:v>
                </c:pt>
              </c:numCache>
            </c:numRef>
          </c:xVal>
          <c:yVal>
            <c:numRef>
              <c:f>'T2-T4 Mapas Riesgo (Auto)'!$C$17</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0D-F51E-431A-9DAA-49365C78E9D9}"/>
            </c:ext>
          </c:extLst>
        </c:ser>
        <c:ser>
          <c:idx val="7"/>
          <c:order val="7"/>
          <c:tx>
            <c:strRef>
              <c:f>'T2-T4 Mapas Riesgo (Auto)'!$B$19</c:f>
              <c:strCache>
                <c:ptCount val="1"/>
                <c:pt idx="0">
                  <c:v>R6a</c:v>
                </c:pt>
              </c:strCache>
            </c:strRef>
          </c:tx>
          <c:spPr>
            <a:solidFill>
              <a:schemeClr val="accent1">
                <a:shade val="73000"/>
                <a:alpha val="75000"/>
              </a:schemeClr>
            </a:solidFill>
            <a:ln>
              <a:noFill/>
            </a:ln>
            <a:effectLst/>
          </c:spPr>
          <c:invertIfNegative val="0"/>
          <c:dLbls>
            <c:dLbl>
              <c:idx val="0"/>
              <c:layout>
                <c:manualLayout>
                  <c:x val="2.6101025059773256E-2"/>
                  <c:y val="-2.937466881217408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(Auto)'!$D$19</c:f>
              <c:numCache>
                <c:formatCode>General</c:formatCode>
                <c:ptCount val="1"/>
                <c:pt idx="0">
                  <c:v>0</c:v>
                </c:pt>
              </c:numCache>
            </c:numRef>
          </c:xVal>
          <c:yVal>
            <c:numRef>
              <c:f>'T2-T4 Mapas Riesgo (Auto)'!$C$19</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0F-F51E-431A-9DAA-49365C78E9D9}"/>
            </c:ext>
          </c:extLst>
        </c:ser>
        <c:ser>
          <c:idx val="8"/>
          <c:order val="8"/>
          <c:tx>
            <c:strRef>
              <c:f>'T2-T4 Mapas Riesgo (Auto)'!$B$6</c:f>
              <c:strCache>
                <c:ptCount val="1"/>
                <c:pt idx="0">
                  <c:v>R1c</c:v>
                </c:pt>
              </c:strCache>
            </c:strRef>
          </c:tx>
          <c:spPr>
            <a:solidFill>
              <a:schemeClr val="accent1">
                <a:shade val="78000"/>
                <a:alpha val="75000"/>
              </a:schemeClr>
            </a:solidFill>
            <a:ln>
              <a:noFill/>
            </a:ln>
            <a:effectLst/>
          </c:spPr>
          <c:invertIfNegative val="0"/>
          <c:dLbls>
            <c:dLbl>
              <c:idx val="0"/>
              <c:layout>
                <c:manualLayout>
                  <c:x val="-1.3050512529886628E-2"/>
                  <c:y val="-4.699947009947835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(Auto)'!$D$6</c:f>
              <c:numCache>
                <c:formatCode>General</c:formatCode>
                <c:ptCount val="1"/>
                <c:pt idx="0">
                  <c:v>3</c:v>
                </c:pt>
              </c:numCache>
            </c:numRef>
          </c:xVal>
          <c:yVal>
            <c:numRef>
              <c:f>'T2-T4 Mapas Riesgo (Auto)'!$C$6</c:f>
              <c:numCache>
                <c:formatCode>General</c:formatCode>
                <c:ptCount val="1"/>
                <c:pt idx="0">
                  <c:v>2</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1-F51E-431A-9DAA-49365C78E9D9}"/>
            </c:ext>
          </c:extLst>
        </c:ser>
        <c:ser>
          <c:idx val="9"/>
          <c:order val="9"/>
          <c:tx>
            <c:strRef>
              <c:f>'T2-T4 Mapas Riesgo (Auto)'!$B$8</c:f>
              <c:strCache>
                <c:ptCount val="1"/>
                <c:pt idx="0">
                  <c:v>R2b</c:v>
                </c:pt>
              </c:strCache>
            </c:strRef>
          </c:tx>
          <c:spPr>
            <a:solidFill>
              <a:schemeClr val="accent1">
                <a:shade val="83000"/>
                <a:alpha val="75000"/>
              </a:schemeClr>
            </a:solidFill>
            <a:ln>
              <a:noFill/>
            </a:ln>
            <a:effectLst/>
          </c:spPr>
          <c:invertIfNegative val="0"/>
          <c:dLbls>
            <c:dLbl>
              <c:idx val="0"/>
              <c:layout>
                <c:manualLayout>
                  <c:x val="0"/>
                  <c:y val="4.40620032182609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'[2]T4 Mapas Riesgo (Auto)'!#REF!</c:f>
              <c:strCache>
                <c:ptCount val="1"/>
                <c:pt idx="0">
                  <c:v>#¡REF!</c:v>
                </c:pt>
              </c:strCache>
            </c:strRef>
          </c:xVal>
          <c:yVal>
            <c:numRef>
              <c:f>'T2-T4 Mapas Riesgo (Auto)'!$C$8</c:f>
              <c:numCache>
                <c:formatCode>General</c:formatCode>
                <c:ptCount val="1"/>
                <c:pt idx="0">
                  <c:v>3</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3-F51E-431A-9DAA-49365C78E9D9}"/>
            </c:ext>
          </c:extLst>
        </c:ser>
        <c:ser>
          <c:idx val="10"/>
          <c:order val="10"/>
          <c:tx>
            <c:strRef>
              <c:f>'T2-T4 Mapas Riesgo (Auto)'!$B$10</c:f>
              <c:strCache>
                <c:ptCount val="1"/>
                <c:pt idx="0">
                  <c:v>R3a</c:v>
                </c:pt>
              </c:strCache>
            </c:strRef>
          </c:tx>
          <c:spPr>
            <a:solidFill>
              <a:schemeClr val="accent1">
                <a:shade val="89000"/>
                <a:alpha val="75000"/>
              </a:schemeClr>
            </a:solidFill>
            <a:ln>
              <a:noFill/>
            </a:ln>
            <a:effectLst/>
          </c:spPr>
          <c:invertIfNegative val="0"/>
          <c:dLbls>
            <c:dLbl>
              <c:idx val="0"/>
              <c:layout>
                <c:manualLayout>
                  <c:x val="-7.084563944795598E-2"/>
                  <c:y val="3.524960257460876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(Auto)'!$D$10</c:f>
              <c:numCache>
                <c:formatCode>General</c:formatCode>
                <c:ptCount val="1"/>
                <c:pt idx="0">
                  <c:v>4</c:v>
                </c:pt>
              </c:numCache>
            </c:numRef>
          </c:xVal>
          <c:yVal>
            <c:numRef>
              <c:f>'T2-T4 Mapas Riesgo (Auto)'!$C$10</c:f>
              <c:numCache>
                <c:formatCode>General</c:formatCode>
                <c:ptCount val="1"/>
                <c:pt idx="0">
                  <c:v>3</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5-F51E-431A-9DAA-49365C78E9D9}"/>
            </c:ext>
          </c:extLst>
        </c:ser>
        <c:ser>
          <c:idx val="11"/>
          <c:order val="11"/>
          <c:tx>
            <c:strRef>
              <c:f>'T2-T4 Mapas Riesgo (Auto)'!$B$11</c:f>
              <c:strCache>
                <c:ptCount val="1"/>
                <c:pt idx="0">
                  <c:v>R3b</c:v>
                </c:pt>
              </c:strCache>
            </c:strRef>
          </c:tx>
          <c:spPr>
            <a:solidFill>
              <a:schemeClr val="accent1">
                <a:shade val="94000"/>
                <a:alpha val="75000"/>
              </a:schemeClr>
            </a:solidFill>
            <a:ln>
              <a:noFill/>
            </a:ln>
            <a:effectLst/>
          </c:spPr>
          <c:invertIfNegative val="0"/>
          <c:dLbls>
            <c:dLbl>
              <c:idx val="0"/>
              <c:layout>
                <c:manualLayout>
                  <c:x val="-9.8811023440570189E-2"/>
                  <c:y val="5.874933762434783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(Auto)'!$D$11</c:f>
              <c:numCache>
                <c:formatCode>General</c:formatCode>
                <c:ptCount val="1"/>
                <c:pt idx="0">
                  <c:v>5</c:v>
                </c:pt>
              </c:numCache>
            </c:numRef>
          </c:xVal>
          <c:yVal>
            <c:numRef>
              <c:f>'T2-T4 Mapas Riesgo (Auto)'!$C$11</c:f>
              <c:numCache>
                <c:formatCode>General</c:formatCode>
                <c:ptCount val="1"/>
                <c:pt idx="0">
                  <c:v>2</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7-F51E-431A-9DAA-49365C78E9D9}"/>
            </c:ext>
          </c:extLst>
        </c:ser>
        <c:ser>
          <c:idx val="12"/>
          <c:order val="12"/>
          <c:tx>
            <c:strRef>
              <c:f>'T2-T4 Mapas Riesgo (Auto)'!$B$12</c:f>
              <c:strCache>
                <c:ptCount val="1"/>
                <c:pt idx="0">
                  <c:v>R3c</c:v>
                </c:pt>
              </c:strCache>
            </c:strRef>
          </c:tx>
          <c:spPr>
            <a:solidFill>
              <a:schemeClr val="accent1">
                <a:alpha val="75000"/>
              </a:schemeClr>
            </a:solidFill>
            <a:ln>
              <a:noFill/>
            </a:ln>
            <a:effectLst/>
          </c:spPr>
          <c:invertIfNegative val="0"/>
          <c:dLbls>
            <c:dLbl>
              <c:idx val="0"/>
              <c:layout>
                <c:manualLayout>
                  <c:x val="-0.10253974130625201"/>
                  <c:y val="2.9374668812173974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(Auto)'!$D$12</c:f>
              <c:numCache>
                <c:formatCode>General</c:formatCode>
                <c:ptCount val="1"/>
                <c:pt idx="0">
                  <c:v>3</c:v>
                </c:pt>
              </c:numCache>
            </c:numRef>
          </c:xVal>
          <c:yVal>
            <c:numRef>
              <c:f>'T2-T4 Mapas Riesgo (Auto)'!$C$12</c:f>
              <c:numCache>
                <c:formatCode>General</c:formatCode>
                <c:ptCount val="1"/>
                <c:pt idx="0">
                  <c:v>2</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9-F51E-431A-9DAA-49365C78E9D9}"/>
            </c:ext>
          </c:extLst>
        </c:ser>
        <c:ser>
          <c:idx val="13"/>
          <c:order val="13"/>
          <c:tx>
            <c:strRef>
              <c:f>'T2-T4 Mapas Riesgo (Auto)'!$B$14</c:f>
              <c:strCache>
                <c:ptCount val="1"/>
                <c:pt idx="0">
                  <c:v>R4b</c:v>
                </c:pt>
              </c:strCache>
            </c:strRef>
          </c:tx>
          <c:spPr>
            <a:solidFill>
              <a:schemeClr val="accent1">
                <a:tint val="95000"/>
                <a:alpha val="75000"/>
              </a:schemeClr>
            </a:solidFill>
            <a:ln>
              <a:noFill/>
            </a:ln>
            <a:effectLst/>
          </c:spPr>
          <c:invertIfNegative val="0"/>
          <c:dLbls>
            <c:dLbl>
              <c:idx val="0"/>
              <c:layout>
                <c:manualLayout>
                  <c:x val="-0.10440410023909302"/>
                  <c:y val="-5.874933762434789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(Auto)'!$D$14</c:f>
              <c:numCache>
                <c:formatCode>General</c:formatCode>
                <c:ptCount val="1"/>
                <c:pt idx="0">
                  <c:v>0</c:v>
                </c:pt>
              </c:numCache>
            </c:numRef>
          </c:xVal>
          <c:yVal>
            <c:numRef>
              <c:f>'T2-T4 Mapas Riesgo (Auto)'!$C$14</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B-F51E-431A-9DAA-49365C78E9D9}"/>
            </c:ext>
          </c:extLst>
        </c:ser>
        <c:ser>
          <c:idx val="14"/>
          <c:order val="14"/>
          <c:tx>
            <c:strRef>
              <c:f>'T2-T4 Mapas Riesgo (Auto)'!$B$16</c:f>
              <c:strCache>
                <c:ptCount val="1"/>
                <c:pt idx="0">
                  <c:v>R5a</c:v>
                </c:pt>
              </c:strCache>
            </c:strRef>
          </c:tx>
          <c:spPr>
            <a:solidFill>
              <a:schemeClr val="accent1">
                <a:tint val="90000"/>
                <a:alpha val="75000"/>
              </a:schemeClr>
            </a:solidFill>
            <a:ln>
              <a:noFill/>
            </a:ln>
            <a:effectLst/>
          </c:spPr>
          <c:invertIfNegative val="0"/>
          <c:dLbls>
            <c:dLbl>
              <c:idx val="0"/>
              <c:layout>
                <c:manualLayout>
                  <c:x val="-5.7795126918069352E-2"/>
                  <c:y val="-6.168680450556528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(Auto)'!$D$16</c:f>
              <c:numCache>
                <c:formatCode>General</c:formatCode>
                <c:ptCount val="1"/>
                <c:pt idx="0">
                  <c:v>0</c:v>
                </c:pt>
              </c:numCache>
            </c:numRef>
          </c:xVal>
          <c:yVal>
            <c:numRef>
              <c:f>'T2-T4 Mapas Riesgo (Auto)'!$C$16</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D-F51E-431A-9DAA-49365C78E9D9}"/>
            </c:ext>
          </c:extLst>
        </c:ser>
        <c:ser>
          <c:idx val="15"/>
          <c:order val="15"/>
          <c:tx>
            <c:strRef>
              <c:f>'T2-T4 Mapas Riesgo (Auto)'!$B$18</c:f>
              <c:strCache>
                <c:ptCount val="1"/>
                <c:pt idx="0">
                  <c:v>R5c</c:v>
                </c:pt>
              </c:strCache>
            </c:strRef>
          </c:tx>
          <c:spPr>
            <a:solidFill>
              <a:schemeClr val="accent1">
                <a:tint val="84000"/>
                <a:alpha val="75000"/>
              </a:schemeClr>
            </a:solidFill>
            <a:ln>
              <a:noFill/>
            </a:ln>
            <a:effectLst/>
          </c:spPr>
          <c:invertIfNegative val="0"/>
          <c:dLbls>
            <c:dLbl>
              <c:idx val="0"/>
              <c:layout>
                <c:manualLayout>
                  <c:x val="1.6779230395568522E-2"/>
                  <c:y val="-4.699947009947835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(Auto)'!$D$18</c:f>
              <c:numCache>
                <c:formatCode>General</c:formatCode>
                <c:ptCount val="1"/>
                <c:pt idx="0">
                  <c:v>0</c:v>
                </c:pt>
              </c:numCache>
            </c:numRef>
          </c:xVal>
          <c:yVal>
            <c:numRef>
              <c:f>'T2-T4 Mapas Riesgo (Auto)'!$C$18</c:f>
              <c:numCache>
                <c:formatCode>General</c:formatCode>
                <c:ptCount val="1"/>
                <c:pt idx="0">
                  <c:v>0</c:v>
                </c:pt>
              </c:numCache>
            </c:numRef>
          </c:yVal>
          <c:bubbleSize>
            <c:numRef>
              <c:f>'[1]T4 Mapa Riesgo Inherente'!#REF!</c:f>
              <c:numCache>
                <c:formatCode>General</c:formatCode>
                <c:ptCount val="1"/>
                <c:pt idx="0">
                  <c:v>1</c:v>
                </c:pt>
              </c:numCache>
            </c:numRef>
          </c:bubbleSize>
          <c:bubble3D val="0"/>
          <c:extLst>
            <c:ext xmlns:c16="http://schemas.microsoft.com/office/drawing/2014/chart" uri="{C3380CC4-5D6E-409C-BE32-E72D297353CC}">
              <c16:uniqueId val="{0000001F-F51E-431A-9DAA-49365C78E9D9}"/>
            </c:ext>
          </c:extLst>
        </c:ser>
        <c:ser>
          <c:idx val="17"/>
          <c:order val="16"/>
          <c:tx>
            <c:strRef>
              <c:f>'T2-T4 Mapas Riesgo (Auto)'!$B$20</c:f>
              <c:strCache>
                <c:ptCount val="1"/>
                <c:pt idx="0">
                  <c:v>R6b</c:v>
                </c:pt>
              </c:strCache>
            </c:strRef>
          </c:tx>
          <c:spPr>
            <a:solidFill>
              <a:schemeClr val="accent1">
                <a:tint val="74000"/>
                <a:alpha val="75000"/>
              </a:schemeClr>
            </a:solidFill>
            <a:ln>
              <a:noFill/>
            </a:ln>
            <a:effectLst/>
          </c:spPr>
          <c:invertIfNegative val="0"/>
          <c:dLbls>
            <c:dLbl>
              <c:idx val="0"/>
              <c:layout>
                <c:manualLayout>
                  <c:x val="1.8643589328409333E-2"/>
                  <c:y val="1.468733440608698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0-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(Auto)'!$D$20</c:f>
              <c:numCache>
                <c:formatCode>General</c:formatCode>
                <c:ptCount val="1"/>
                <c:pt idx="0">
                  <c:v>0</c:v>
                </c:pt>
              </c:numCache>
            </c:numRef>
          </c:xVal>
          <c:yVal>
            <c:numRef>
              <c:f>'T2-T4 Mapas Riesgo (Auto)'!$C$20</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1-F51E-431A-9DAA-49365C78E9D9}"/>
            </c:ext>
          </c:extLst>
        </c:ser>
        <c:ser>
          <c:idx val="18"/>
          <c:order val="17"/>
          <c:tx>
            <c:strRef>
              <c:f>'T2-T4 Mapas Riesgo (Auto)'!$B$21</c:f>
              <c:strCache>
                <c:ptCount val="1"/>
                <c:pt idx="0">
                  <c:v>R6c</c:v>
                </c:pt>
              </c:strCache>
            </c:strRef>
          </c:tx>
          <c:spPr>
            <a:solidFill>
              <a:schemeClr val="accent1">
                <a:tint val="68000"/>
                <a:alpha val="75000"/>
              </a:schemeClr>
            </a:solidFill>
            <a:ln>
              <a:noFill/>
            </a:ln>
            <a:effectLst/>
          </c:spPr>
          <c:invertIfNegative val="0"/>
          <c:dLbls>
            <c:dLbl>
              <c:idx val="0"/>
              <c:layout>
                <c:manualLayout>
                  <c:x val="2.4236666126932309E-2"/>
                  <c:y val="6.756173826800013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2-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(Auto)'!$D$21</c:f>
              <c:numCache>
                <c:formatCode>General</c:formatCode>
                <c:ptCount val="1"/>
                <c:pt idx="0">
                  <c:v>0</c:v>
                </c:pt>
              </c:numCache>
            </c:numRef>
          </c:xVal>
          <c:yVal>
            <c:numRef>
              <c:f>'T2-T4 Mapas Riesgo (Auto)'!$C$21</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3-F51E-431A-9DAA-49365C78E9D9}"/>
            </c:ext>
          </c:extLst>
        </c:ser>
        <c:ser>
          <c:idx val="19"/>
          <c:order val="18"/>
          <c:tx>
            <c:strRef>
              <c:f>'T2-T4 Mapas Riesgo (Auto)'!$B$22</c:f>
              <c:strCache>
                <c:ptCount val="1"/>
                <c:pt idx="0">
                  <c:v>R7a</c:v>
                </c:pt>
              </c:strCache>
            </c:strRef>
          </c:tx>
          <c:spPr>
            <a:solidFill>
              <a:schemeClr val="accent1">
                <a:tint val="63000"/>
                <a:alpha val="75000"/>
              </a:schemeClr>
            </a:solidFill>
            <a:ln>
              <a:noFill/>
            </a:ln>
            <a:effectLst/>
          </c:spPr>
          <c:invertIfNegative val="0"/>
          <c:dLbls>
            <c:dLbl>
              <c:idx val="0"/>
              <c:layout>
                <c:manualLayout>
                  <c:x val="-2.0507948261250485E-2"/>
                  <c:y val="6.462427138678274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4-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(Auto)'!$D$22</c:f>
              <c:numCache>
                <c:formatCode>General</c:formatCode>
                <c:ptCount val="1"/>
                <c:pt idx="0">
                  <c:v>0</c:v>
                </c:pt>
              </c:numCache>
            </c:numRef>
          </c:xVal>
          <c:yVal>
            <c:numRef>
              <c:f>'T2-T4 Mapas Riesgo (Auto)'!$C$22</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5-F51E-431A-9DAA-49365C78E9D9}"/>
            </c:ext>
          </c:extLst>
        </c:ser>
        <c:ser>
          <c:idx val="20"/>
          <c:order val="19"/>
          <c:tx>
            <c:strRef>
              <c:f>'T2-T4 Mapas Riesgo (Auto)'!$B$23</c:f>
              <c:strCache>
                <c:ptCount val="1"/>
                <c:pt idx="0">
                  <c:v>R7b</c:v>
                </c:pt>
              </c:strCache>
            </c:strRef>
          </c:tx>
          <c:spPr>
            <a:solidFill>
              <a:schemeClr val="accent1">
                <a:tint val="57000"/>
                <a:alpha val="75000"/>
              </a:schemeClr>
            </a:solidFill>
            <a:ln>
              <a:noFill/>
            </a:ln>
            <a:effectLst/>
          </c:spPr>
          <c:invertIfNegative val="0"/>
          <c:dLbls>
            <c:dLbl>
              <c:idx val="0"/>
              <c:layout>
                <c:manualLayout>
                  <c:x val="-7.084563944795598E-2"/>
                  <c:y val="7.637413891165233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6-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(Auto)'!$D$23</c:f>
              <c:numCache>
                <c:formatCode>General</c:formatCode>
                <c:ptCount val="1"/>
                <c:pt idx="0">
                  <c:v>0</c:v>
                </c:pt>
              </c:numCache>
            </c:numRef>
          </c:xVal>
          <c:yVal>
            <c:numRef>
              <c:f>'T2-T4 Mapas Riesgo (Auto)'!$C$23</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7-F51E-431A-9DAA-49365C78E9D9}"/>
            </c:ext>
          </c:extLst>
        </c:ser>
        <c:ser>
          <c:idx val="21"/>
          <c:order val="20"/>
          <c:tx>
            <c:strRef>
              <c:f>'T2-T4 Mapas Riesgo (Auto)'!$B$24</c:f>
              <c:strCache>
                <c:ptCount val="1"/>
                <c:pt idx="0">
                  <c:v>R7c</c:v>
                </c:pt>
              </c:strCache>
            </c:strRef>
          </c:tx>
          <c:spPr>
            <a:solidFill>
              <a:schemeClr val="accent1">
                <a:tint val="52000"/>
                <a:alpha val="75000"/>
              </a:schemeClr>
            </a:solidFill>
            <a:ln>
              <a:noFill/>
            </a:ln>
            <a:effectLst/>
          </c:spPr>
          <c:invertIfNegative val="0"/>
          <c:dLbls>
            <c:dLbl>
              <c:idx val="0"/>
              <c:layout>
                <c:manualLayout>
                  <c:x val="-0.10440410023909302"/>
                  <c:y val="7.637413891165227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8-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(Auto)'!$D$24</c:f>
              <c:numCache>
                <c:formatCode>General</c:formatCode>
                <c:ptCount val="1"/>
                <c:pt idx="0">
                  <c:v>0</c:v>
                </c:pt>
              </c:numCache>
            </c:numRef>
          </c:xVal>
          <c:yVal>
            <c:numRef>
              <c:f>'T2-T4 Mapas Riesgo (Auto)'!$C$24</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9-F51E-431A-9DAA-49365C78E9D9}"/>
            </c:ext>
          </c:extLst>
        </c:ser>
        <c:ser>
          <c:idx val="22"/>
          <c:order val="21"/>
          <c:tx>
            <c:strRef>
              <c:f>'T2-T4 Mapas Riesgo (Auto)'!$B$25</c:f>
              <c:strCache>
                <c:ptCount val="1"/>
                <c:pt idx="0">
                  <c:v>R8a</c:v>
                </c:pt>
              </c:strCache>
            </c:strRef>
          </c:tx>
          <c:spPr>
            <a:solidFill>
              <a:schemeClr val="accent1">
                <a:tint val="47000"/>
                <a:alpha val="75000"/>
              </a:schemeClr>
            </a:solidFill>
            <a:ln>
              <a:noFill/>
            </a:ln>
            <a:effectLst/>
          </c:spPr>
          <c:invertIfNegative val="0"/>
          <c:dLbls>
            <c:dLbl>
              <c:idx val="0"/>
              <c:layout>
                <c:manualLayout>
                  <c:x val="-0.11186153597045695"/>
                  <c:y val="4.4062003218260905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A-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(Auto)'!$D$25</c:f>
              <c:numCache>
                <c:formatCode>General</c:formatCode>
                <c:ptCount val="1"/>
                <c:pt idx="0">
                  <c:v>4</c:v>
                </c:pt>
              </c:numCache>
            </c:numRef>
          </c:xVal>
          <c:yVal>
            <c:numRef>
              <c:f>'T2-T4 Mapas Riesgo (Auto)'!$C$25</c:f>
              <c:numCache>
                <c:formatCode>General</c:formatCode>
                <c:ptCount val="1"/>
                <c:pt idx="0">
                  <c:v>4</c:v>
                </c:pt>
              </c:numCache>
            </c:numRef>
          </c:yVal>
          <c:bubbleSize>
            <c:numLit>
              <c:formatCode>General</c:formatCode>
              <c:ptCount val="1"/>
              <c:pt idx="0">
                <c:v>1</c:v>
              </c:pt>
            </c:numLit>
          </c:bubbleSize>
          <c:bubble3D val="0"/>
          <c:extLst>
            <c:ext xmlns:c16="http://schemas.microsoft.com/office/drawing/2014/chart" uri="{C3380CC4-5D6E-409C-BE32-E72D297353CC}">
              <c16:uniqueId val="{0000002B-F51E-431A-9DAA-49365C78E9D9}"/>
            </c:ext>
          </c:extLst>
        </c:ser>
        <c:ser>
          <c:idx val="23"/>
          <c:order val="22"/>
          <c:tx>
            <c:strRef>
              <c:f>'T2-T4 Mapas Riesgo (Auto)'!$B$26</c:f>
              <c:strCache>
                <c:ptCount val="1"/>
                <c:pt idx="0">
                  <c:v>R8b</c:v>
                </c:pt>
              </c:strCache>
            </c:strRef>
          </c:tx>
          <c:spPr>
            <a:solidFill>
              <a:schemeClr val="accent1">
                <a:tint val="41000"/>
                <a:alpha val="75000"/>
              </a:schemeClr>
            </a:solidFill>
            <a:ln>
              <a:noFill/>
            </a:ln>
            <a:effectLst/>
          </c:spPr>
          <c:invertIfNegative val="0"/>
          <c:dLbls>
            <c:dLbl>
              <c:idx val="0"/>
              <c:layout>
                <c:manualLayout>
                  <c:x val="-0.11745461276897966"/>
                  <c:y val="8.8124006436521643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C-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(Auto)'!$D$26</c:f>
              <c:numCache>
                <c:formatCode>General</c:formatCode>
                <c:ptCount val="1"/>
                <c:pt idx="0">
                  <c:v>0</c:v>
                </c:pt>
              </c:numCache>
            </c:numRef>
          </c:xVal>
          <c:yVal>
            <c:numRef>
              <c:f>'T2-T4 Mapas Riesgo (Auto)'!$C$26</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D-F51E-431A-9DAA-49365C78E9D9}"/>
            </c:ext>
          </c:extLst>
        </c:ser>
        <c:ser>
          <c:idx val="24"/>
          <c:order val="23"/>
          <c:tx>
            <c:strRef>
              <c:f>'T2-T4 Mapas Riesgo (Auto)'!$B$27</c:f>
              <c:strCache>
                <c:ptCount val="1"/>
                <c:pt idx="0">
                  <c:v>R8c</c:v>
                </c:pt>
              </c:strCache>
            </c:strRef>
          </c:tx>
          <c:spPr>
            <a:solidFill>
              <a:schemeClr val="accent1">
                <a:tint val="36000"/>
                <a:alpha val="75000"/>
              </a:schemeClr>
            </a:solidFill>
            <a:ln>
              <a:noFill/>
            </a:ln>
            <a:effectLst/>
          </c:spPr>
          <c:invertIfNegative val="0"/>
          <c:dLbls>
            <c:dLbl>
              <c:idx val="0"/>
              <c:layout>
                <c:manualLayout>
                  <c:x val="-0.1155902538361387"/>
                  <c:y val="-6.462427138678279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E-F51E-431A-9DAA-49365C78E9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'T2-T4 Mapas Riesgo (Auto)'!$D$27</c:f>
              <c:numCache>
                <c:formatCode>General</c:formatCode>
                <c:ptCount val="1"/>
                <c:pt idx="0">
                  <c:v>0</c:v>
                </c:pt>
              </c:numCache>
            </c:numRef>
          </c:xVal>
          <c:yVal>
            <c:numRef>
              <c:f>'T2-T4 Mapas Riesgo (Auto)'!$C$27</c:f>
              <c:numCache>
                <c:formatCode>General</c:formatCode>
                <c:ptCount val="1"/>
                <c:pt idx="0">
                  <c:v>0</c:v>
                </c:pt>
              </c:numCache>
            </c:numRef>
          </c:yVal>
          <c:bubbleSize>
            <c:numLit>
              <c:formatCode>General</c:formatCode>
              <c:ptCount val="1"/>
              <c:pt idx="0">
                <c:v>1</c:v>
              </c:pt>
            </c:numLit>
          </c:bubbleSize>
          <c:bubble3D val="0"/>
          <c:extLst>
            <c:ext xmlns:c16="http://schemas.microsoft.com/office/drawing/2014/chart" uri="{C3380CC4-5D6E-409C-BE32-E72D297353CC}">
              <c16:uniqueId val="{0000002F-F51E-431A-9DAA-49365C78E9D9}"/>
            </c:ext>
          </c:extLst>
        </c:ser>
        <c:ser>
          <c:idx val="16"/>
          <c:order val="24"/>
          <c:tx>
            <c:strRef>
              <c:f>'T2-T4 Mapas Riesgo (Auto)'!$J$1</c:f>
              <c:strCache>
                <c:ptCount val="1"/>
              </c:strCache>
            </c:strRef>
          </c:tx>
          <c:spPr>
            <a:solidFill>
              <a:schemeClr val="accent1">
                <a:tint val="79000"/>
                <a:alpha val="75000"/>
              </a:schemeClr>
            </a:solidFill>
            <a:ln w="25400">
              <a:noFill/>
            </a:ln>
            <a:effectLst/>
          </c:spPr>
          <c:invertIfNegative val="0"/>
          <c:dPt>
            <c:idx val="0"/>
            <c:invertIfNegative val="0"/>
            <c:bubble3D val="0"/>
            <c:spPr>
              <a:noFill/>
              <a:ln w="25400">
                <a:noFill/>
              </a:ln>
              <a:effectLst/>
            </c:spPr>
            <c:extLst>
              <c:ext xmlns:c16="http://schemas.microsoft.com/office/drawing/2014/chart" uri="{C3380CC4-5D6E-409C-BE32-E72D297353CC}">
                <c16:uniqueId val="{00000032-F51E-431A-9DAA-49365C78E9D9}"/>
              </c:ext>
            </c:extLst>
          </c:dPt>
          <c:xVal>
            <c:numRef>
              <c:f>'T2-T4 Mapas Riesgo (Auto)'!$L$1</c:f>
              <c:numCache>
                <c:formatCode>General</c:formatCode>
                <c:ptCount val="1"/>
                <c:pt idx="0">
                  <c:v>5</c:v>
                </c:pt>
              </c:numCache>
            </c:numRef>
          </c:xVal>
          <c:yVal>
            <c:numRef>
              <c:f>'T2-T4 Mapas Riesgo (Auto)'!$L$1</c:f>
              <c:numCache>
                <c:formatCode>General</c:formatCode>
                <c:ptCount val="1"/>
                <c:pt idx="0">
                  <c:v>5</c:v>
                </c:pt>
              </c:numCache>
            </c:numRef>
          </c:yVal>
          <c:bubbleSize>
            <c:numLit>
              <c:formatCode>General</c:formatCode>
              <c:ptCount val="1"/>
              <c:pt idx="0">
                <c:v>1</c:v>
              </c:pt>
            </c:numLit>
          </c:bubbleSize>
          <c:bubble3D val="0"/>
          <c:extLst>
            <c:ext xmlns:c16="http://schemas.microsoft.com/office/drawing/2014/chart" uri="{C3380CC4-5D6E-409C-BE32-E72D297353CC}">
              <c16:uniqueId val="{00000031-F51E-431A-9DAA-49365C78E9D9}"/>
            </c:ext>
          </c:extLst>
        </c:ser>
        <c:dLbls>
          <c:showLegendKey val="0"/>
          <c:showVal val="0"/>
          <c:showCatName val="0"/>
          <c:showSerName val="0"/>
          <c:showPercent val="0"/>
          <c:showBubbleSize val="0"/>
        </c:dLbls>
        <c:bubbleScale val="20"/>
        <c:showNegBubbles val="0"/>
        <c:sizeRepresents val="w"/>
        <c:axId val="509646991"/>
        <c:axId val="699377039"/>
      </c:bubbleChart>
      <c:valAx>
        <c:axId val="509646991"/>
        <c:scaling>
          <c:orientation val="minMax"/>
          <c:max val="5.5"/>
          <c:min val="0.5"/>
        </c:scaling>
        <c:delete val="1"/>
        <c:axPos val="b"/>
        <c:numFmt formatCode="General" sourceLinked="1"/>
        <c:majorTickMark val="out"/>
        <c:minorTickMark val="none"/>
        <c:tickLblPos val="nextTo"/>
        <c:crossAx val="699377039"/>
        <c:crossesAt val="0"/>
        <c:crossBetween val="midCat"/>
      </c:valAx>
      <c:valAx>
        <c:axId val="699377039"/>
        <c:scaling>
          <c:orientation val="minMax"/>
          <c:min val="0.5"/>
        </c:scaling>
        <c:delete val="1"/>
        <c:axPos val="l"/>
        <c:numFmt formatCode="General" sourceLinked="1"/>
        <c:majorTickMark val="out"/>
        <c:minorTickMark val="none"/>
        <c:tickLblPos val="nextTo"/>
        <c:crossAx val="509646991"/>
        <c:crosses val="autoZero"/>
        <c:crossBetween val="midCat"/>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solidFill>
        <a:sysClr val="windowText" lastClr="000000">
          <a:lumMod val="25000"/>
          <a:lumOff val="75000"/>
        </a:sys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9" Type="http://schemas.openxmlformats.org/officeDocument/2006/relationships/image" Target="../media/image20.png"/><Relationship Id="rId51" Type="http://schemas.openxmlformats.org/officeDocument/2006/relationships/customXml" Target="../ink/ink12.xml"/><Relationship Id="rId42" Type="http://schemas.openxmlformats.org/officeDocument/2006/relationships/image" Target="../media/image3.png"/><Relationship Id="rId47" Type="http://schemas.openxmlformats.org/officeDocument/2006/relationships/customXml" Target="../ink/ink8.xml"/><Relationship Id="rId50" Type="http://schemas.openxmlformats.org/officeDocument/2006/relationships/customXml" Target="../ink/ink11.xml"/><Relationship Id="rId55" Type="http://schemas.openxmlformats.org/officeDocument/2006/relationships/customXml" Target="../ink/ink16.xml"/><Relationship Id="rId46" Type="http://schemas.openxmlformats.org/officeDocument/2006/relationships/customXml" Target="../ink/ink7.xml"/><Relationship Id="rId59" Type="http://schemas.openxmlformats.org/officeDocument/2006/relationships/customXml" Target="../ink/ink20.xml"/><Relationship Id="rId41" Type="http://schemas.openxmlformats.org/officeDocument/2006/relationships/customXml" Target="../ink/ink3.xml"/><Relationship Id="rId54" Type="http://schemas.openxmlformats.org/officeDocument/2006/relationships/customXml" Target="../ink/ink15.xml"/><Relationship Id="rId62" Type="http://schemas.openxmlformats.org/officeDocument/2006/relationships/customXml" Target="../ink/ink23.xml"/><Relationship Id="rId1" Type="http://schemas.openxmlformats.org/officeDocument/2006/relationships/customXml" Target="../ink/ink1.xml"/><Relationship Id="rId40" Type="http://schemas.openxmlformats.org/officeDocument/2006/relationships/customXml" Target="../ink/ink2.xml"/><Relationship Id="rId45" Type="http://schemas.openxmlformats.org/officeDocument/2006/relationships/customXml" Target="../ink/ink6.xml"/><Relationship Id="rId53" Type="http://schemas.openxmlformats.org/officeDocument/2006/relationships/customXml" Target="../ink/ink14.xml"/><Relationship Id="rId58" Type="http://schemas.openxmlformats.org/officeDocument/2006/relationships/customXml" Target="../ink/ink19.xml"/><Relationship Id="rId49" Type="http://schemas.openxmlformats.org/officeDocument/2006/relationships/customXml" Target="../ink/ink10.xml"/><Relationship Id="rId57" Type="http://schemas.openxmlformats.org/officeDocument/2006/relationships/customXml" Target="../ink/ink18.xml"/><Relationship Id="rId61" Type="http://schemas.openxmlformats.org/officeDocument/2006/relationships/customXml" Target="../ink/ink22.xml"/><Relationship Id="rId44" Type="http://schemas.openxmlformats.org/officeDocument/2006/relationships/customXml" Target="../ink/ink5.xml"/><Relationship Id="rId52" Type="http://schemas.openxmlformats.org/officeDocument/2006/relationships/customXml" Target="../ink/ink13.xml"/><Relationship Id="rId60" Type="http://schemas.openxmlformats.org/officeDocument/2006/relationships/customXml" Target="../ink/ink21.xml"/><Relationship Id="rId43" Type="http://schemas.openxmlformats.org/officeDocument/2006/relationships/customXml" Target="../ink/ink4.xml"/><Relationship Id="rId48" Type="http://schemas.openxmlformats.org/officeDocument/2006/relationships/customXml" Target="../ink/ink9.xml"/><Relationship Id="rId56" Type="http://schemas.openxmlformats.org/officeDocument/2006/relationships/customXml" Target="../ink/ink1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0</xdr:row>
      <xdr:rowOff>158750</xdr:rowOff>
    </xdr:from>
    <xdr:to>
      <xdr:col>2</xdr:col>
      <xdr:colOff>1761490</xdr:colOff>
      <xdr:row>3</xdr:row>
      <xdr:rowOff>163195</xdr:rowOff>
    </xdr:to>
    <xdr:pic>
      <xdr:nvPicPr>
        <xdr:cNvPr id="2" name="2 Imagen" descr="Esc. Ingeniería-08.jpg">
          <a:extLst>
            <a:ext uri="{FF2B5EF4-FFF2-40B4-BE49-F238E27FC236}">
              <a16:creationId xmlns:a16="http://schemas.microsoft.com/office/drawing/2014/main" id="{E3083701-AEEC-48D4-8115-6CCA28F64C88}"/>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9400" y="158750"/>
          <a:ext cx="1710690" cy="553085"/>
        </a:xfrm>
        <a:prstGeom prst="rect">
          <a:avLst/>
        </a:prstGeom>
      </xdr:spPr>
    </xdr:pic>
    <xdr:clientData/>
  </xdr:twoCellAnchor>
  <xdr:twoCellAnchor editAs="oneCell">
    <xdr:from>
      <xdr:col>4</xdr:col>
      <xdr:colOff>745436</xdr:colOff>
      <xdr:row>0</xdr:row>
      <xdr:rowOff>176186</xdr:rowOff>
    </xdr:from>
    <xdr:to>
      <xdr:col>5</xdr:col>
      <xdr:colOff>982650</xdr:colOff>
      <xdr:row>4</xdr:row>
      <xdr:rowOff>1658</xdr:rowOff>
    </xdr:to>
    <xdr:pic>
      <xdr:nvPicPr>
        <xdr:cNvPr id="3" name="Imagen 2">
          <a:extLst>
            <a:ext uri="{FF2B5EF4-FFF2-40B4-BE49-F238E27FC236}">
              <a16:creationId xmlns:a16="http://schemas.microsoft.com/office/drawing/2014/main" id="{C6098349-C0F1-4245-8A3A-583F02DE11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328" t="29701" r="721" b="-1389"/>
        <a:stretch/>
      </xdr:blipFill>
      <xdr:spPr>
        <a:xfrm>
          <a:off x="4768796" y="176186"/>
          <a:ext cx="1121134" cy="556992"/>
        </a:xfrm>
        <a:prstGeom prst="rect">
          <a:avLst/>
        </a:prstGeom>
      </xdr:spPr>
    </xdr:pic>
    <xdr:clientData/>
  </xdr:twoCellAnchor>
  <xdr:twoCellAnchor>
    <xdr:from>
      <xdr:col>4</xdr:col>
      <xdr:colOff>289560</xdr:colOff>
      <xdr:row>5</xdr:row>
      <xdr:rowOff>7620</xdr:rowOff>
    </xdr:from>
    <xdr:to>
      <xdr:col>7</xdr:col>
      <xdr:colOff>182218</xdr:colOff>
      <xdr:row>7</xdr:row>
      <xdr:rowOff>121920</xdr:rowOff>
    </xdr:to>
    <xdr:sp macro="" textlink="">
      <xdr:nvSpPr>
        <xdr:cNvPr id="4" name="2 Marcador de fecha">
          <a:extLst>
            <a:ext uri="{FF2B5EF4-FFF2-40B4-BE49-F238E27FC236}">
              <a16:creationId xmlns:a16="http://schemas.microsoft.com/office/drawing/2014/main" id="{83695D60-5457-46DC-8E98-34958CC1B20E}"/>
            </a:ext>
          </a:extLst>
        </xdr:cNvPr>
        <xdr:cNvSpPr>
          <a:spLocks noGrp="1"/>
        </xdr:cNvSpPr>
      </xdr:nvSpPr>
      <xdr:spPr>
        <a:xfrm>
          <a:off x="4312920" y="922020"/>
          <a:ext cx="3573118" cy="548640"/>
        </a:xfrm>
        <a:prstGeom prst="rect">
          <a:avLst/>
        </a:prstGeom>
      </xdr:spPr>
      <xdr:txBody>
        <a:bodyPr vert="horz" wrap="square" lIns="91440" tIns="45720" rIns="91440" bIns="45720" rtlCol="0"/>
        <a:lstStyle/>
        <a:p>
          <a:pPr algn="r">
            <a:spcAft>
              <a:spcPts val="0"/>
            </a:spcAft>
          </a:pPr>
          <a:r>
            <a:rPr lang="es-CL" sz="1100" kern="1200">
              <a:solidFill>
                <a:srgbClr val="000000"/>
              </a:solidFill>
              <a:effectLst/>
              <a:latin typeface="+mn-lt"/>
              <a:ea typeface="Times New Roman"/>
              <a:cs typeface="Times New Roman"/>
            </a:rPr>
            <a:t>Diplomado en Dirección y Administración</a:t>
          </a:r>
          <a:r>
            <a:rPr lang="es-CL" sz="1100" kern="1200" baseline="0">
              <a:solidFill>
                <a:srgbClr val="000000"/>
              </a:solidFill>
              <a:effectLst/>
              <a:latin typeface="+mn-lt"/>
              <a:ea typeface="Times New Roman"/>
              <a:cs typeface="Times New Roman"/>
            </a:rPr>
            <a:t> </a:t>
          </a:r>
          <a:r>
            <a:rPr lang="es-CL" sz="1100" kern="1200">
              <a:solidFill>
                <a:srgbClr val="000000"/>
              </a:solidFill>
              <a:effectLst/>
              <a:latin typeface="+mn-lt"/>
              <a:ea typeface="Times New Roman"/>
              <a:cs typeface="Times New Roman"/>
            </a:rPr>
            <a:t>de Proyectos</a:t>
          </a:r>
          <a:endParaRPr lang="es-CL" sz="1100">
            <a:effectLst/>
            <a:latin typeface="+mn-lt"/>
            <a:ea typeface="Times New Roman"/>
          </a:endParaRPr>
        </a:p>
        <a:p>
          <a:pPr algn="r">
            <a:spcAft>
              <a:spcPts val="0"/>
            </a:spcAft>
          </a:pPr>
          <a:r>
            <a:rPr lang="es-CL" sz="1100" kern="1200">
              <a:solidFill>
                <a:srgbClr val="000000"/>
              </a:solidFill>
              <a:effectLst/>
              <a:latin typeface="+mn-lt"/>
              <a:ea typeface="Times New Roman"/>
              <a:cs typeface="Times New Roman"/>
            </a:rPr>
            <a:t>Módulo 5.1: Gestión de Riesgos en Proyectos</a:t>
          </a:r>
          <a:endParaRPr lang="es-CL" sz="1100">
            <a:effectLst/>
            <a:latin typeface="+mn-lt"/>
            <a:ea typeface="Times New Roman"/>
          </a:endParaRPr>
        </a:p>
      </xdr:txBody>
    </xdr:sp>
    <xdr:clientData/>
  </xdr:twoCellAnchor>
  <xdr:oneCellAnchor>
    <xdr:from>
      <xdr:col>2</xdr:col>
      <xdr:colOff>1196341</xdr:colOff>
      <xdr:row>10</xdr:row>
      <xdr:rowOff>53341</xdr:rowOff>
    </xdr:from>
    <xdr:ext cx="3939027" cy="468013"/>
    <xdr:sp macro="" textlink="">
      <xdr:nvSpPr>
        <xdr:cNvPr id="5" name="CuadroTexto 4">
          <a:extLst>
            <a:ext uri="{FF2B5EF4-FFF2-40B4-BE49-F238E27FC236}">
              <a16:creationId xmlns:a16="http://schemas.microsoft.com/office/drawing/2014/main" id="{663F67F0-650F-E214-5A05-E8B3FF5C1D0F}"/>
            </a:ext>
          </a:extLst>
        </xdr:cNvPr>
        <xdr:cNvSpPr txBox="1"/>
      </xdr:nvSpPr>
      <xdr:spPr>
        <a:xfrm rot="19013501">
          <a:off x="1424941" y="2034541"/>
          <a:ext cx="393902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2400" b="1">
              <a:solidFill>
                <a:srgbClr val="FF0000"/>
              </a:solidFill>
            </a:rPr>
            <a:t>Ejemplo de Matriz de Riesgos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9</xdr:row>
      <xdr:rowOff>228520</xdr:rowOff>
    </xdr:from>
    <xdr:to>
      <xdr:col>7</xdr:col>
      <xdr:colOff>0</xdr:colOff>
      <xdr:row>9</xdr:row>
      <xdr:rowOff>228880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0D934D65-EF20-414B-90AE-A097881A1A2C}"/>
                </a:ext>
              </a:extLst>
            </xdr14:cNvPr>
            <xdr14:cNvContentPartPr/>
          </xdr14:nvContentPartPr>
          <xdr14:nvPr macro=""/>
          <xdr14:xfrm>
            <a:off x="20408860" y="2158920"/>
            <a:ext cx="360" cy="360"/>
          </xdr14:xfrm>
        </xdr:contentPart>
      </mc:Choice>
      <mc:Fallback xmlns="">
        <xdr:pic>
          <xdr:nvPicPr>
            <xdr:cNvPr id="22" name="Entrada de lápiz 21">
              <a:extLst>
                <a:ext uri="{FF2B5EF4-FFF2-40B4-BE49-F238E27FC236}">
                  <a16:creationId xmlns:a16="http://schemas.microsoft.com/office/drawing/2014/main" id="{5C3DDCF3-9C6C-4473-85AE-06840D15ABF8}"/>
                </a:ext>
              </a:extLst>
            </xdr:cNvPr>
            <xdr:cNvPicPr/>
          </xdr:nvPicPr>
          <xdr:blipFill>
            <a:blip xmlns:r="http://schemas.openxmlformats.org/officeDocument/2006/relationships" r:embed="rId39"/>
            <a:stretch>
              <a:fillRect/>
            </a:stretch>
          </xdr:blipFill>
          <xdr:spPr>
            <a:xfrm>
              <a:off x="20390860" y="2122920"/>
              <a:ext cx="36000" cy="72000"/>
            </a:xfrm>
            <a:prstGeom prst="rect">
              <a:avLst/>
            </a:prstGeom>
          </xdr:spPr>
        </xdr:pic>
      </mc:Fallback>
    </mc:AlternateContent>
    <xdr:clientData/>
  </xdr:twoCellAnchor>
  <xdr:twoCellAnchor editAs="oneCell">
    <xdr:from>
      <xdr:col>2</xdr:col>
      <xdr:colOff>851040</xdr:colOff>
      <xdr:row>10</xdr:row>
      <xdr:rowOff>0</xdr:rowOff>
    </xdr:from>
    <xdr:to>
      <xdr:col>2</xdr:col>
      <xdr:colOff>851400</xdr:colOff>
      <xdr:row>10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 name="Entrada de lápiz 2">
              <a:extLst>
                <a:ext uri="{FF2B5EF4-FFF2-40B4-BE49-F238E27FC236}">
                  <a16:creationId xmlns:a16="http://schemas.microsoft.com/office/drawing/2014/main" id="{5C53C3D4-15AA-4A50-9844-AE1E3B174CD2}"/>
                </a:ext>
              </a:extLst>
            </xdr14:cNvPr>
            <xdr14:cNvContentPartPr/>
          </xdr14:nvContentPartPr>
          <xdr14:nvPr macro=""/>
          <xdr14:xfrm>
            <a:off x="2222640" y="6235880"/>
            <a:ext cx="360" cy="360"/>
          </xdr14:xfrm>
        </xdr:contentPart>
      </mc:Choice>
      <mc:Fallback xmlns="">
        <xdr:pic>
          <xdr:nvPicPr>
            <xdr:cNvPr id="30" name="Entrada de lápiz 29">
              <a:extLst>
                <a:ext uri="{FF2B5EF4-FFF2-40B4-BE49-F238E27FC236}">
                  <a16:creationId xmlns:a16="http://schemas.microsoft.com/office/drawing/2014/main" id="{46661453-A118-4519-A25D-EA2FB3F29851}"/>
                </a:ext>
              </a:extLst>
            </xdr:cNvPr>
            <xdr:cNvPicPr/>
          </xdr:nvPicPr>
          <xdr:blipFill>
            <a:blip xmlns:r="http://schemas.openxmlformats.org/officeDocument/2006/relationships" r:embed="rId39"/>
            <a:stretch>
              <a:fillRect/>
            </a:stretch>
          </xdr:blipFill>
          <xdr:spPr>
            <a:xfrm>
              <a:off x="2204640" y="6199880"/>
              <a:ext cx="36000" cy="72000"/>
            </a:xfrm>
            <a:prstGeom prst="rect">
              <a:avLst/>
            </a:prstGeom>
          </xdr:spPr>
        </xdr:pic>
      </mc:Fallback>
    </mc:AlternateContent>
    <xdr:clientData/>
  </xdr:twoCellAnchor>
  <xdr:twoCellAnchor editAs="oneCell">
    <xdr:from>
      <xdr:col>7</xdr:col>
      <xdr:colOff>0</xdr:colOff>
      <xdr:row>18</xdr:row>
      <xdr:rowOff>0</xdr:rowOff>
    </xdr:from>
    <xdr:to>
      <xdr:col>7</xdr:col>
      <xdr:colOff>0</xdr:colOff>
      <xdr:row>18</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8" name="Entrada de lápiz 7">
              <a:extLst>
                <a:ext uri="{FF2B5EF4-FFF2-40B4-BE49-F238E27FC236}">
                  <a16:creationId xmlns:a16="http://schemas.microsoft.com/office/drawing/2014/main" id="{1AA7527A-F0F7-49F8-A5D4-8A7EB5285C69}"/>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twoCellAnchor>
  <xdr:oneCellAnchor>
    <xdr:from>
      <xdr:col>2</xdr:col>
      <xdr:colOff>851040</xdr:colOff>
      <xdr:row>16</xdr:row>
      <xdr:rowOff>0</xdr:rowOff>
    </xdr:from>
    <xdr:ext cx="360" cy="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 name="Entrada de lápiz 3">
              <a:extLst>
                <a:ext uri="{FF2B5EF4-FFF2-40B4-BE49-F238E27FC236}">
                  <a16:creationId xmlns:a16="http://schemas.microsoft.com/office/drawing/2014/main" id="{E4C5F648-367F-4E57-917A-DA092D3301C2}"/>
                </a:ext>
              </a:extLst>
            </xdr14:cNvPr>
            <xdr14:cNvContentPartPr/>
          </xdr14:nvContentPartPr>
          <xdr14:nvPr macro=""/>
          <xdr14:xfrm>
            <a:off x="2222640" y="6235880"/>
            <a:ext cx="360" cy="360"/>
          </xdr14:xfrm>
        </xdr:contentPart>
      </mc:Choice>
      <mc:Fallback xmlns="">
        <xdr:pic>
          <xdr:nvPicPr>
            <xdr:cNvPr id="30" name="Entrada de lápiz 29">
              <a:extLst>
                <a:ext uri="{FF2B5EF4-FFF2-40B4-BE49-F238E27FC236}">
                  <a16:creationId xmlns:a16="http://schemas.microsoft.com/office/drawing/2014/main" id="{46661453-A118-4519-A25D-EA2FB3F29851}"/>
                </a:ext>
              </a:extLst>
            </xdr:cNvPr>
            <xdr:cNvPicPr/>
          </xdr:nvPicPr>
          <xdr:blipFill>
            <a:blip xmlns:r="http://schemas.openxmlformats.org/officeDocument/2006/relationships" r:embed="rId39"/>
            <a:stretch>
              <a:fillRect/>
            </a:stretch>
          </xdr:blipFill>
          <xdr:spPr>
            <a:xfrm>
              <a:off x="2204640" y="6199880"/>
              <a:ext cx="36000" cy="72000"/>
            </a:xfrm>
            <a:prstGeom prst="rect">
              <a:avLst/>
            </a:prstGeom>
          </xdr:spPr>
        </xdr:pic>
      </mc:Fallback>
    </mc:AlternateContent>
    <xdr:clientData/>
  </xdr:oneCellAnchor>
  <xdr:oneCellAnchor>
    <xdr:from>
      <xdr:col>19</xdr:col>
      <xdr:colOff>1534635</xdr:colOff>
      <xdr:row>24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5" name="Entrada de lápiz 4">
              <a:extLst>
                <a:ext uri="{FF2B5EF4-FFF2-40B4-BE49-F238E27FC236}">
                  <a16:creationId xmlns:a16="http://schemas.microsoft.com/office/drawing/2014/main" id="{D57ED83C-DB93-443D-A889-ADEE6B663458}"/>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6" name="Entrada de lápiz 5">
              <a:extLst>
                <a:ext uri="{FF2B5EF4-FFF2-40B4-BE49-F238E27FC236}">
                  <a16:creationId xmlns:a16="http://schemas.microsoft.com/office/drawing/2014/main" id="{2074A101-1CE3-4619-A6CD-D3CD784F596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7" name="Entrada de lápiz 6">
              <a:extLst>
                <a:ext uri="{FF2B5EF4-FFF2-40B4-BE49-F238E27FC236}">
                  <a16:creationId xmlns:a16="http://schemas.microsoft.com/office/drawing/2014/main" id="{0A5F0CC0-477D-4405-982B-7BE65F0C1A7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9" name="Entrada de lápiz 8">
              <a:extLst>
                <a:ext uri="{FF2B5EF4-FFF2-40B4-BE49-F238E27FC236}">
                  <a16:creationId xmlns:a16="http://schemas.microsoft.com/office/drawing/2014/main" id="{5F82BA5B-266A-4F92-938D-E236A62EB31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10" name="Entrada de lápiz 9">
              <a:extLst>
                <a:ext uri="{FF2B5EF4-FFF2-40B4-BE49-F238E27FC236}">
                  <a16:creationId xmlns:a16="http://schemas.microsoft.com/office/drawing/2014/main" id="{723E52B7-FF2A-45B6-9B62-4AFE8E3D3FC5}"/>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1" name="Entrada de lápiz 10">
              <a:extLst>
                <a:ext uri="{FF2B5EF4-FFF2-40B4-BE49-F238E27FC236}">
                  <a16:creationId xmlns:a16="http://schemas.microsoft.com/office/drawing/2014/main" id="{07E18DC6-D970-44EE-9822-CA804F969259}"/>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12" name="Entrada de lápiz 11">
              <a:extLst>
                <a:ext uri="{FF2B5EF4-FFF2-40B4-BE49-F238E27FC236}">
                  <a16:creationId xmlns:a16="http://schemas.microsoft.com/office/drawing/2014/main" id="{8E8539E2-2373-43AA-88B4-03B1D9CD88AC}"/>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3" name="Entrada de lápiz 12">
              <a:extLst>
                <a:ext uri="{FF2B5EF4-FFF2-40B4-BE49-F238E27FC236}">
                  <a16:creationId xmlns:a16="http://schemas.microsoft.com/office/drawing/2014/main" id="{E14F6F46-E35C-43FD-8CB9-5F2B298F7D2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14" name="Entrada de lápiz 13">
              <a:extLst>
                <a:ext uri="{FF2B5EF4-FFF2-40B4-BE49-F238E27FC236}">
                  <a16:creationId xmlns:a16="http://schemas.microsoft.com/office/drawing/2014/main" id="{3C2B9376-5C8D-453C-A2FF-9D4D8FC5D888}"/>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 name="Entrada de lápiz 14">
              <a:extLst>
                <a:ext uri="{FF2B5EF4-FFF2-40B4-BE49-F238E27FC236}">
                  <a16:creationId xmlns:a16="http://schemas.microsoft.com/office/drawing/2014/main" id="{F1170B19-9AD0-4241-AE3D-A19879DA01AF}"/>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16" name="Entrada de lápiz 15">
              <a:extLst>
                <a:ext uri="{FF2B5EF4-FFF2-40B4-BE49-F238E27FC236}">
                  <a16:creationId xmlns:a16="http://schemas.microsoft.com/office/drawing/2014/main" id="{096F80BC-B018-4000-AC99-670DDA28CB6A}"/>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7" name="Entrada de lápiz 16">
              <a:extLst>
                <a:ext uri="{FF2B5EF4-FFF2-40B4-BE49-F238E27FC236}">
                  <a16:creationId xmlns:a16="http://schemas.microsoft.com/office/drawing/2014/main" id="{39B39D2A-927A-4026-844B-6199EA762B74}"/>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36</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8" name="Entrada de lápiz 17">
              <a:extLst>
                <a:ext uri="{FF2B5EF4-FFF2-40B4-BE49-F238E27FC236}">
                  <a16:creationId xmlns:a16="http://schemas.microsoft.com/office/drawing/2014/main" id="{6E76B420-75B1-4036-BEA6-659A168FDAE1}"/>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9" name="Entrada de lápiz 18">
              <a:extLst>
                <a:ext uri="{FF2B5EF4-FFF2-40B4-BE49-F238E27FC236}">
                  <a16:creationId xmlns:a16="http://schemas.microsoft.com/office/drawing/2014/main" id="{0F2C18FD-8B3A-4E05-ABA8-684E24E8F317}"/>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20" name="Entrada de lápiz 19">
              <a:extLst>
                <a:ext uri="{FF2B5EF4-FFF2-40B4-BE49-F238E27FC236}">
                  <a16:creationId xmlns:a16="http://schemas.microsoft.com/office/drawing/2014/main" id="{0D720C39-8BF3-4F6B-BD25-EA19AE6CA662}"/>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1" name="Entrada de lápiz 20">
              <a:extLst>
                <a:ext uri="{FF2B5EF4-FFF2-40B4-BE49-F238E27FC236}">
                  <a16:creationId xmlns:a16="http://schemas.microsoft.com/office/drawing/2014/main" id="{FF5B480E-BF30-4219-A7C9-BAAF423914C6}"/>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48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22" name="Entrada de lápiz 21">
              <a:extLst>
                <a:ext uri="{FF2B5EF4-FFF2-40B4-BE49-F238E27FC236}">
                  <a16:creationId xmlns:a16="http://schemas.microsoft.com/office/drawing/2014/main" id="{CEFDB5E7-21D7-4521-9CE7-F089EAA531B6}"/>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23" name="Entrada de lápiz 22">
              <a:extLst>
                <a:ext uri="{FF2B5EF4-FFF2-40B4-BE49-F238E27FC236}">
                  <a16:creationId xmlns:a16="http://schemas.microsoft.com/office/drawing/2014/main" id="{591D4A71-9F2A-4FB2-9238-892009192DF0}"/>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19</xdr:col>
      <xdr:colOff>1534635</xdr:colOff>
      <xdr:row>54</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24" name="Entrada de lápiz 23">
              <a:extLst>
                <a:ext uri="{FF2B5EF4-FFF2-40B4-BE49-F238E27FC236}">
                  <a16:creationId xmlns:a16="http://schemas.microsoft.com/office/drawing/2014/main" id="{4133E448-A76B-4914-B4BF-470F1A4D4053}"/>
                </a:ext>
              </a:extLst>
            </xdr14:cNvPr>
            <xdr14:cNvContentPartPr/>
          </xdr14:nvContentPartPr>
          <xdr14:nvPr macro=""/>
          <xdr14:xfrm>
            <a:off x="23756460" y="4734675"/>
            <a:ext cx="360" cy="360"/>
          </xdr14:xfrm>
        </xdr:contentPart>
      </mc:Choice>
      <mc:Fallback xmlns="">
        <xdr:pic>
          <xdr:nvPicPr>
            <xdr:cNvPr id="8" name="Entrada de lápiz 7">
              <a:extLst>
                <a:ext uri="{FF2B5EF4-FFF2-40B4-BE49-F238E27FC236}">
                  <a16:creationId xmlns:a16="http://schemas.microsoft.com/office/drawing/2014/main" id="{1AA7527A-F0F7-49F8-A5D4-8A7EB5285C69}"/>
                </a:ext>
              </a:extLst>
            </xdr:cNvPr>
            <xdr:cNvPicPr/>
          </xdr:nvPicPr>
          <xdr:blipFill>
            <a:blip xmlns:r="http://schemas.openxmlformats.org/officeDocument/2006/relationships" r:embed="rId42"/>
            <a:stretch>
              <a:fillRect/>
            </a:stretch>
          </xdr:blipFill>
          <xdr:spPr>
            <a:xfrm>
              <a:off x="23752140" y="4730355"/>
              <a:ext cx="9000" cy="9000"/>
            </a:xfrm>
            <a:prstGeom prst="rect">
              <a:avLst/>
            </a:prstGeom>
          </xdr:spPr>
        </xdr:pic>
      </mc:Fallback>
    </mc:AlternateContent>
    <xdr:clientData/>
  </xdr:oneCellAnchor>
  <xdr:oneCellAnchor>
    <xdr:from>
      <xdr:col>5</xdr:col>
      <xdr:colOff>2601685</xdr:colOff>
      <xdr:row>12</xdr:row>
      <xdr:rowOff>152399</xdr:rowOff>
    </xdr:from>
    <xdr:ext cx="3939027" cy="468013"/>
    <xdr:sp macro="" textlink="">
      <xdr:nvSpPr>
        <xdr:cNvPr id="25" name="CuadroTexto 24">
          <a:extLst>
            <a:ext uri="{FF2B5EF4-FFF2-40B4-BE49-F238E27FC236}">
              <a16:creationId xmlns:a16="http://schemas.microsoft.com/office/drawing/2014/main" id="{29350648-64A8-435B-8B84-307A4982BC05}"/>
            </a:ext>
          </a:extLst>
        </xdr:cNvPr>
        <xdr:cNvSpPr txBox="1"/>
      </xdr:nvSpPr>
      <xdr:spPr>
        <a:xfrm rot="19013501">
          <a:off x="11136085" y="3581399"/>
          <a:ext cx="393902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2400" b="1">
              <a:solidFill>
                <a:srgbClr val="FF0000"/>
              </a:solidFill>
            </a:rPr>
            <a:t>Ejemplo de Matriz de Riesgos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414868</xdr:colOff>
      <xdr:row>18</xdr:row>
      <xdr:rowOff>143931</xdr:rowOff>
    </xdr:from>
    <xdr:to>
      <xdr:col>16</xdr:col>
      <xdr:colOff>719672</xdr:colOff>
      <xdr:row>40</xdr:row>
      <xdr:rowOff>59266</xdr:rowOff>
    </xdr:to>
    <xdr:grpSp>
      <xdr:nvGrpSpPr>
        <xdr:cNvPr id="21" name="Grupo 20">
          <a:extLst>
            <a:ext uri="{FF2B5EF4-FFF2-40B4-BE49-F238E27FC236}">
              <a16:creationId xmlns:a16="http://schemas.microsoft.com/office/drawing/2014/main" id="{BA141D44-F57B-4E91-ADC8-FF6DC960F9B3}"/>
            </a:ext>
          </a:extLst>
        </xdr:cNvPr>
        <xdr:cNvGrpSpPr/>
      </xdr:nvGrpSpPr>
      <xdr:grpSpPr>
        <a:xfrm>
          <a:off x="7063318" y="3753906"/>
          <a:ext cx="5791204" cy="3896785"/>
          <a:chOff x="4758266" y="5003799"/>
          <a:chExt cx="5791204" cy="4013201"/>
        </a:xfrm>
      </xdr:grpSpPr>
      <xdr:sp macro="" textlink="">
        <xdr:nvSpPr>
          <xdr:cNvPr id="17" name="CuadroTexto 16">
            <a:extLst>
              <a:ext uri="{FF2B5EF4-FFF2-40B4-BE49-F238E27FC236}">
                <a16:creationId xmlns:a16="http://schemas.microsoft.com/office/drawing/2014/main" id="{1D475A54-A725-47B0-B4AA-1A8F4030D148}"/>
              </a:ext>
            </a:extLst>
          </xdr:cNvPr>
          <xdr:cNvSpPr txBox="1"/>
        </xdr:nvSpPr>
        <xdr:spPr>
          <a:xfrm>
            <a:off x="5093908" y="5317062"/>
            <a:ext cx="5447091" cy="262467"/>
          </a:xfrm>
          <a:prstGeom prst="rect">
            <a:avLst/>
          </a:prstGeom>
          <a:solidFill>
            <a:schemeClr val="bg1">
              <a:lumMod val="6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CL" sz="1200" b="1">
                <a:solidFill>
                  <a:schemeClr val="bg1"/>
                </a:solidFill>
              </a:rPr>
              <a:t>IMPACTO</a:t>
            </a:r>
          </a:p>
        </xdr:txBody>
      </xdr:sp>
      <xdr:sp macro="" textlink="">
        <xdr:nvSpPr>
          <xdr:cNvPr id="18" name="CuadroTexto 17">
            <a:extLst>
              <a:ext uri="{FF2B5EF4-FFF2-40B4-BE49-F238E27FC236}">
                <a16:creationId xmlns:a16="http://schemas.microsoft.com/office/drawing/2014/main" id="{584B5438-F69F-4A2B-AC34-0A0D43400F0A}"/>
              </a:ext>
            </a:extLst>
          </xdr:cNvPr>
          <xdr:cNvSpPr txBox="1"/>
        </xdr:nvSpPr>
        <xdr:spPr>
          <a:xfrm>
            <a:off x="4758266" y="5580135"/>
            <a:ext cx="330200" cy="3436862"/>
          </a:xfrm>
          <a:prstGeom prst="rect">
            <a:avLst/>
          </a:prstGeom>
          <a:solidFill>
            <a:schemeClr val="accent3">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vert="wordArtVert" wrap="none" rtlCol="0" anchor="t">
            <a:noAutofit/>
          </a:bodyPr>
          <a:lstStyle/>
          <a:p>
            <a:pPr algn="ctr"/>
            <a:r>
              <a:rPr lang="es-CL" sz="1100" b="1">
                <a:solidFill>
                  <a:schemeClr val="bg1"/>
                </a:solidFill>
              </a:rPr>
              <a:t>PROBABILIDAD</a:t>
            </a:r>
            <a:endParaRPr lang="es-CL" sz="1400" b="1">
              <a:solidFill>
                <a:schemeClr val="bg1"/>
              </a:solidFill>
            </a:endParaRPr>
          </a:p>
        </xdr:txBody>
      </xdr:sp>
      <xdr:sp macro="" textlink="">
        <xdr:nvSpPr>
          <xdr:cNvPr id="19" name="CuadroTexto 18">
            <a:extLst>
              <a:ext uri="{FF2B5EF4-FFF2-40B4-BE49-F238E27FC236}">
                <a16:creationId xmlns:a16="http://schemas.microsoft.com/office/drawing/2014/main" id="{DA53A347-9974-46B2-BD8F-A751FDC8E5FC}"/>
              </a:ext>
            </a:extLst>
          </xdr:cNvPr>
          <xdr:cNvSpPr txBox="1"/>
        </xdr:nvSpPr>
        <xdr:spPr>
          <a:xfrm>
            <a:off x="5096933" y="5003799"/>
            <a:ext cx="5452537" cy="313267"/>
          </a:xfrm>
          <a:prstGeom prst="rect">
            <a:avLst/>
          </a:prstGeom>
          <a:solidFill>
            <a:schemeClr val="accent2">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s-CL" sz="1100" b="1">
                <a:solidFill>
                  <a:schemeClr val="bg1"/>
                </a:solidFill>
              </a:rPr>
              <a:t>MAPA</a:t>
            </a:r>
            <a:r>
              <a:rPr lang="es-CL" sz="1100" b="1" baseline="0">
                <a:solidFill>
                  <a:schemeClr val="bg1"/>
                </a:solidFill>
              </a:rPr>
              <a:t> DE RIESGO RESIDUAL</a:t>
            </a:r>
            <a:endParaRPr lang="es-CL" sz="1100" b="1">
              <a:solidFill>
                <a:schemeClr val="bg1"/>
              </a:solidFill>
            </a:endParaRPr>
          </a:p>
        </xdr:txBody>
      </xdr:sp>
      <xdr:graphicFrame macro="">
        <xdr:nvGraphicFramePr>
          <xdr:cNvPr id="20" name="Gráfico 19">
            <a:extLst>
              <a:ext uri="{FF2B5EF4-FFF2-40B4-BE49-F238E27FC236}">
                <a16:creationId xmlns:a16="http://schemas.microsoft.com/office/drawing/2014/main" id="{F7CE8F21-A1CC-4DF6-88BF-253DA64B2820}"/>
              </a:ext>
            </a:extLst>
          </xdr:cNvPr>
          <xdr:cNvGraphicFramePr>
            <a:graphicFrameLocks noChangeAspect="1"/>
          </xdr:cNvGraphicFramePr>
        </xdr:nvGraphicFramePr>
        <xdr:xfrm>
          <a:off x="5080000" y="5572150"/>
          <a:ext cx="5461000" cy="34448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592666</xdr:colOff>
      <xdr:row>1</xdr:row>
      <xdr:rowOff>143933</xdr:rowOff>
    </xdr:from>
    <xdr:to>
      <xdr:col>16</xdr:col>
      <xdr:colOff>897470</xdr:colOff>
      <xdr:row>21</xdr:row>
      <xdr:rowOff>95440</xdr:rowOff>
    </xdr:to>
    <xdr:grpSp>
      <xdr:nvGrpSpPr>
        <xdr:cNvPr id="7" name="Grupo 6">
          <a:extLst>
            <a:ext uri="{FF2B5EF4-FFF2-40B4-BE49-F238E27FC236}">
              <a16:creationId xmlns:a16="http://schemas.microsoft.com/office/drawing/2014/main" id="{5207CBC2-4817-4BFE-AA9D-A924D11D366B}"/>
            </a:ext>
          </a:extLst>
        </xdr:cNvPr>
        <xdr:cNvGrpSpPr/>
      </xdr:nvGrpSpPr>
      <xdr:grpSpPr>
        <a:xfrm>
          <a:off x="7241116" y="324908"/>
          <a:ext cx="5791204" cy="3923432"/>
          <a:chOff x="7696200" y="618070"/>
          <a:chExt cx="5791204" cy="4021664"/>
        </a:xfrm>
      </xdr:grpSpPr>
      <xdr:graphicFrame macro="">
        <xdr:nvGraphicFramePr>
          <xdr:cNvPr id="8" name="Gráfico 7">
            <a:extLst>
              <a:ext uri="{FF2B5EF4-FFF2-40B4-BE49-F238E27FC236}">
                <a16:creationId xmlns:a16="http://schemas.microsoft.com/office/drawing/2014/main" id="{63D110A6-8102-3A79-0760-7C1BEDE16D5F}"/>
              </a:ext>
            </a:extLst>
          </xdr:cNvPr>
          <xdr:cNvGraphicFramePr>
            <a:graphicFrameLocks/>
          </xdr:cNvGraphicFramePr>
        </xdr:nvGraphicFramePr>
        <xdr:xfrm>
          <a:off x="8025615" y="1193801"/>
          <a:ext cx="5444852" cy="343172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 name="CuadroTexto 8">
            <a:extLst>
              <a:ext uri="{FF2B5EF4-FFF2-40B4-BE49-F238E27FC236}">
                <a16:creationId xmlns:a16="http://schemas.microsoft.com/office/drawing/2014/main" id="{D3A819B5-8A2D-E3E6-8CD9-F33958FBAE5F}"/>
              </a:ext>
            </a:extLst>
          </xdr:cNvPr>
          <xdr:cNvSpPr txBox="1"/>
        </xdr:nvSpPr>
        <xdr:spPr>
          <a:xfrm>
            <a:off x="8031842" y="939799"/>
            <a:ext cx="5447091" cy="262467"/>
          </a:xfrm>
          <a:prstGeom prst="rect">
            <a:avLst/>
          </a:prstGeom>
          <a:solidFill>
            <a:schemeClr val="bg1">
              <a:lumMod val="6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CL" sz="1200" b="1">
                <a:solidFill>
                  <a:schemeClr val="bg1"/>
                </a:solidFill>
              </a:rPr>
              <a:t>IMPACTO</a:t>
            </a:r>
          </a:p>
        </xdr:txBody>
      </xdr:sp>
      <xdr:sp macro="" textlink="">
        <xdr:nvSpPr>
          <xdr:cNvPr id="10" name="CuadroTexto 9">
            <a:extLst>
              <a:ext uri="{FF2B5EF4-FFF2-40B4-BE49-F238E27FC236}">
                <a16:creationId xmlns:a16="http://schemas.microsoft.com/office/drawing/2014/main" id="{A6101B6A-C6C1-E6C5-FE38-B166379BEDFB}"/>
              </a:ext>
            </a:extLst>
          </xdr:cNvPr>
          <xdr:cNvSpPr txBox="1"/>
        </xdr:nvSpPr>
        <xdr:spPr>
          <a:xfrm>
            <a:off x="7696200" y="1202872"/>
            <a:ext cx="330200" cy="3436862"/>
          </a:xfrm>
          <a:prstGeom prst="rect">
            <a:avLst/>
          </a:prstGeom>
          <a:solidFill>
            <a:schemeClr val="accent3">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vert="wordArtVert" wrap="none" rtlCol="0" anchor="t">
            <a:noAutofit/>
          </a:bodyPr>
          <a:lstStyle/>
          <a:p>
            <a:pPr algn="ctr"/>
            <a:r>
              <a:rPr lang="es-CL" sz="1100" b="1">
                <a:solidFill>
                  <a:schemeClr val="bg1"/>
                </a:solidFill>
              </a:rPr>
              <a:t>PROBABILIDAD</a:t>
            </a:r>
            <a:endParaRPr lang="es-CL" sz="1400" b="1">
              <a:solidFill>
                <a:schemeClr val="bg1"/>
              </a:solidFill>
            </a:endParaRPr>
          </a:p>
        </xdr:txBody>
      </xdr:sp>
      <xdr:sp macro="" textlink="">
        <xdr:nvSpPr>
          <xdr:cNvPr id="11" name="CuadroTexto 10">
            <a:extLst>
              <a:ext uri="{FF2B5EF4-FFF2-40B4-BE49-F238E27FC236}">
                <a16:creationId xmlns:a16="http://schemas.microsoft.com/office/drawing/2014/main" id="{1D9D05FD-2A9D-DBFC-21DE-0D4509FEE1ED}"/>
              </a:ext>
            </a:extLst>
          </xdr:cNvPr>
          <xdr:cNvSpPr txBox="1"/>
        </xdr:nvSpPr>
        <xdr:spPr>
          <a:xfrm>
            <a:off x="8034867" y="618070"/>
            <a:ext cx="5452537" cy="313267"/>
          </a:xfrm>
          <a:prstGeom prst="rect">
            <a:avLst/>
          </a:prstGeom>
          <a:solidFill>
            <a:schemeClr val="accent2">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s-CL" sz="1100" b="1">
                <a:solidFill>
                  <a:schemeClr val="bg1"/>
                </a:solidFill>
              </a:rPr>
              <a:t>MAPA</a:t>
            </a:r>
            <a:r>
              <a:rPr lang="es-CL" sz="1100" b="1" baseline="0">
                <a:solidFill>
                  <a:schemeClr val="bg1"/>
                </a:solidFill>
              </a:rPr>
              <a:t> DE RIESGO INHERENTE</a:t>
            </a:r>
            <a:endParaRPr lang="es-CL" sz="1100" b="1">
              <a:solidFill>
                <a:schemeClr val="bg1"/>
              </a:solidFill>
            </a:endParaRPr>
          </a:p>
        </xdr:txBody>
      </xdr: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01-14T14:08:56.863"/>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01-14T14:08:56.863"/>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3-30T00:58:56.797"/>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3-31T17:55:58.537"/>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5:58.538"/>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6:23.679"/>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7:56:50.4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8:01:58.57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18:02:01.2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3:27.120"/>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3:27.12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13.75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13.75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46.90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4:46.90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0.580"/>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0.581"/>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3.492"/>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3.49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4.56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4.564"/>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6.073"/>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3-31T20:09:46.074"/>
    </inkml:context>
    <inkml:brush xml:id="br0">
      <inkml:brushProperty name="width" value="0.025" units="cm"/>
      <inkml:brushProperty name="height" value="0.025" units="cm"/>
      <inkml:brushProperty name="color" value="#E71224"/>
    </inkml:brush>
  </inkml:definitions>
  <inkml:trace contextRef="#ctx0" brushRef="#br0">0 0 2160,'0'0'0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17BE-5856-4C3F-982A-0DD0440BD710}">
  <dimension ref="B1:L61"/>
  <sheetViews>
    <sheetView showGridLines="0" topLeftCell="A18" zoomScaleNormal="100" zoomScaleSheetLayoutView="115" workbookViewId="0">
      <selection activeCell="C18" sqref="C18"/>
    </sheetView>
  </sheetViews>
  <sheetFormatPr baseColWidth="10" defaultColWidth="11.44140625" defaultRowHeight="14.4" x14ac:dyDescent="0.3"/>
  <cols>
    <col min="1" max="1" width="1.5546875" customWidth="1"/>
    <col min="2" max="2" width="1.6640625" customWidth="1"/>
    <col min="3" max="3" width="42.6640625" customWidth="1"/>
    <col min="4" max="4" width="12.6640625" customWidth="1"/>
    <col min="5" max="5" width="12.88671875" customWidth="1"/>
    <col min="6" max="6" width="29.33203125" customWidth="1"/>
    <col min="12" max="12" width="1.6640625" customWidth="1"/>
  </cols>
  <sheetData>
    <row r="1" spans="2:12" x14ac:dyDescent="0.3">
      <c r="B1" s="2"/>
      <c r="C1" s="2"/>
      <c r="D1" s="2"/>
      <c r="E1" s="2"/>
      <c r="F1" s="170"/>
      <c r="G1" s="170"/>
      <c r="H1" s="170"/>
      <c r="I1" s="170"/>
      <c r="J1" s="170"/>
      <c r="K1" s="170"/>
      <c r="L1" s="2"/>
    </row>
    <row r="2" spans="2:12" x14ac:dyDescent="0.3">
      <c r="B2" s="2"/>
      <c r="C2" s="2"/>
      <c r="D2" s="2"/>
      <c r="E2" s="2"/>
      <c r="F2" s="2"/>
      <c r="G2" s="2"/>
      <c r="H2" s="2"/>
      <c r="I2" s="2"/>
      <c r="J2" s="2"/>
      <c r="K2" s="2"/>
      <c r="L2" s="2"/>
    </row>
    <row r="3" spans="2:12" x14ac:dyDescent="0.3">
      <c r="B3" s="2"/>
      <c r="C3" s="2"/>
      <c r="D3" s="2"/>
      <c r="E3" s="2"/>
      <c r="F3" s="2"/>
      <c r="G3" s="2"/>
      <c r="H3" s="2"/>
      <c r="I3" s="2"/>
      <c r="J3" s="2"/>
      <c r="K3" s="2"/>
      <c r="L3" s="2"/>
    </row>
    <row r="4" spans="2:12" x14ac:dyDescent="0.3">
      <c r="B4" s="2"/>
      <c r="C4" s="2"/>
      <c r="D4" s="2"/>
      <c r="E4" s="2"/>
      <c r="F4" s="2"/>
      <c r="G4" s="2"/>
      <c r="H4" s="2"/>
      <c r="I4" s="2"/>
      <c r="J4" s="2"/>
      <c r="K4" s="2"/>
      <c r="L4" s="2"/>
    </row>
    <row r="5" spans="2:12" x14ac:dyDescent="0.3">
      <c r="B5" s="2"/>
      <c r="C5" s="2"/>
      <c r="D5" s="2"/>
      <c r="E5" s="2"/>
      <c r="F5" s="2"/>
      <c r="G5" s="2"/>
      <c r="H5" s="2"/>
      <c r="I5" s="2"/>
      <c r="J5" s="2"/>
      <c r="K5" s="2"/>
      <c r="L5" s="2"/>
    </row>
    <row r="6" spans="2:12" x14ac:dyDescent="0.3">
      <c r="B6" s="2"/>
      <c r="C6" s="3" t="s">
        <v>0</v>
      </c>
      <c r="D6" s="2"/>
      <c r="E6" s="2"/>
      <c r="F6" s="2"/>
      <c r="G6" s="2"/>
      <c r="H6" s="2"/>
      <c r="I6" s="2"/>
      <c r="J6" s="2"/>
      <c r="K6" s="2"/>
      <c r="L6" s="2"/>
    </row>
    <row r="7" spans="2:12" ht="20.25" customHeight="1" x14ac:dyDescent="0.3">
      <c r="B7" s="2"/>
      <c r="C7" s="124" t="s">
        <v>1</v>
      </c>
      <c r="D7" s="125" t="s">
        <v>2</v>
      </c>
      <c r="F7" s="2"/>
      <c r="G7" s="2"/>
      <c r="H7" s="2"/>
      <c r="I7" s="2"/>
      <c r="J7" s="2"/>
      <c r="K7" s="2"/>
      <c r="L7" s="2"/>
    </row>
    <row r="8" spans="2:12" ht="21" customHeight="1" x14ac:dyDescent="0.3">
      <c r="B8" s="2"/>
      <c r="C8" s="3" t="s">
        <v>3</v>
      </c>
      <c r="D8" s="2"/>
      <c r="E8" s="2"/>
      <c r="F8" s="2"/>
      <c r="G8" s="2"/>
      <c r="H8" s="2"/>
      <c r="I8" s="2"/>
      <c r="J8" s="2"/>
      <c r="K8" s="2"/>
      <c r="L8" s="2"/>
    </row>
    <row r="9" spans="2:12" x14ac:dyDescent="0.3">
      <c r="B9" s="2"/>
      <c r="C9" s="4" t="s">
        <v>4</v>
      </c>
      <c r="D9" s="171"/>
      <c r="E9" s="172"/>
      <c r="F9" s="172"/>
      <c r="G9" s="172"/>
      <c r="H9" s="172"/>
      <c r="I9" s="172"/>
      <c r="J9" s="172"/>
      <c r="K9" s="172"/>
      <c r="L9" s="2"/>
    </row>
    <row r="10" spans="2:12" x14ac:dyDescent="0.3">
      <c r="B10" s="2"/>
      <c r="C10" s="4" t="s">
        <v>5</v>
      </c>
      <c r="D10" s="171"/>
      <c r="E10" s="172"/>
      <c r="F10" s="172"/>
      <c r="G10" s="172"/>
      <c r="H10" s="172"/>
      <c r="I10" s="172"/>
      <c r="J10" s="172"/>
      <c r="K10" s="172"/>
      <c r="L10" s="2"/>
    </row>
    <row r="11" spans="2:12" x14ac:dyDescent="0.3">
      <c r="B11" s="2"/>
      <c r="C11" s="4" t="s">
        <v>6</v>
      </c>
      <c r="D11" s="171"/>
      <c r="E11" s="172"/>
      <c r="F11" s="172"/>
      <c r="G11" s="172"/>
      <c r="H11" s="172"/>
      <c r="I11" s="172"/>
      <c r="J11" s="172"/>
      <c r="K11" s="172"/>
      <c r="L11" s="2"/>
    </row>
    <row r="12" spans="2:12" x14ac:dyDescent="0.3">
      <c r="B12" s="2"/>
      <c r="C12" s="4" t="s">
        <v>7</v>
      </c>
      <c r="D12" s="171"/>
      <c r="E12" s="172"/>
      <c r="F12" s="172"/>
      <c r="G12" s="172"/>
      <c r="H12" s="172"/>
      <c r="I12" s="172"/>
      <c r="J12" s="172"/>
      <c r="K12" s="172"/>
      <c r="L12" s="2"/>
    </row>
    <row r="13" spans="2:12" x14ac:dyDescent="0.3">
      <c r="B13" s="2"/>
      <c r="C13" s="4" t="s">
        <v>8</v>
      </c>
      <c r="D13" s="2"/>
      <c r="E13" s="2"/>
      <c r="F13" s="2"/>
      <c r="G13" s="2"/>
      <c r="H13" s="2"/>
      <c r="I13" s="2"/>
      <c r="J13" s="2"/>
      <c r="K13" s="2"/>
      <c r="L13" s="2"/>
    </row>
    <row r="14" spans="2:12" x14ac:dyDescent="0.3">
      <c r="B14" s="2"/>
      <c r="C14" s="4" t="s">
        <v>9</v>
      </c>
      <c r="D14" s="2"/>
      <c r="E14" s="2"/>
      <c r="F14" s="2"/>
      <c r="G14" s="2"/>
      <c r="H14" s="2"/>
      <c r="I14" s="2"/>
      <c r="J14" s="2"/>
      <c r="K14" s="2"/>
      <c r="L14" s="2"/>
    </row>
    <row r="15" spans="2:12" x14ac:dyDescent="0.3">
      <c r="B15" s="2"/>
      <c r="C15" s="4" t="s">
        <v>10</v>
      </c>
      <c r="D15" s="2"/>
      <c r="E15" s="2"/>
      <c r="F15" s="2"/>
      <c r="G15" s="2"/>
      <c r="H15" s="2"/>
      <c r="I15" s="2"/>
      <c r="J15" s="2"/>
      <c r="K15" s="2"/>
      <c r="L15" s="2"/>
    </row>
    <row r="16" spans="2:12" x14ac:dyDescent="0.3">
      <c r="B16" s="2"/>
      <c r="C16" s="4"/>
      <c r="D16" s="2"/>
      <c r="E16" s="2"/>
      <c r="F16" s="2"/>
      <c r="G16" s="2"/>
      <c r="H16" s="2"/>
      <c r="I16" s="2"/>
      <c r="J16" s="2"/>
      <c r="K16" s="2"/>
      <c r="L16" s="2"/>
    </row>
    <row r="17" spans="3:6" x14ac:dyDescent="0.3">
      <c r="C17" s="126" t="s">
        <v>11</v>
      </c>
      <c r="D17" s="127"/>
      <c r="E17" s="127"/>
      <c r="F17" s="128"/>
    </row>
    <row r="18" spans="3:6" x14ac:dyDescent="0.3">
      <c r="C18" s="128"/>
      <c r="D18" s="128"/>
      <c r="E18" s="128"/>
      <c r="F18" s="128"/>
    </row>
    <row r="19" spans="3:6" x14ac:dyDescent="0.3">
      <c r="C19" s="128"/>
      <c r="D19" s="128"/>
      <c r="E19" s="128"/>
      <c r="F19" s="128"/>
    </row>
    <row r="20" spans="3:6" x14ac:dyDescent="0.3">
      <c r="C20" s="129" t="s">
        <v>12</v>
      </c>
      <c r="D20" s="130"/>
      <c r="E20" s="128"/>
      <c r="F20" s="128"/>
    </row>
    <row r="21" spans="3:6" x14ac:dyDescent="0.3">
      <c r="C21" s="129" t="s">
        <v>13</v>
      </c>
      <c r="D21" s="131"/>
      <c r="E21" s="128"/>
      <c r="F21" s="128"/>
    </row>
    <row r="22" spans="3:6" x14ac:dyDescent="0.3">
      <c r="C22" s="132"/>
      <c r="D22" s="133"/>
      <c r="E22" s="133"/>
      <c r="F22" s="133"/>
    </row>
    <row r="23" spans="3:6" x14ac:dyDescent="0.3">
      <c r="C23" s="134"/>
      <c r="D23" s="135"/>
      <c r="E23" s="135"/>
      <c r="F23" s="135"/>
    </row>
    <row r="24" spans="3:6" x14ac:dyDescent="0.3">
      <c r="C24" s="134"/>
      <c r="D24" s="135"/>
      <c r="E24" s="135"/>
      <c r="F24" s="135"/>
    </row>
    <row r="25" spans="3:6" x14ac:dyDescent="0.3">
      <c r="C25" s="134"/>
      <c r="D25" s="135"/>
      <c r="E25" s="135"/>
      <c r="F25" s="135"/>
    </row>
    <row r="26" spans="3:6" x14ac:dyDescent="0.3">
      <c r="C26" s="134"/>
      <c r="D26" s="135"/>
      <c r="E26" s="135"/>
      <c r="F26" s="135"/>
    </row>
    <row r="27" spans="3:6" x14ac:dyDescent="0.3">
      <c r="C27" s="134"/>
      <c r="D27" s="135"/>
      <c r="E27" s="135"/>
      <c r="F27" s="135"/>
    </row>
    <row r="28" spans="3:6" x14ac:dyDescent="0.3">
      <c r="C28" s="133"/>
      <c r="D28" s="133"/>
      <c r="E28" s="133"/>
      <c r="F28" s="133"/>
    </row>
    <row r="29" spans="3:6" ht="28.8" x14ac:dyDescent="0.3">
      <c r="C29" s="136" t="s">
        <v>14</v>
      </c>
      <c r="D29" s="129" t="s">
        <v>15</v>
      </c>
      <c r="E29" s="137" t="s">
        <v>16</v>
      </c>
      <c r="F29" s="129" t="s">
        <v>17</v>
      </c>
    </row>
    <row r="30" spans="3:6" x14ac:dyDescent="0.3">
      <c r="C30" s="173" t="s">
        <v>18</v>
      </c>
      <c r="D30" s="174"/>
      <c r="E30" s="174"/>
      <c r="F30" s="175"/>
    </row>
    <row r="31" spans="3:6" ht="43.2" x14ac:dyDescent="0.3">
      <c r="C31" s="138" t="s">
        <v>19</v>
      </c>
      <c r="D31" s="139">
        <v>1</v>
      </c>
      <c r="E31" s="140"/>
      <c r="F31" s="141"/>
    </row>
    <row r="32" spans="3:6" ht="43.2" x14ac:dyDescent="0.3">
      <c r="C32" s="138" t="s">
        <v>20</v>
      </c>
      <c r="D32" s="139">
        <v>1</v>
      </c>
      <c r="E32" s="140"/>
      <c r="F32" s="141"/>
    </row>
    <row r="33" spans="3:6" ht="100.8" x14ac:dyDescent="0.3">
      <c r="C33" s="138" t="s">
        <v>21</v>
      </c>
      <c r="D33" s="139">
        <v>2</v>
      </c>
      <c r="E33" s="140"/>
      <c r="F33" s="141"/>
    </row>
    <row r="34" spans="3:6" ht="28.8" x14ac:dyDescent="0.3">
      <c r="C34" s="142" t="s">
        <v>22</v>
      </c>
      <c r="D34" s="143">
        <v>1</v>
      </c>
      <c r="E34" s="144"/>
      <c r="F34" s="145"/>
    </row>
    <row r="35" spans="3:6" ht="28.8" x14ac:dyDescent="0.3">
      <c r="C35" s="142" t="s">
        <v>23</v>
      </c>
      <c r="D35" s="143">
        <v>1</v>
      </c>
      <c r="E35" s="144"/>
      <c r="F35" s="145"/>
    </row>
    <row r="36" spans="3:6" ht="15" thickBot="1" x14ac:dyDescent="0.35">
      <c r="C36" s="146" t="s">
        <v>24</v>
      </c>
      <c r="D36" s="147">
        <f>SUM(D31:D35)+1</f>
        <v>7</v>
      </c>
      <c r="E36" s="147">
        <f>SUM(E32:E35)+1</f>
        <v>1</v>
      </c>
      <c r="F36" s="148"/>
    </row>
    <row r="37" spans="3:6" ht="15" thickBot="1" x14ac:dyDescent="0.35">
      <c r="C37" s="167" t="s">
        <v>25</v>
      </c>
      <c r="D37" s="168"/>
      <c r="E37" s="168"/>
      <c r="F37" s="169"/>
    </row>
    <row r="38" spans="3:6" ht="43.2" x14ac:dyDescent="0.3">
      <c r="C38" s="149" t="s">
        <v>26</v>
      </c>
      <c r="D38" s="150">
        <v>2</v>
      </c>
      <c r="E38" s="151"/>
      <c r="F38" s="152"/>
    </row>
    <row r="39" spans="3:6" ht="57.6" x14ac:dyDescent="0.3">
      <c r="C39" s="153" t="s">
        <v>27</v>
      </c>
      <c r="D39" s="154">
        <v>2</v>
      </c>
      <c r="E39" s="155"/>
      <c r="F39" s="156"/>
    </row>
    <row r="40" spans="3:6" ht="72" x14ac:dyDescent="0.3">
      <c r="C40" s="138" t="s">
        <v>28</v>
      </c>
      <c r="D40" s="139">
        <v>1</v>
      </c>
      <c r="E40" s="140"/>
      <c r="F40" s="141"/>
    </row>
    <row r="41" spans="3:6" x14ac:dyDescent="0.3">
      <c r="C41" s="142" t="s">
        <v>29</v>
      </c>
      <c r="D41" s="143">
        <v>1</v>
      </c>
      <c r="E41" s="157"/>
      <c r="F41" s="145"/>
    </row>
    <row r="42" spans="3:6" ht="15" thickBot="1" x14ac:dyDescent="0.35">
      <c r="C42" s="146" t="s">
        <v>30</v>
      </c>
      <c r="D42" s="147">
        <f>SUM(D38:D41)+1</f>
        <v>7</v>
      </c>
      <c r="E42" s="147">
        <f>SUM(E38:E41)+1</f>
        <v>1</v>
      </c>
      <c r="F42" s="148"/>
    </row>
    <row r="43" spans="3:6" ht="15" thickBot="1" x14ac:dyDescent="0.35">
      <c r="C43" s="167" t="s">
        <v>31</v>
      </c>
      <c r="D43" s="168"/>
      <c r="E43" s="168"/>
      <c r="F43" s="169"/>
    </row>
    <row r="44" spans="3:6" ht="43.2" x14ac:dyDescent="0.3">
      <c r="C44" s="149" t="s">
        <v>32</v>
      </c>
      <c r="D44" s="151">
        <v>1.5</v>
      </c>
      <c r="E44" s="151"/>
      <c r="F44" s="158"/>
    </row>
    <row r="45" spans="3:6" ht="28.8" x14ac:dyDescent="0.3">
      <c r="C45" s="153" t="s">
        <v>33</v>
      </c>
      <c r="D45" s="140">
        <v>1</v>
      </c>
      <c r="E45" s="140"/>
      <c r="F45" s="159"/>
    </row>
    <row r="46" spans="3:6" ht="28.8" x14ac:dyDescent="0.3">
      <c r="C46" s="153" t="s">
        <v>34</v>
      </c>
      <c r="D46" s="140">
        <v>1</v>
      </c>
      <c r="E46" s="140"/>
      <c r="F46" s="159"/>
    </row>
    <row r="47" spans="3:6" ht="57.6" x14ac:dyDescent="0.3">
      <c r="C47" s="153" t="s">
        <v>35</v>
      </c>
      <c r="D47" s="140">
        <v>1</v>
      </c>
      <c r="E47" s="140"/>
      <c r="F47" s="159"/>
    </row>
    <row r="48" spans="3:6" ht="43.2" x14ac:dyDescent="0.3">
      <c r="C48" s="153" t="s">
        <v>36</v>
      </c>
      <c r="D48" s="155">
        <v>1.5</v>
      </c>
      <c r="E48" s="155"/>
      <c r="F48" s="160"/>
    </row>
    <row r="49" spans="3:6" ht="15" thickBot="1" x14ac:dyDescent="0.35">
      <c r="C49" s="161" t="s">
        <v>37</v>
      </c>
      <c r="D49" s="162">
        <f>SUM(D44:D48)+1</f>
        <v>7</v>
      </c>
      <c r="E49" s="162">
        <f>SUM(E44:E48)+1</f>
        <v>1</v>
      </c>
      <c r="F49" s="163"/>
    </row>
    <row r="50" spans="3:6" ht="15" thickBot="1" x14ac:dyDescent="0.35">
      <c r="C50" s="167" t="s">
        <v>38</v>
      </c>
      <c r="D50" s="168"/>
      <c r="E50" s="168"/>
      <c r="F50" s="169"/>
    </row>
    <row r="51" spans="3:6" ht="57.6" x14ac:dyDescent="0.3">
      <c r="C51" s="149" t="s">
        <v>39</v>
      </c>
      <c r="D51" s="151">
        <v>1.5</v>
      </c>
      <c r="E51" s="151"/>
      <c r="F51" s="158"/>
    </row>
    <row r="52" spans="3:6" ht="57.6" x14ac:dyDescent="0.3">
      <c r="C52" s="153" t="s">
        <v>40</v>
      </c>
      <c r="D52" s="140">
        <v>1</v>
      </c>
      <c r="E52" s="140"/>
      <c r="F52" s="159"/>
    </row>
    <row r="53" spans="3:6" ht="28.8" x14ac:dyDescent="0.3">
      <c r="C53" s="153" t="s">
        <v>41</v>
      </c>
      <c r="D53" s="140">
        <v>1</v>
      </c>
      <c r="E53" s="140"/>
      <c r="F53" s="159"/>
    </row>
    <row r="54" spans="3:6" ht="29.4" thickBot="1" x14ac:dyDescent="0.35">
      <c r="C54" s="153" t="s">
        <v>42</v>
      </c>
      <c r="D54" s="140">
        <v>1</v>
      </c>
      <c r="E54" s="140"/>
      <c r="F54" s="159"/>
    </row>
    <row r="55" spans="3:6" ht="28.8" x14ac:dyDescent="0.3">
      <c r="C55" s="153" t="s">
        <v>43</v>
      </c>
      <c r="D55" s="155">
        <v>1.5</v>
      </c>
      <c r="E55" s="155"/>
      <c r="F55" s="158"/>
    </row>
    <row r="56" spans="3:6" ht="15" thickBot="1" x14ac:dyDescent="0.35">
      <c r="C56" s="161" t="s">
        <v>44</v>
      </c>
      <c r="D56" s="162">
        <f>SUM(D51:D55)+1</f>
        <v>7</v>
      </c>
      <c r="E56" s="162">
        <f>SUM(E51:E55)+1</f>
        <v>1</v>
      </c>
      <c r="F56" s="163"/>
    </row>
    <row r="57" spans="3:6" ht="15" thickBot="1" x14ac:dyDescent="0.35">
      <c r="C57" s="164" t="s">
        <v>45</v>
      </c>
      <c r="D57" s="165"/>
      <c r="E57" s="162">
        <f>+E36*0.2+E42*0.2+E49*0.2+E56*0.4</f>
        <v>1</v>
      </c>
      <c r="F57" s="128"/>
    </row>
    <row r="58" spans="3:6" x14ac:dyDescent="0.3">
      <c r="C58" s="128"/>
      <c r="D58" s="128"/>
      <c r="E58" s="128"/>
      <c r="F58" s="128"/>
    </row>
    <row r="59" spans="3:6" x14ac:dyDescent="0.3">
      <c r="C59" s="166" t="s">
        <v>46</v>
      </c>
      <c r="D59" s="128"/>
      <c r="E59" s="128"/>
      <c r="F59" s="128"/>
    </row>
    <row r="60" spans="3:6" x14ac:dyDescent="0.3">
      <c r="C60" s="166" t="s">
        <v>47</v>
      </c>
      <c r="D60" s="128"/>
      <c r="E60" s="128"/>
      <c r="F60" s="128"/>
    </row>
    <row r="61" spans="3:6" x14ac:dyDescent="0.3">
      <c r="C61" s="128"/>
      <c r="D61" s="128"/>
      <c r="E61" s="128"/>
      <c r="F61" s="128"/>
    </row>
  </sheetData>
  <mergeCells count="9">
    <mergeCell ref="C37:F37"/>
    <mergeCell ref="C43:F43"/>
    <mergeCell ref="C50:F50"/>
    <mergeCell ref="F1:K1"/>
    <mergeCell ref="D9:K9"/>
    <mergeCell ref="D10:K10"/>
    <mergeCell ref="D11:K11"/>
    <mergeCell ref="D12:K12"/>
    <mergeCell ref="C30:F30"/>
  </mergeCells>
  <printOptions horizontalCentered="1"/>
  <pageMargins left="0.70866141732283472" right="0.70866141732283472" top="0.74803149606299213" bottom="0.74803149606299213" header="0.31496062992125984" footer="0.31496062992125984"/>
  <pageSetup paperSize="123" scale="84"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8441-9BA4-4D7E-80A5-B56C5769E396}">
  <sheetPr>
    <pageSetUpPr fitToPage="1"/>
  </sheetPr>
  <dimension ref="A1:AN142"/>
  <sheetViews>
    <sheetView showGridLines="0" tabSelected="1" zoomScale="60" zoomScaleNormal="60" zoomScaleSheetLayoutView="85" workbookViewId="0">
      <pane xSplit="4" ySplit="10" topLeftCell="S11" activePane="bottomRight" state="frozen"/>
      <selection pane="topRight" activeCell="B16" sqref="B16:J21"/>
      <selection pane="bottomLeft" activeCell="B16" sqref="B16:J21"/>
      <selection pane="bottomRight" activeCell="W6" sqref="W6:X6"/>
    </sheetView>
  </sheetViews>
  <sheetFormatPr baseColWidth="10" defaultColWidth="11.44140625" defaultRowHeight="13.8" outlineLevelCol="1" x14ac:dyDescent="0.25"/>
  <cols>
    <col min="1" max="1" width="7.6640625" style="9" customWidth="1"/>
    <col min="2" max="2" width="16.44140625" style="5" customWidth="1" outlineLevel="1"/>
    <col min="3" max="3" width="23.33203125" style="5" customWidth="1"/>
    <col min="4" max="4" width="39" style="11" customWidth="1"/>
    <col min="5" max="5" width="38" style="5" customWidth="1" outlineLevel="1"/>
    <col min="6" max="6" width="47.44140625" style="5" customWidth="1"/>
    <col min="7" max="7" width="14.44140625" style="5" customWidth="1" outlineLevel="1"/>
    <col min="8" max="8" width="16" style="5" customWidth="1" outlineLevel="1"/>
    <col min="9" max="9" width="14.5546875" style="8" customWidth="1" outlineLevel="1"/>
    <col min="10" max="10" width="7.33203125" style="6" customWidth="1"/>
    <col min="11" max="11" width="6.33203125" style="6" customWidth="1"/>
    <col min="12" max="12" width="4.5546875" style="6" customWidth="1"/>
    <col min="13" max="13" width="6.33203125" style="6" customWidth="1"/>
    <col min="14" max="14" width="6.6640625" style="5" customWidth="1"/>
    <col min="15" max="15" width="6.5546875" style="6" customWidth="1"/>
    <col min="16" max="16" width="3.6640625" style="7" customWidth="1"/>
    <col min="17" max="17" width="15.33203125" style="12" customWidth="1"/>
    <col min="18" max="18" width="33.44140625" style="5" customWidth="1"/>
    <col min="19" max="19" width="24.5546875" style="5" customWidth="1"/>
    <col min="20" max="20" width="28.109375" style="6" customWidth="1"/>
    <col min="21" max="21" width="29.5546875" style="6" customWidth="1"/>
    <col min="22" max="22" width="30.33203125" style="5" customWidth="1"/>
    <col min="23" max="23" width="15.44140625" style="5" customWidth="1"/>
    <col min="24" max="24" width="24.6640625" style="5" customWidth="1"/>
    <col min="25" max="25" width="10.44140625" style="6" customWidth="1"/>
    <col min="26" max="26" width="7.6640625" style="6" customWidth="1"/>
    <col min="27" max="27" width="6.5546875" style="6" customWidth="1"/>
    <col min="28" max="28" width="6.33203125" style="6" customWidth="1"/>
    <col min="29" max="29" width="8.33203125" style="6" customWidth="1"/>
    <col min="30" max="30" width="6.5546875" style="6" customWidth="1"/>
    <col min="31" max="31" width="3.6640625" style="6" hidden="1" customWidth="1"/>
    <col min="32" max="34" width="6.5546875" style="6" hidden="1" customWidth="1"/>
    <col min="35" max="35" width="10.33203125" style="6" hidden="1" customWidth="1"/>
    <col min="36" max="37" width="11.44140625" style="6" hidden="1" customWidth="1"/>
    <col min="38" max="38" width="14.6640625" style="6" hidden="1" customWidth="1"/>
    <col min="39" max="39" width="15.33203125" style="6" hidden="1" customWidth="1"/>
    <col min="40" max="46" width="11.44140625" style="106" customWidth="1"/>
    <col min="47" max="47" width="16.6640625" style="106" customWidth="1"/>
    <col min="48" max="48" width="14.109375" style="106" customWidth="1"/>
    <col min="49" max="53" width="11.44140625" style="106" customWidth="1"/>
    <col min="54" max="16384" width="11.44140625" style="106"/>
  </cols>
  <sheetData>
    <row r="1" spans="1:40" ht="14.4" thickBot="1" x14ac:dyDescent="0.3">
      <c r="S1" s="15"/>
      <c r="V1" s="14"/>
      <c r="W1" s="14"/>
    </row>
    <row r="2" spans="1:40" s="107" customFormat="1" ht="43.2" hidden="1" customHeight="1" thickBot="1" x14ac:dyDescent="0.35">
      <c r="A2" s="34"/>
      <c r="B2" s="255" t="s">
        <v>48</v>
      </c>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row>
    <row r="3" spans="1:40" s="107" customFormat="1" ht="25.2" hidden="1" customHeight="1" thickBot="1" x14ac:dyDescent="0.35">
      <c r="A3" s="34"/>
      <c r="B3" s="52"/>
      <c r="C3" s="52"/>
      <c r="D3" s="115"/>
      <c r="E3" s="52"/>
      <c r="F3" s="52"/>
      <c r="G3" s="52"/>
      <c r="H3" s="52"/>
      <c r="I3" s="52"/>
      <c r="J3" s="52"/>
      <c r="K3" s="52"/>
      <c r="L3" s="52"/>
      <c r="M3" s="52"/>
      <c r="N3" s="52"/>
      <c r="O3" s="52"/>
      <c r="P3" s="52"/>
      <c r="Q3" s="52"/>
      <c r="R3" s="52"/>
      <c r="S3" s="52"/>
      <c r="T3" s="52"/>
      <c r="U3" s="52"/>
      <c r="V3" s="52"/>
      <c r="W3" s="217" t="s">
        <v>49</v>
      </c>
      <c r="X3" s="218"/>
      <c r="Y3" s="112" t="s">
        <v>50</v>
      </c>
      <c r="Z3" s="52"/>
      <c r="AA3" s="52"/>
      <c r="AB3" s="52"/>
      <c r="AC3" s="52"/>
      <c r="AD3" s="52"/>
      <c r="AE3" s="52"/>
      <c r="AF3" s="52"/>
      <c r="AG3" s="52"/>
      <c r="AH3" s="52"/>
      <c r="AI3" s="52"/>
      <c r="AJ3" s="52"/>
      <c r="AK3" s="52"/>
      <c r="AL3" s="52"/>
      <c r="AM3" s="52"/>
    </row>
    <row r="4" spans="1:40" ht="18.75" customHeight="1" thickBot="1" x14ac:dyDescent="0.3">
      <c r="A4" s="256" t="s">
        <v>51</v>
      </c>
      <c r="B4" s="257"/>
      <c r="C4" s="258"/>
      <c r="D4" s="259" t="s">
        <v>52</v>
      </c>
      <c r="E4" s="260"/>
      <c r="F4" s="261" t="s">
        <v>53</v>
      </c>
      <c r="G4" s="262"/>
      <c r="H4" s="263" t="s">
        <v>54</v>
      </c>
      <c r="I4" s="264"/>
      <c r="J4" s="264"/>
      <c r="K4" s="264"/>
      <c r="L4" s="264"/>
      <c r="M4" s="264"/>
      <c r="N4" s="264"/>
      <c r="O4" s="265"/>
      <c r="P4" s="11"/>
      <c r="Q4" s="11"/>
      <c r="R4" s="266" t="s">
        <v>55</v>
      </c>
      <c r="S4" s="267"/>
      <c r="T4" s="113">
        <v>800000</v>
      </c>
      <c r="U4" s="266" t="s">
        <v>56</v>
      </c>
      <c r="V4" s="268"/>
      <c r="W4" s="269">
        <f>+T59</f>
        <v>68000</v>
      </c>
      <c r="X4" s="270"/>
      <c r="Y4" s="111">
        <f>+W4/T4</f>
        <v>8.5000000000000006E-2</v>
      </c>
      <c r="Z4" s="219" t="s">
        <v>57</v>
      </c>
      <c r="AA4" s="220"/>
      <c r="AB4" s="220"/>
      <c r="AC4" s="220"/>
      <c r="AD4" s="221"/>
      <c r="AE4" s="11"/>
      <c r="AF4" s="11"/>
      <c r="AG4" s="11"/>
      <c r="AH4" s="11"/>
      <c r="AI4" s="11"/>
      <c r="AJ4" s="11"/>
      <c r="AK4" s="11"/>
      <c r="AL4" s="11"/>
      <c r="AM4" s="11"/>
    </row>
    <row r="5" spans="1:40" ht="18" customHeight="1" thickBot="1" x14ac:dyDescent="0.3">
      <c r="A5" s="224" t="s">
        <v>58</v>
      </c>
      <c r="B5" s="225"/>
      <c r="C5" s="226"/>
      <c r="D5" s="227" t="s">
        <v>59</v>
      </c>
      <c r="E5" s="228"/>
      <c r="F5" s="229" t="s">
        <v>60</v>
      </c>
      <c r="G5" s="230"/>
      <c r="H5" s="231">
        <v>45437</v>
      </c>
      <c r="I5" s="232"/>
      <c r="J5" s="232"/>
      <c r="K5" s="232"/>
      <c r="L5" s="232"/>
      <c r="M5" s="232"/>
      <c r="N5" s="232"/>
      <c r="O5" s="233"/>
      <c r="P5" s="11"/>
      <c r="Q5" s="11"/>
      <c r="R5" s="113" t="s">
        <v>61</v>
      </c>
      <c r="S5" s="114" t="s">
        <v>62</v>
      </c>
      <c r="U5" s="251" t="s">
        <v>63</v>
      </c>
      <c r="V5" s="252"/>
      <c r="W5" s="253">
        <f>+V59</f>
        <v>25350</v>
      </c>
      <c r="X5" s="254"/>
      <c r="Y5" s="112">
        <f>+W5/T4</f>
        <v>3.16875E-2</v>
      </c>
      <c r="Z5" s="219" t="s">
        <v>64</v>
      </c>
      <c r="AA5" s="220"/>
      <c r="AB5" s="220"/>
      <c r="AC5" s="220"/>
      <c r="AD5" s="221"/>
      <c r="AE5" s="11"/>
      <c r="AF5" s="11"/>
      <c r="AG5" s="11"/>
      <c r="AH5" s="11"/>
      <c r="AI5" s="11"/>
      <c r="AJ5" s="11"/>
      <c r="AK5" s="11"/>
      <c r="AL5" s="11"/>
      <c r="AM5" s="11"/>
    </row>
    <row r="6" spans="1:40" ht="18" customHeight="1" thickBot="1" x14ac:dyDescent="0.3">
      <c r="A6" s="224" t="s">
        <v>65</v>
      </c>
      <c r="B6" s="225"/>
      <c r="C6" s="226"/>
      <c r="D6" s="280" t="s">
        <v>66</v>
      </c>
      <c r="E6" s="281"/>
      <c r="F6" s="282" t="s">
        <v>67</v>
      </c>
      <c r="G6" s="283"/>
      <c r="H6" s="284" t="s">
        <v>68</v>
      </c>
      <c r="I6" s="285"/>
      <c r="J6" s="285"/>
      <c r="K6" s="285"/>
      <c r="L6" s="285"/>
      <c r="M6" s="285"/>
      <c r="N6" s="285"/>
      <c r="O6" s="286"/>
      <c r="P6" s="11"/>
      <c r="Q6" s="11"/>
      <c r="R6" s="113" t="s">
        <v>69</v>
      </c>
      <c r="S6" s="113" t="s">
        <v>70</v>
      </c>
      <c r="T6" s="11"/>
      <c r="U6" s="287" t="s">
        <v>71</v>
      </c>
      <c r="V6" s="288"/>
      <c r="W6" s="289">
        <f>+W4+W5</f>
        <v>93350</v>
      </c>
      <c r="X6" s="290"/>
      <c r="Y6" s="112">
        <f>+W6/T4</f>
        <v>0.1166875</v>
      </c>
      <c r="Z6" s="11"/>
      <c r="AA6" s="11"/>
      <c r="AB6" s="11"/>
      <c r="AC6" s="11"/>
      <c r="AD6" s="11"/>
      <c r="AE6" s="11"/>
      <c r="AF6" s="11"/>
      <c r="AG6" s="11"/>
      <c r="AH6" s="11"/>
      <c r="AI6" s="11" t="s">
        <v>72</v>
      </c>
      <c r="AJ6" s="11"/>
      <c r="AK6" s="11"/>
      <c r="AL6" s="11"/>
      <c r="AM6" s="11"/>
    </row>
    <row r="7" spans="1:40" ht="6" customHeight="1" thickBot="1" x14ac:dyDescent="0.3">
      <c r="A7" s="13"/>
      <c r="B7" s="8"/>
      <c r="G7" s="8"/>
      <c r="H7" s="8"/>
    </row>
    <row r="8" spans="1:40" s="108" customFormat="1" ht="15" customHeight="1" thickBot="1" x14ac:dyDescent="0.35">
      <c r="A8" s="10"/>
      <c r="B8" s="234" t="s">
        <v>73</v>
      </c>
      <c r="C8" s="235"/>
      <c r="D8" s="235"/>
      <c r="E8" s="235"/>
      <c r="F8" s="236"/>
      <c r="G8" s="237" t="s">
        <v>74</v>
      </c>
      <c r="H8" s="238"/>
      <c r="I8" s="239"/>
      <c r="J8" s="240" t="s">
        <v>75</v>
      </c>
      <c r="K8" s="241"/>
      <c r="L8" s="241"/>
      <c r="M8" s="241"/>
      <c r="N8" s="241"/>
      <c r="O8" s="242"/>
      <c r="P8" s="271" t="s">
        <v>76</v>
      </c>
      <c r="Q8" s="272"/>
      <c r="R8" s="272"/>
      <c r="S8" s="272"/>
      <c r="T8" s="272"/>
      <c r="U8" s="272"/>
      <c r="V8" s="272"/>
      <c r="W8" s="272"/>
      <c r="X8" s="273"/>
      <c r="Y8" s="274" t="s">
        <v>77</v>
      </c>
      <c r="Z8" s="275"/>
      <c r="AA8" s="275"/>
      <c r="AB8" s="275"/>
      <c r="AC8" s="275"/>
      <c r="AD8" s="276"/>
      <c r="AE8" s="277" t="s">
        <v>78</v>
      </c>
      <c r="AF8" s="278"/>
      <c r="AG8" s="278"/>
      <c r="AH8" s="278"/>
      <c r="AI8" s="278"/>
      <c r="AJ8" s="278"/>
      <c r="AK8" s="278"/>
      <c r="AL8" s="278"/>
      <c r="AM8" s="279"/>
    </row>
    <row r="9" spans="1:40" s="109" customFormat="1" ht="31.5" customHeight="1" x14ac:dyDescent="0.25">
      <c r="A9" s="247" t="s">
        <v>79</v>
      </c>
      <c r="B9" s="249" t="s">
        <v>80</v>
      </c>
      <c r="C9" s="249" t="s">
        <v>81</v>
      </c>
      <c r="D9" s="249" t="s">
        <v>82</v>
      </c>
      <c r="E9" s="291" t="s">
        <v>83</v>
      </c>
      <c r="F9" s="249" t="s">
        <v>84</v>
      </c>
      <c r="G9" s="243" t="s">
        <v>85</v>
      </c>
      <c r="H9" s="243" t="s">
        <v>86</v>
      </c>
      <c r="I9" s="243" t="s">
        <v>87</v>
      </c>
      <c r="J9" s="245" t="s">
        <v>88</v>
      </c>
      <c r="K9" s="245" t="s">
        <v>89</v>
      </c>
      <c r="L9" s="245" t="s">
        <v>90</v>
      </c>
      <c r="M9" s="245" t="s">
        <v>91</v>
      </c>
      <c r="N9" s="293" t="s">
        <v>92</v>
      </c>
      <c r="O9" s="293"/>
      <c r="P9" s="245" t="s">
        <v>93</v>
      </c>
      <c r="Q9" s="293" t="s">
        <v>94</v>
      </c>
      <c r="R9" s="293" t="s">
        <v>95</v>
      </c>
      <c r="S9" s="293" t="s">
        <v>96</v>
      </c>
      <c r="T9" s="293" t="s">
        <v>97</v>
      </c>
      <c r="U9" s="293" t="s">
        <v>98</v>
      </c>
      <c r="V9" s="293" t="s">
        <v>99</v>
      </c>
      <c r="W9" s="293" t="s">
        <v>100</v>
      </c>
      <c r="X9" s="293" t="s">
        <v>101</v>
      </c>
      <c r="Y9" s="245" t="s">
        <v>102</v>
      </c>
      <c r="Z9" s="245" t="s">
        <v>103</v>
      </c>
      <c r="AA9" s="245" t="s">
        <v>90</v>
      </c>
      <c r="AB9" s="245" t="s">
        <v>104</v>
      </c>
      <c r="AC9" s="245" t="s">
        <v>105</v>
      </c>
      <c r="AD9" s="297" t="s">
        <v>106</v>
      </c>
      <c r="AE9" s="299" t="s">
        <v>107</v>
      </c>
      <c r="AF9" s="300"/>
      <c r="AG9" s="300"/>
      <c r="AH9" s="295" t="s">
        <v>108</v>
      </c>
      <c r="AI9" s="295" t="s">
        <v>109</v>
      </c>
      <c r="AJ9" s="295" t="s">
        <v>110</v>
      </c>
      <c r="AK9" s="295" t="s">
        <v>111</v>
      </c>
      <c r="AL9" s="295" t="s">
        <v>112</v>
      </c>
      <c r="AM9" s="296" t="s">
        <v>113</v>
      </c>
    </row>
    <row r="10" spans="1:40" s="109" customFormat="1" ht="61.2" customHeight="1" x14ac:dyDescent="0.25">
      <c r="A10" s="248"/>
      <c r="B10" s="250"/>
      <c r="C10" s="250"/>
      <c r="D10" s="250"/>
      <c r="E10" s="292"/>
      <c r="F10" s="250"/>
      <c r="G10" s="244"/>
      <c r="H10" s="244"/>
      <c r="I10" s="244"/>
      <c r="J10" s="246"/>
      <c r="K10" s="246"/>
      <c r="L10" s="246"/>
      <c r="M10" s="246"/>
      <c r="N10" s="35" t="s">
        <v>114</v>
      </c>
      <c r="O10" s="35" t="s">
        <v>106</v>
      </c>
      <c r="P10" s="246"/>
      <c r="Q10" s="294"/>
      <c r="R10" s="294"/>
      <c r="S10" s="294"/>
      <c r="T10" s="294"/>
      <c r="U10" s="294"/>
      <c r="V10" s="294"/>
      <c r="W10" s="294"/>
      <c r="X10" s="294"/>
      <c r="Y10" s="246"/>
      <c r="Z10" s="246"/>
      <c r="AA10" s="246"/>
      <c r="AB10" s="246"/>
      <c r="AC10" s="246"/>
      <c r="AD10" s="298"/>
      <c r="AE10" s="50" t="s">
        <v>115</v>
      </c>
      <c r="AF10" s="51" t="s">
        <v>116</v>
      </c>
      <c r="AG10" s="51" t="s">
        <v>117</v>
      </c>
      <c r="AH10" s="295"/>
      <c r="AI10" s="295"/>
      <c r="AJ10" s="295"/>
      <c r="AK10" s="295"/>
      <c r="AL10" s="295"/>
      <c r="AM10" s="296"/>
      <c r="AN10" s="110"/>
    </row>
    <row r="11" spans="1:40" ht="43.95" customHeight="1" x14ac:dyDescent="0.25">
      <c r="A11" s="199" t="s">
        <v>118</v>
      </c>
      <c r="B11" s="201" t="s">
        <v>119</v>
      </c>
      <c r="C11" s="201" t="s">
        <v>120</v>
      </c>
      <c r="D11" s="204" t="s">
        <v>121</v>
      </c>
      <c r="E11" s="206" t="s">
        <v>122</v>
      </c>
      <c r="F11" s="206" t="s">
        <v>123</v>
      </c>
      <c r="G11" s="201" t="s">
        <v>124</v>
      </c>
      <c r="H11" s="201" t="s">
        <v>125</v>
      </c>
      <c r="I11" s="208" t="s">
        <v>126</v>
      </c>
      <c r="J11" s="195">
        <v>0.75</v>
      </c>
      <c r="K11" s="192">
        <f>_xlfn.XLOOKUP(J11,'Listas Desplegables (LD)'!$J$8:$J$12,'Listas Desplegables (LD)'!$K$8:$K$12, 0,1)</f>
        <v>4</v>
      </c>
      <c r="L11" s="197">
        <v>4</v>
      </c>
      <c r="M11" s="184">
        <f>+K11*L11</f>
        <v>16</v>
      </c>
      <c r="N11" s="186" t="str">
        <f>+IF(M11&gt;=20,"IV",IF(OR(AND(M11&gt;=9,M11&lt;=16),AND(L11=5,K11=1)),"III",IF(OR(AND(M11&lt;=9,M11&gt;=6),AND(K11=1,L11=4),AND(K11=4,L11=1),AND(K11=1,L11=3)),"II",IF(OR(M11=2,M11=1,AND(L11=1,K11=3),AND(L11=2,K11=2)),"I"," "))))</f>
        <v>III</v>
      </c>
      <c r="O11" s="54">
        <v>2</v>
      </c>
      <c r="P11" s="55"/>
      <c r="Q11" s="56" t="s">
        <v>127</v>
      </c>
      <c r="R11" s="53" t="s">
        <v>128</v>
      </c>
      <c r="S11" s="195">
        <f>+J11</f>
        <v>0.75</v>
      </c>
      <c r="T11" s="57">
        <v>5000</v>
      </c>
      <c r="U11" s="57"/>
      <c r="V11" s="57">
        <f>+U11*S11</f>
        <v>0</v>
      </c>
      <c r="W11" s="56" t="s">
        <v>129</v>
      </c>
      <c r="X11" s="116">
        <v>44346</v>
      </c>
      <c r="Y11" s="195">
        <v>0.1</v>
      </c>
      <c r="Z11" s="197">
        <f>_xlfn.XLOOKUP(Y11,'Listas Desplegables (LD)'!$J$8:$J$12,'Listas Desplegables (LD)'!$K$8:$K$12, 0,1)</f>
        <v>2</v>
      </c>
      <c r="AA11" s="197">
        <v>3</v>
      </c>
      <c r="AB11" s="184">
        <f>Z11*AA11</f>
        <v>6</v>
      </c>
      <c r="AC11" s="186" t="str">
        <f>+IF(AB11&gt;=20,"IV",IF(OR(AND(AB11&gt;=9,AB11&lt;=16),AND(AA11=5,Z11=1)),"III",IF(OR(AND(AB11&lt;=9,AB11&gt;=6),AND(Z11=1,AA11=4),AND(Z11=4,AA11=1),AND(Z11=1,AA11=3)),"II",IF(OR(AB11=2,AB11=1,AND(AA11=1,Z11=3),AND(AA11=2,Z11=2)),"I"," "))))</f>
        <v>II</v>
      </c>
      <c r="AD11" s="58"/>
      <c r="AE11" s="59"/>
      <c r="AF11" s="54"/>
      <c r="AG11" s="54"/>
      <c r="AH11" s="60"/>
      <c r="AI11" s="54"/>
      <c r="AJ11" s="61"/>
      <c r="AK11" s="61"/>
      <c r="AL11" s="62"/>
      <c r="AM11" s="63"/>
    </row>
    <row r="12" spans="1:40" ht="43.95" customHeight="1" x14ac:dyDescent="0.25">
      <c r="A12" s="200"/>
      <c r="B12" s="202"/>
      <c r="C12" s="202"/>
      <c r="D12" s="205"/>
      <c r="E12" s="207"/>
      <c r="F12" s="207"/>
      <c r="G12" s="202"/>
      <c r="H12" s="202"/>
      <c r="I12" s="209"/>
      <c r="J12" s="196"/>
      <c r="K12" s="192"/>
      <c r="L12" s="198"/>
      <c r="M12" s="185"/>
      <c r="N12" s="187"/>
      <c r="O12" s="65">
        <v>1</v>
      </c>
      <c r="P12" s="66"/>
      <c r="Q12" s="67" t="s">
        <v>130</v>
      </c>
      <c r="R12" s="64" t="s">
        <v>131</v>
      </c>
      <c r="S12" s="196"/>
      <c r="T12" s="68"/>
      <c r="U12" s="68">
        <v>15000</v>
      </c>
      <c r="V12" s="68">
        <f>+U12*S11</f>
        <v>11250</v>
      </c>
      <c r="W12" s="67" t="s">
        <v>54</v>
      </c>
      <c r="X12" s="117">
        <v>44357</v>
      </c>
      <c r="Y12" s="196"/>
      <c r="Z12" s="198"/>
      <c r="AA12" s="198"/>
      <c r="AB12" s="185"/>
      <c r="AC12" s="187"/>
      <c r="AD12" s="69"/>
      <c r="AE12" s="59"/>
      <c r="AF12" s="54"/>
      <c r="AG12" s="54"/>
      <c r="AH12" s="60"/>
      <c r="AI12" s="54"/>
      <c r="AJ12" s="61"/>
      <c r="AK12" s="61"/>
      <c r="AL12" s="62"/>
      <c r="AM12" s="63"/>
    </row>
    <row r="13" spans="1:40" ht="45" customHeight="1" x14ac:dyDescent="0.25">
      <c r="A13" s="188" t="s">
        <v>132</v>
      </c>
      <c r="B13" s="202"/>
      <c r="C13" s="202"/>
      <c r="D13" s="189" t="s">
        <v>133</v>
      </c>
      <c r="E13" s="190" t="s">
        <v>134</v>
      </c>
      <c r="F13" s="190" t="s">
        <v>135</v>
      </c>
      <c r="G13" s="202"/>
      <c r="H13" s="202"/>
      <c r="I13" s="209"/>
      <c r="J13" s="191">
        <v>0.3</v>
      </c>
      <c r="K13" s="192">
        <f>_xlfn.XLOOKUP(J13,'Listas Desplegables (LD)'!$J$8:$J$12,'Listas Desplegables (LD)'!$K$8:$K$12, 0,1)</f>
        <v>3</v>
      </c>
      <c r="L13" s="192">
        <v>3</v>
      </c>
      <c r="M13" s="193">
        <f>+K13*L13</f>
        <v>9</v>
      </c>
      <c r="N13" s="194" t="str">
        <f>+IF(M13&gt;=20,"IV",IF(OR(AND(M13&gt;=9,M13&lt;=16),AND(L13=5,K13=1)),"III",IF(OR(AND(M13&lt;=9,M13&gt;=6),AND(K13=1,L13=4),AND(K13=4,L13=1),AND(K13=1,L13=3)),"II",IF(OR(M13=2,M13=1,AND(L13=1,K13=3),AND(L13=2,K13=2)),"I"," "))))</f>
        <v>III</v>
      </c>
      <c r="O13" s="71">
        <v>1</v>
      </c>
      <c r="P13" s="72"/>
      <c r="Q13" s="73" t="s">
        <v>127</v>
      </c>
      <c r="R13" s="70" t="s">
        <v>136</v>
      </c>
      <c r="S13" s="191">
        <f>+J13</f>
        <v>0.3</v>
      </c>
      <c r="T13" s="74">
        <v>4500</v>
      </c>
      <c r="U13" s="74"/>
      <c r="V13" s="74">
        <f>+U13*S13</f>
        <v>0</v>
      </c>
      <c r="W13" s="73" t="s">
        <v>54</v>
      </c>
      <c r="X13" s="118">
        <v>44346</v>
      </c>
      <c r="Y13" s="191">
        <v>0.1</v>
      </c>
      <c r="Z13" s="192">
        <f>_xlfn.XLOOKUP(Y13,'Listas Desplegables (LD)'!$J$8:$J$12,'Listas Desplegables (LD)'!$K$8:$K$12, 0,1)</f>
        <v>2</v>
      </c>
      <c r="AA13" s="192">
        <v>3</v>
      </c>
      <c r="AB13" s="193">
        <f>Z13*AA13</f>
        <v>6</v>
      </c>
      <c r="AC13" s="194" t="str">
        <f>+IF(AB13&gt;=20,"IV",IF(OR(AND(AB13&gt;=9,AB13&lt;=16),AND(AA13=5,Z13=1)),"III",IF(OR(AND(AB13&lt;=9,AB13&gt;=6),AND(Z13=1,AA13=4),AND(Z13=4,AA13=1),AND(Z13=1,AA13=3)),"II",IF(OR(AB13=2,AB13=1,AND(AA13=1,Z13=3),AND(AA13=2,Z13=2)),"I"," "))))</f>
        <v>II</v>
      </c>
      <c r="AD13" s="75"/>
      <c r="AE13" s="76"/>
      <c r="AF13" s="77"/>
      <c r="AG13" s="77"/>
      <c r="AH13" s="78"/>
      <c r="AI13" s="77"/>
      <c r="AJ13" s="79"/>
      <c r="AK13" s="79"/>
      <c r="AL13" s="80"/>
      <c r="AM13" s="81"/>
    </row>
    <row r="14" spans="1:40" ht="45" customHeight="1" thickBot="1" x14ac:dyDescent="0.3">
      <c r="A14" s="188"/>
      <c r="B14" s="202"/>
      <c r="C14" s="202"/>
      <c r="D14" s="189"/>
      <c r="E14" s="190"/>
      <c r="F14" s="190"/>
      <c r="G14" s="202"/>
      <c r="H14" s="202"/>
      <c r="I14" s="209"/>
      <c r="J14" s="191"/>
      <c r="K14" s="192"/>
      <c r="L14" s="192"/>
      <c r="M14" s="193"/>
      <c r="N14" s="194"/>
      <c r="O14" s="71">
        <v>3</v>
      </c>
      <c r="P14" s="72"/>
      <c r="Q14" s="73" t="s">
        <v>137</v>
      </c>
      <c r="R14" s="70" t="s">
        <v>138</v>
      </c>
      <c r="S14" s="191"/>
      <c r="T14" s="74"/>
      <c r="U14" s="74"/>
      <c r="V14" s="74">
        <f>+U14*S13</f>
        <v>0</v>
      </c>
      <c r="W14" s="73" t="s">
        <v>139</v>
      </c>
      <c r="X14" s="73" t="s">
        <v>140</v>
      </c>
      <c r="Y14" s="191"/>
      <c r="Z14" s="192"/>
      <c r="AA14" s="192"/>
      <c r="AB14" s="193"/>
      <c r="AC14" s="194"/>
      <c r="AD14" s="75"/>
      <c r="AE14" s="76"/>
      <c r="AF14" s="77"/>
      <c r="AG14" s="77"/>
      <c r="AH14" s="78"/>
      <c r="AI14" s="77"/>
      <c r="AJ14" s="79"/>
      <c r="AK14" s="79"/>
      <c r="AL14" s="80"/>
      <c r="AM14" s="81"/>
    </row>
    <row r="15" spans="1:40" ht="43.2" customHeight="1" x14ac:dyDescent="0.25">
      <c r="A15" s="211" t="s">
        <v>141</v>
      </c>
      <c r="B15" s="202"/>
      <c r="C15" s="202"/>
      <c r="D15" s="213" t="s">
        <v>142</v>
      </c>
      <c r="E15" s="215" t="s">
        <v>143</v>
      </c>
      <c r="F15" s="215" t="s">
        <v>144</v>
      </c>
      <c r="G15" s="202"/>
      <c r="H15" s="202"/>
      <c r="I15" s="209"/>
      <c r="J15" s="180">
        <v>0.1</v>
      </c>
      <c r="K15" s="182">
        <f>_xlfn.XLOOKUP(J15,'Listas Desplegables (LD)'!$J$8:$J$12,'Listas Desplegables (LD)'!$K$8:$K$12, 0,1)</f>
        <v>2</v>
      </c>
      <c r="L15" s="182">
        <v>3</v>
      </c>
      <c r="M15" s="176">
        <f>+K15*L15</f>
        <v>6</v>
      </c>
      <c r="N15" s="178" t="str">
        <f>+IF(M15&gt;=20,"IV",IF(OR(AND(M15&gt;=9,M15&lt;=16),AND(L15=5,K15=1)),"III",IF(OR(AND(M15&lt;=9,M15&gt;=6),AND(K15=1,L15=4),AND(K15=4,L15=1),AND(K15=1,L15=3)),"II",IF(OR(M15=2,M15=1,AND(L15=1,K15=3),AND(L15=2,K15=2)),"I"," "))))</f>
        <v>II</v>
      </c>
      <c r="O15" s="83">
        <v>2</v>
      </c>
      <c r="P15" s="84"/>
      <c r="Q15" s="85" t="s">
        <v>127</v>
      </c>
      <c r="R15" s="82" t="s">
        <v>145</v>
      </c>
      <c r="S15" s="180">
        <f>+J15</f>
        <v>0.1</v>
      </c>
      <c r="T15" s="86">
        <v>3500</v>
      </c>
      <c r="U15" s="86"/>
      <c r="V15" s="86">
        <f>+U15*S15</f>
        <v>0</v>
      </c>
      <c r="W15" s="85" t="s">
        <v>54</v>
      </c>
      <c r="X15" s="85" t="s">
        <v>146</v>
      </c>
      <c r="Y15" s="180">
        <v>0.05</v>
      </c>
      <c r="Z15" s="182">
        <f>_xlfn.XLOOKUP(Y15,'Listas Desplegables (LD)'!$J$8:$J$12,'Listas Desplegables (LD)'!$K$8:$K$12, 0,1)</f>
        <v>2</v>
      </c>
      <c r="AA15" s="182">
        <v>3</v>
      </c>
      <c r="AB15" s="176">
        <f>Z15*AA15</f>
        <v>6</v>
      </c>
      <c r="AC15" s="178" t="str">
        <f>+IF(AB15&gt;=20,"IV",IF(OR(AND(AB15&gt;=9,AB15&lt;=16),AND(AA15=5,Z15=1)),"III",IF(OR(AND(AB15&lt;=9,AB15&gt;=6),AND(Z15=1,AA15=4),AND(Z15=4,AA15=1),AND(Z15=1,AA15=3)),"II",IF(OR(AB15=2,AB15=1,AND(AA15=1,Z15=3),AND(AA15=2,Z15=2)),"I"," "))))</f>
        <v>II</v>
      </c>
      <c r="AD15" s="87"/>
      <c r="AE15" s="88"/>
      <c r="AF15" s="89"/>
      <c r="AG15" s="89"/>
      <c r="AH15" s="90"/>
      <c r="AI15" s="89"/>
      <c r="AJ15" s="91"/>
      <c r="AK15" s="91"/>
      <c r="AL15" s="92"/>
      <c r="AM15" s="93"/>
    </row>
    <row r="16" spans="1:40" ht="43.2" customHeight="1" thickBot="1" x14ac:dyDescent="0.3">
      <c r="A16" s="212"/>
      <c r="B16" s="203"/>
      <c r="C16" s="203"/>
      <c r="D16" s="214"/>
      <c r="E16" s="216"/>
      <c r="F16" s="216"/>
      <c r="G16" s="203"/>
      <c r="H16" s="203"/>
      <c r="I16" s="210"/>
      <c r="J16" s="181"/>
      <c r="K16" s="183"/>
      <c r="L16" s="183"/>
      <c r="M16" s="177"/>
      <c r="N16" s="179"/>
      <c r="O16" s="95">
        <v>3</v>
      </c>
      <c r="P16" s="96"/>
      <c r="Q16" s="97"/>
      <c r="R16" s="94"/>
      <c r="S16" s="181"/>
      <c r="T16" s="98"/>
      <c r="U16" s="98"/>
      <c r="V16" s="98">
        <f>+U16*S15</f>
        <v>0</v>
      </c>
      <c r="W16" s="97"/>
      <c r="X16" s="97"/>
      <c r="Y16" s="181"/>
      <c r="Z16" s="183"/>
      <c r="AA16" s="183"/>
      <c r="AB16" s="177"/>
      <c r="AC16" s="179"/>
      <c r="AD16" s="99"/>
      <c r="AE16" s="100"/>
      <c r="AF16" s="101"/>
      <c r="AG16" s="101"/>
      <c r="AH16" s="102"/>
      <c r="AI16" s="101"/>
      <c r="AJ16" s="103"/>
      <c r="AK16" s="103"/>
      <c r="AL16" s="104"/>
      <c r="AM16" s="105"/>
    </row>
    <row r="17" spans="1:39" ht="43.95" customHeight="1" thickBot="1" x14ac:dyDescent="0.3">
      <c r="A17" s="199" t="s">
        <v>147</v>
      </c>
      <c r="B17" s="201" t="s">
        <v>148</v>
      </c>
      <c r="C17" s="201" t="s">
        <v>149</v>
      </c>
      <c r="D17" s="204" t="s">
        <v>150</v>
      </c>
      <c r="E17" s="206" t="s">
        <v>151</v>
      </c>
      <c r="F17" s="206" t="s">
        <v>152</v>
      </c>
      <c r="G17" s="201" t="s">
        <v>124</v>
      </c>
      <c r="H17" s="201" t="s">
        <v>153</v>
      </c>
      <c r="I17" s="208" t="s">
        <v>126</v>
      </c>
      <c r="J17" s="195">
        <v>0.5</v>
      </c>
      <c r="K17" s="197">
        <f>_xlfn.XLOOKUP(J17,'Listas Desplegables (LD)'!$J$8:$J$12,'Listas Desplegables (LD)'!$K$8:$K$12, 0,1)</f>
        <v>3</v>
      </c>
      <c r="L17" s="197">
        <v>2</v>
      </c>
      <c r="M17" s="184">
        <f>+K17*L17</f>
        <v>6</v>
      </c>
      <c r="N17" s="186" t="str">
        <f>+IF(M17&gt;=20,"IV",IF(OR(AND(M17&gt;=9,M17&lt;=16),AND(L17=5,K17=1)),"III",IF(OR(AND(M17&lt;=9,M17&gt;=6),AND(K17=1,L17=4),AND(K17=4,L17=1),AND(K17=1,L17=3)),"II",IF(OR(M17=2,M17=1,AND(L17=1,K17=3),AND(L17=2,K17=2)),"I"," "))))</f>
        <v>II</v>
      </c>
      <c r="O17" s="54"/>
      <c r="P17" s="55"/>
      <c r="Q17" s="56" t="s">
        <v>154</v>
      </c>
      <c r="R17" s="53" t="s">
        <v>155</v>
      </c>
      <c r="S17" s="195">
        <f>+J17</f>
        <v>0.5</v>
      </c>
      <c r="T17" s="57"/>
      <c r="U17" s="57"/>
      <c r="V17" s="57">
        <f>+U17*S17</f>
        <v>0</v>
      </c>
      <c r="W17" s="56"/>
      <c r="X17" s="56"/>
      <c r="Y17" s="195">
        <v>0.1</v>
      </c>
      <c r="Z17" s="197">
        <f>_xlfn.XLOOKUP(Y17,'Listas Desplegables (LD)'!$J$8:$J$12,'Listas Desplegables (LD)'!$K$8:$K$12, 0,1)</f>
        <v>2</v>
      </c>
      <c r="AA17" s="197">
        <v>3</v>
      </c>
      <c r="AB17" s="184">
        <f>Z17*AA17</f>
        <v>6</v>
      </c>
      <c r="AC17" s="186" t="str">
        <f>+IF(AB17&gt;=20,"IV",IF(OR(AND(AB17&gt;=9,AB17&lt;=16),AND(AA17=5,Z17=1)),"III",IF(OR(AND(AB17&lt;=9,AB17&gt;=6),AND(Z17=1,AA17=4),AND(Z17=4,AA17=1),AND(Z17=1,AA17=3)),"II",IF(OR(AB17=2,AB17=1,AND(AA17=1,Z17=3),AND(AA17=2,Z17=2)),"I"," "))))</f>
        <v>II</v>
      </c>
      <c r="AD17" s="58"/>
      <c r="AE17" s="59"/>
      <c r="AF17" s="54"/>
      <c r="AG17" s="54"/>
      <c r="AH17" s="60"/>
      <c r="AI17" s="54"/>
      <c r="AJ17" s="61"/>
      <c r="AK17" s="61"/>
      <c r="AL17" s="62"/>
      <c r="AM17" s="63"/>
    </row>
    <row r="18" spans="1:39" ht="43.95" customHeight="1" thickBot="1" x14ac:dyDescent="0.3">
      <c r="A18" s="200"/>
      <c r="B18" s="202"/>
      <c r="C18" s="202"/>
      <c r="D18" s="205"/>
      <c r="E18" s="207"/>
      <c r="F18" s="207"/>
      <c r="G18" s="202"/>
      <c r="H18" s="202"/>
      <c r="I18" s="209"/>
      <c r="J18" s="196"/>
      <c r="K18" s="198"/>
      <c r="L18" s="198"/>
      <c r="M18" s="185"/>
      <c r="N18" s="187"/>
      <c r="O18" s="65"/>
      <c r="P18" s="66"/>
      <c r="Q18" s="67" t="s">
        <v>154</v>
      </c>
      <c r="R18" s="64"/>
      <c r="S18" s="196"/>
      <c r="T18" s="68"/>
      <c r="U18" s="68"/>
      <c r="V18" s="68">
        <f>+U18*S17</f>
        <v>0</v>
      </c>
      <c r="W18" s="67"/>
      <c r="X18" s="67"/>
      <c r="Y18" s="196"/>
      <c r="Z18" s="198"/>
      <c r="AA18" s="198"/>
      <c r="AB18" s="185"/>
      <c r="AC18" s="187"/>
      <c r="AD18" s="69"/>
      <c r="AE18" s="59"/>
      <c r="AF18" s="54"/>
      <c r="AG18" s="54"/>
      <c r="AH18" s="60"/>
      <c r="AI18" s="54"/>
      <c r="AJ18" s="61"/>
      <c r="AK18" s="61"/>
      <c r="AL18" s="62"/>
      <c r="AM18" s="63"/>
    </row>
    <row r="19" spans="1:39" ht="45" customHeight="1" thickBot="1" x14ac:dyDescent="0.3">
      <c r="A19" s="188" t="s">
        <v>156</v>
      </c>
      <c r="B19" s="202"/>
      <c r="C19" s="202"/>
      <c r="D19" s="189" t="s">
        <v>157</v>
      </c>
      <c r="E19" s="190" t="s">
        <v>158</v>
      </c>
      <c r="F19" s="190" t="s">
        <v>159</v>
      </c>
      <c r="G19" s="202"/>
      <c r="H19" s="202"/>
      <c r="I19" s="209"/>
      <c r="J19" s="191">
        <v>0.5</v>
      </c>
      <c r="K19" s="192">
        <f>_xlfn.XLOOKUP(J19,'Listas Desplegables (LD)'!$J$8:$J$12,'Listas Desplegables (LD)'!$K$8:$K$12, 0,1)</f>
        <v>3</v>
      </c>
      <c r="L19" s="192">
        <v>4</v>
      </c>
      <c r="M19" s="193">
        <f>+K19*L19</f>
        <v>12</v>
      </c>
      <c r="N19" s="194" t="str">
        <f>+IF(M19&gt;=20,"IV",IF(OR(AND(M19&gt;=9,M19&lt;=16),AND(L19=5,K19=1)),"III",IF(OR(AND(M19&lt;=9,M19&gt;=6),AND(K19=1,L19=4),AND(K19=4,L19=1),AND(K19=1,L19=3)),"II",IF(OR(M19=2,M19=1,AND(L19=1,K19=3),AND(L19=2,K19=2)),"I"," "))))</f>
        <v>III</v>
      </c>
      <c r="O19" s="71">
        <v>2</v>
      </c>
      <c r="P19" s="72"/>
      <c r="Q19" s="73" t="s">
        <v>127</v>
      </c>
      <c r="R19" s="70" t="s">
        <v>160</v>
      </c>
      <c r="S19" s="191">
        <f>+J19</f>
        <v>0.5</v>
      </c>
      <c r="T19" s="74">
        <v>10000</v>
      </c>
      <c r="U19" s="74"/>
      <c r="V19" s="74">
        <f>+U19*S19</f>
        <v>0</v>
      </c>
      <c r="W19" s="73" t="s">
        <v>161</v>
      </c>
      <c r="X19" s="118">
        <v>44357</v>
      </c>
      <c r="Y19" s="191">
        <v>0.1</v>
      </c>
      <c r="Z19" s="192">
        <f>_xlfn.XLOOKUP(Y19,'Listas Desplegables (LD)'!$J$8:$J$12,'Listas Desplegables (LD)'!$K$8:$K$12, 0,1)</f>
        <v>2</v>
      </c>
      <c r="AA19" s="192">
        <v>3</v>
      </c>
      <c r="AB19" s="193">
        <f>Z19*AA19</f>
        <v>6</v>
      </c>
      <c r="AC19" s="194" t="str">
        <f>+IF(AB19&gt;=20,"IV",IF(OR(AND(AB19&gt;=9,AB19&lt;=16),AND(AA19=5,Z19=1)),"III",IF(OR(AND(AB19&lt;=9,AB19&gt;=6),AND(Z19=1,AA19=4),AND(Z19=4,AA19=1),AND(Z19=1,AA19=3)),"II",IF(OR(AB19=2,AB19=1,AND(AA19=1,Z19=3),AND(AA19=2,Z19=2)),"I"," "))))</f>
        <v>II</v>
      </c>
      <c r="AD19" s="75"/>
      <c r="AE19" s="76"/>
      <c r="AF19" s="77"/>
      <c r="AG19" s="77"/>
      <c r="AH19" s="78"/>
      <c r="AI19" s="77"/>
      <c r="AJ19" s="79"/>
      <c r="AK19" s="79"/>
      <c r="AL19" s="80"/>
      <c r="AM19" s="81"/>
    </row>
    <row r="20" spans="1:39" ht="45" customHeight="1" thickBot="1" x14ac:dyDescent="0.3">
      <c r="A20" s="188"/>
      <c r="B20" s="202"/>
      <c r="C20" s="202"/>
      <c r="D20" s="189"/>
      <c r="E20" s="190"/>
      <c r="F20" s="190"/>
      <c r="G20" s="202"/>
      <c r="H20" s="202"/>
      <c r="I20" s="209"/>
      <c r="J20" s="191"/>
      <c r="K20" s="192"/>
      <c r="L20" s="192"/>
      <c r="M20" s="193"/>
      <c r="N20" s="194"/>
      <c r="O20" s="71">
        <v>2</v>
      </c>
      <c r="P20" s="72"/>
      <c r="Q20" s="73" t="s">
        <v>130</v>
      </c>
      <c r="R20" s="70" t="s">
        <v>162</v>
      </c>
      <c r="S20" s="191"/>
      <c r="T20" s="74"/>
      <c r="U20" s="74">
        <v>15000</v>
      </c>
      <c r="V20" s="74">
        <f>+U20*S19</f>
        <v>7500</v>
      </c>
      <c r="W20" s="73" t="s">
        <v>163</v>
      </c>
      <c r="X20" s="118">
        <v>44352</v>
      </c>
      <c r="Y20" s="191"/>
      <c r="Z20" s="192"/>
      <c r="AA20" s="192"/>
      <c r="AB20" s="193"/>
      <c r="AC20" s="194"/>
      <c r="AD20" s="75"/>
      <c r="AE20" s="76"/>
      <c r="AF20" s="77"/>
      <c r="AG20" s="77"/>
      <c r="AH20" s="78"/>
      <c r="AI20" s="77"/>
      <c r="AJ20" s="79"/>
      <c r="AK20" s="79"/>
      <c r="AL20" s="80"/>
      <c r="AM20" s="81"/>
    </row>
    <row r="21" spans="1:39" ht="43.2" customHeight="1" thickBot="1" x14ac:dyDescent="0.3">
      <c r="A21" s="211" t="s">
        <v>164</v>
      </c>
      <c r="B21" s="202"/>
      <c r="C21" s="202"/>
      <c r="D21" s="213" t="s">
        <v>157</v>
      </c>
      <c r="E21" s="215" t="s">
        <v>165</v>
      </c>
      <c r="F21" s="215" t="s">
        <v>159</v>
      </c>
      <c r="G21" s="202"/>
      <c r="H21" s="202"/>
      <c r="I21" s="209"/>
      <c r="J21" s="180">
        <v>0.3</v>
      </c>
      <c r="K21" s="182">
        <f>_xlfn.XLOOKUP(J21,'Listas Desplegables (LD)'!$J$8:$J$12,'Listas Desplegables (LD)'!$K$8:$K$12, 0,1)</f>
        <v>3</v>
      </c>
      <c r="L21" s="182">
        <v>3</v>
      </c>
      <c r="M21" s="176">
        <f>+K21*L21</f>
        <v>9</v>
      </c>
      <c r="N21" s="178" t="str">
        <f>+IF(M21&gt;=20,"IV",IF(OR(AND(M21&gt;=9,M21&lt;=16),AND(L21=5,K21=1)),"III",IF(OR(AND(M21&lt;=9,M21&gt;=6),AND(K21=1,L21=4),AND(K21=4,L21=1),AND(K21=1,L21=3)),"II",IF(OR(M21=2,M21=1,AND(L21=1,K21=3),AND(L21=2,K21=2)),"I"," "))))</f>
        <v>III</v>
      </c>
      <c r="O21" s="83">
        <v>3</v>
      </c>
      <c r="P21" s="84"/>
      <c r="Q21" s="85" t="s">
        <v>130</v>
      </c>
      <c r="R21" s="82" t="s">
        <v>166</v>
      </c>
      <c r="S21" s="180">
        <f>+J21</f>
        <v>0.3</v>
      </c>
      <c r="T21" s="86"/>
      <c r="U21" s="86">
        <v>12000</v>
      </c>
      <c r="V21" s="86">
        <f>+U21*S21</f>
        <v>3600</v>
      </c>
      <c r="W21" s="85" t="s">
        <v>54</v>
      </c>
      <c r="X21" s="119">
        <v>44352</v>
      </c>
      <c r="Y21" s="180">
        <v>0.3</v>
      </c>
      <c r="Z21" s="182">
        <f>_xlfn.XLOOKUP(Y21,'Listas Desplegables (LD)'!$J$8:$J$12,'Listas Desplegables (LD)'!$K$8:$K$12, 0,1)</f>
        <v>3</v>
      </c>
      <c r="AA21" s="182">
        <v>2</v>
      </c>
      <c r="AB21" s="176">
        <f>Z21*AA21</f>
        <v>6</v>
      </c>
      <c r="AC21" s="178" t="str">
        <f>+IF(AB21&gt;=20,"IV",IF(OR(AND(AB21&gt;=9,AB21&lt;=16),AND(AA21=5,Z21=1)),"III",IF(OR(AND(AB21&lt;=9,AB21&gt;=6),AND(Z21=1,AA21=4),AND(Z21=4,AA21=1),AND(Z21=1,AA21=3)),"II",IF(OR(AB21=2,AB21=1,AND(AA21=1,Z21=3),AND(AA21=2,Z21=2)),"I"," "))))</f>
        <v>II</v>
      </c>
      <c r="AD21" s="87"/>
      <c r="AE21" s="88"/>
      <c r="AF21" s="89"/>
      <c r="AG21" s="89"/>
      <c r="AH21" s="90"/>
      <c r="AI21" s="89"/>
      <c r="AJ21" s="91"/>
      <c r="AK21" s="91"/>
      <c r="AL21" s="92"/>
      <c r="AM21" s="93"/>
    </row>
    <row r="22" spans="1:39" ht="43.2" customHeight="1" thickBot="1" x14ac:dyDescent="0.3">
      <c r="A22" s="212"/>
      <c r="B22" s="203"/>
      <c r="C22" s="203"/>
      <c r="D22" s="214"/>
      <c r="E22" s="216"/>
      <c r="F22" s="216"/>
      <c r="G22" s="203"/>
      <c r="H22" s="203"/>
      <c r="I22" s="210"/>
      <c r="J22" s="181"/>
      <c r="K22" s="183"/>
      <c r="L22" s="183"/>
      <c r="M22" s="177"/>
      <c r="N22" s="179"/>
      <c r="O22" s="95">
        <v>2</v>
      </c>
      <c r="P22" s="96"/>
      <c r="Q22" s="97"/>
      <c r="R22" s="94"/>
      <c r="S22" s="181"/>
      <c r="T22" s="98"/>
      <c r="U22" s="98"/>
      <c r="V22" s="98">
        <f>+U22*S21</f>
        <v>0</v>
      </c>
      <c r="W22" s="97"/>
      <c r="X22" s="97"/>
      <c r="Y22" s="181"/>
      <c r="Z22" s="183"/>
      <c r="AA22" s="183"/>
      <c r="AB22" s="177"/>
      <c r="AC22" s="179"/>
      <c r="AD22" s="99"/>
      <c r="AE22" s="100"/>
      <c r="AF22" s="101"/>
      <c r="AG22" s="101"/>
      <c r="AH22" s="102"/>
      <c r="AI22" s="101"/>
      <c r="AJ22" s="103"/>
      <c r="AK22" s="103"/>
      <c r="AL22" s="104"/>
      <c r="AM22" s="105"/>
    </row>
    <row r="23" spans="1:39" ht="61.2" customHeight="1" thickBot="1" x14ac:dyDescent="0.3">
      <c r="A23" s="199" t="s">
        <v>167</v>
      </c>
      <c r="B23" s="201" t="s">
        <v>168</v>
      </c>
      <c r="C23" s="201" t="s">
        <v>169</v>
      </c>
      <c r="D23" s="204" t="s">
        <v>170</v>
      </c>
      <c r="E23" s="206" t="s">
        <v>171</v>
      </c>
      <c r="F23" s="206" t="s">
        <v>172</v>
      </c>
      <c r="G23" s="201" t="s">
        <v>124</v>
      </c>
      <c r="H23" s="201" t="s">
        <v>173</v>
      </c>
      <c r="I23" s="208" t="s">
        <v>126</v>
      </c>
      <c r="J23" s="195">
        <v>0.2</v>
      </c>
      <c r="K23" s="197">
        <f>_xlfn.XLOOKUP(J23,'Listas Desplegables (LD)'!$J$8:$J$12,'Listas Desplegables (LD)'!$K$8:$K$12, 0,1)</f>
        <v>3</v>
      </c>
      <c r="L23" s="197">
        <v>4</v>
      </c>
      <c r="M23" s="184">
        <f>+K23*L23</f>
        <v>12</v>
      </c>
      <c r="N23" s="222" t="str">
        <f>+IF(M23&gt;=20,"IV",IF(OR(AND(M23&gt;=9,M23&lt;=16),AND(L23=5,K23=1)),"III",IF(OR(AND(M23&lt;=9,M23&gt;=6),AND(K23=1,L23=4),AND(K23=4,L23=1),AND(K23=1,L23=3)),"II",IF(OR(M23=2,M23=1,AND(L23=1,K23=3),AND(L23=2,K23=2)),"I"," "))))</f>
        <v>III</v>
      </c>
      <c r="O23" s="54">
        <v>1</v>
      </c>
      <c r="P23" s="55"/>
      <c r="Q23" s="56" t="s">
        <v>130</v>
      </c>
      <c r="R23" s="53" t="s">
        <v>174</v>
      </c>
      <c r="S23" s="195">
        <f>+J23</f>
        <v>0.2</v>
      </c>
      <c r="T23" s="57">
        <v>45000</v>
      </c>
      <c r="U23" s="57"/>
      <c r="V23" s="57">
        <f>+U23*S23</f>
        <v>0</v>
      </c>
      <c r="W23" s="56"/>
      <c r="X23" s="56"/>
      <c r="Y23" s="195">
        <v>0.2</v>
      </c>
      <c r="Z23" s="197">
        <f>_xlfn.XLOOKUP(Y23,'Listas Desplegables (LD)'!$J$8:$J$12,'Listas Desplegables (LD)'!$K$8:$K$12, 0,1)</f>
        <v>3</v>
      </c>
      <c r="AA23" s="197">
        <v>2</v>
      </c>
      <c r="AB23" s="184">
        <f>Z23*AA23</f>
        <v>6</v>
      </c>
      <c r="AC23" s="186" t="str">
        <f>+IF(AB23&gt;=20,"IV",IF(OR(AND(AB23&gt;=9,AB23&lt;=16),AND(AA23=5,Z23=1)),"III",IF(OR(AND(AB23&lt;=9,AB23&gt;=6),AND(Z23=1,AA23=4),AND(Z23=4,AA23=1),AND(Z23=1,AA23=3)),"II",IF(OR(AB23=2,AB23=1,AND(AA23=1,Z23=3),AND(AA23=2,Z23=2)),"I"," "))))</f>
        <v>II</v>
      </c>
      <c r="AD23" s="58"/>
      <c r="AE23" s="59"/>
      <c r="AF23" s="54"/>
      <c r="AG23" s="54"/>
      <c r="AH23" s="60"/>
      <c r="AI23" s="54"/>
      <c r="AJ23" s="61"/>
      <c r="AK23" s="61"/>
      <c r="AL23" s="62"/>
      <c r="AM23" s="63"/>
    </row>
    <row r="24" spans="1:39" ht="43.95" customHeight="1" thickBot="1" x14ac:dyDescent="0.3">
      <c r="A24" s="200"/>
      <c r="B24" s="202"/>
      <c r="C24" s="202"/>
      <c r="D24" s="205"/>
      <c r="E24" s="207"/>
      <c r="F24" s="207"/>
      <c r="G24" s="202"/>
      <c r="H24" s="202"/>
      <c r="I24" s="209"/>
      <c r="J24" s="196"/>
      <c r="K24" s="198"/>
      <c r="L24" s="198"/>
      <c r="M24" s="185"/>
      <c r="N24" s="223"/>
      <c r="O24" s="65"/>
      <c r="P24" s="66"/>
      <c r="Q24" s="67"/>
      <c r="R24" s="64"/>
      <c r="S24" s="196"/>
      <c r="T24" s="68"/>
      <c r="U24" s="68"/>
      <c r="V24" s="68">
        <f>+U24*S23</f>
        <v>0</v>
      </c>
      <c r="W24" s="67"/>
      <c r="X24" s="67"/>
      <c r="Y24" s="196"/>
      <c r="Z24" s="198"/>
      <c r="AA24" s="198"/>
      <c r="AB24" s="185"/>
      <c r="AC24" s="187"/>
      <c r="AD24" s="69"/>
      <c r="AE24" s="59"/>
      <c r="AF24" s="54"/>
      <c r="AG24" s="54"/>
      <c r="AH24" s="60"/>
      <c r="AI24" s="54"/>
      <c r="AJ24" s="61"/>
      <c r="AK24" s="61"/>
      <c r="AL24" s="62"/>
      <c r="AM24" s="63"/>
    </row>
    <row r="25" spans="1:39" ht="45" customHeight="1" thickBot="1" x14ac:dyDescent="0.3">
      <c r="A25" s="188" t="s">
        <v>175</v>
      </c>
      <c r="B25" s="202"/>
      <c r="C25" s="202"/>
      <c r="D25" s="189" t="s">
        <v>176</v>
      </c>
      <c r="E25" s="190" t="s">
        <v>177</v>
      </c>
      <c r="F25" s="190" t="s">
        <v>178</v>
      </c>
      <c r="G25" s="202"/>
      <c r="H25" s="202"/>
      <c r="I25" s="209"/>
      <c r="J25" s="191">
        <v>0.1</v>
      </c>
      <c r="K25" s="192">
        <f>_xlfn.XLOOKUP(J25,'Listas Desplegables (LD)'!$J$8:$J$12,'Listas Desplegables (LD)'!$K$8:$K$12, 0,1)</f>
        <v>2</v>
      </c>
      <c r="L25" s="192">
        <v>5</v>
      </c>
      <c r="M25" s="193">
        <f>+K25*L25</f>
        <v>10</v>
      </c>
      <c r="N25" s="194" t="str">
        <f>+IF(M25&gt;=20,"IV",IF(OR(AND(M25&gt;=9,M25&lt;=16),AND(L25=5,K25=1)),"III",IF(OR(AND(M25&lt;=9,M25&gt;=6),AND(K25=1,L25=4),AND(K25=4,L25=1),AND(K25=1,L25=3)),"II",IF(OR(M25=2,M25=1,AND(L25=1,K25=3),AND(L25=2,K25=2)),"I"," "))))</f>
        <v>III</v>
      </c>
      <c r="O25" s="71">
        <v>2</v>
      </c>
      <c r="P25" s="72"/>
      <c r="Q25" s="73" t="s">
        <v>130</v>
      </c>
      <c r="R25" s="70" t="s">
        <v>179</v>
      </c>
      <c r="S25" s="191">
        <f>+J25</f>
        <v>0.1</v>
      </c>
      <c r="T25" s="74"/>
      <c r="U25" s="74">
        <v>30000</v>
      </c>
      <c r="V25" s="74">
        <f>+U25*S25</f>
        <v>3000</v>
      </c>
      <c r="W25" s="73"/>
      <c r="X25" s="73"/>
      <c r="Y25" s="191">
        <v>0.1</v>
      </c>
      <c r="Z25" s="192">
        <f>_xlfn.XLOOKUP(Y25,'Listas Desplegables (LD)'!$J$8:$J$12,'Listas Desplegables (LD)'!$K$8:$K$12, 0,1)</f>
        <v>2</v>
      </c>
      <c r="AA25" s="192">
        <v>4</v>
      </c>
      <c r="AB25" s="193">
        <f>Z25*AA25</f>
        <v>8</v>
      </c>
      <c r="AC25" s="194" t="str">
        <f>+IF(AB25&gt;=20,"IV",IF(OR(AND(AB25&gt;=9,AB25&lt;=16),AND(AA25=5,Z25=1)),"III",IF(OR(AND(AB25&lt;=9,AB25&gt;=6),AND(Z25=1,AA25=4),AND(Z25=4,AA25=1),AND(Z25=1,AA25=3)),"II",IF(OR(AB25=2,AB25=1,AND(AA25=1,Z25=3),AND(AA25=2,Z25=2)),"I"," "))))</f>
        <v>II</v>
      </c>
      <c r="AD25" s="75"/>
      <c r="AE25" s="76"/>
      <c r="AF25" s="77"/>
      <c r="AG25" s="77"/>
      <c r="AH25" s="78"/>
      <c r="AI25" s="77"/>
      <c r="AJ25" s="79"/>
      <c r="AK25" s="79"/>
      <c r="AL25" s="80"/>
      <c r="AM25" s="81"/>
    </row>
    <row r="26" spans="1:39" ht="45" customHeight="1" thickBot="1" x14ac:dyDescent="0.3">
      <c r="A26" s="188"/>
      <c r="B26" s="202"/>
      <c r="C26" s="202"/>
      <c r="D26" s="189"/>
      <c r="E26" s="190"/>
      <c r="F26" s="190"/>
      <c r="G26" s="202"/>
      <c r="H26" s="202"/>
      <c r="I26" s="209"/>
      <c r="J26" s="191"/>
      <c r="K26" s="192"/>
      <c r="L26" s="192"/>
      <c r="M26" s="193"/>
      <c r="N26" s="194"/>
      <c r="O26" s="71"/>
      <c r="P26" s="72"/>
      <c r="Q26" s="73" t="s">
        <v>154</v>
      </c>
      <c r="R26" s="70"/>
      <c r="S26" s="191"/>
      <c r="T26" s="74"/>
      <c r="U26" s="74"/>
      <c r="V26" s="74">
        <f>+U26*S25</f>
        <v>0</v>
      </c>
      <c r="W26" s="73"/>
      <c r="X26" s="73"/>
      <c r="Y26" s="191"/>
      <c r="Z26" s="192"/>
      <c r="AA26" s="192"/>
      <c r="AB26" s="193"/>
      <c r="AC26" s="194"/>
      <c r="AD26" s="75"/>
      <c r="AE26" s="76"/>
      <c r="AF26" s="77"/>
      <c r="AG26" s="77"/>
      <c r="AH26" s="78"/>
      <c r="AI26" s="77"/>
      <c r="AJ26" s="79"/>
      <c r="AK26" s="79"/>
      <c r="AL26" s="80"/>
      <c r="AM26" s="81"/>
    </row>
    <row r="27" spans="1:39" ht="43.2" customHeight="1" thickBot="1" x14ac:dyDescent="0.3">
      <c r="A27" s="211" t="s">
        <v>180</v>
      </c>
      <c r="B27" s="202"/>
      <c r="C27" s="202"/>
      <c r="D27" s="213" t="s">
        <v>181</v>
      </c>
      <c r="E27" s="215"/>
      <c r="F27" s="215" t="s">
        <v>182</v>
      </c>
      <c r="G27" s="202"/>
      <c r="H27" s="202"/>
      <c r="I27" s="209"/>
      <c r="J27" s="180">
        <v>0.1</v>
      </c>
      <c r="K27" s="182">
        <f>_xlfn.XLOOKUP(J27,'Listas Desplegables (LD)'!$J$8:$J$12,'Listas Desplegables (LD)'!$K$8:$K$12, 0,1)</f>
        <v>2</v>
      </c>
      <c r="L27" s="182">
        <v>3</v>
      </c>
      <c r="M27" s="176">
        <f>+K27*L27</f>
        <v>6</v>
      </c>
      <c r="N27" s="178" t="str">
        <f>+IF(M27&gt;=20,"IV",IF(OR(AND(M27&gt;=9,M27&lt;=16),AND(L27=5,K27=1)),"III",IF(OR(AND(M27&lt;=9,M27&gt;=6),AND(K27=1,L27=4),AND(K27=4,L27=1),AND(K27=1,L27=3)),"II",IF(OR(M27=2,M27=1,AND(L27=1,K27=3),AND(L27=2,K27=2)),"I"," "))))</f>
        <v>II</v>
      </c>
      <c r="O27" s="83"/>
      <c r="P27" s="84"/>
      <c r="Q27" s="85" t="s">
        <v>154</v>
      </c>
      <c r="R27" s="82"/>
      <c r="S27" s="180">
        <f>+J27</f>
        <v>0.1</v>
      </c>
      <c r="T27" s="86"/>
      <c r="U27" s="86"/>
      <c r="V27" s="86">
        <f>+U27*S27</f>
        <v>0</v>
      </c>
      <c r="W27" s="85"/>
      <c r="X27" s="85"/>
      <c r="Y27" s="180">
        <v>0.1</v>
      </c>
      <c r="Z27" s="182">
        <f>_xlfn.XLOOKUP(Y27,'Listas Desplegables (LD)'!$J$8:$J$12,'Listas Desplegables (LD)'!$K$8:$K$12, 0,1)</f>
        <v>2</v>
      </c>
      <c r="AA27" s="182">
        <v>3</v>
      </c>
      <c r="AB27" s="176">
        <f>Z27*AA27</f>
        <v>6</v>
      </c>
      <c r="AC27" s="178" t="str">
        <f>+IF(AB27&gt;=20,"IV",IF(OR(AND(AB27&gt;=9,AB27&lt;=16),AND(AA27=5,Z27=1)),"III",IF(OR(AND(AB27&lt;=9,AB27&gt;=6),AND(Z27=1,AA27=4),AND(Z27=4,AA27=1),AND(Z27=1,AA27=3)),"II",IF(OR(AB27=2,AB27=1,AND(AA27=1,Z27=3),AND(AA27=2,Z27=2)),"I"," "))))</f>
        <v>II</v>
      </c>
      <c r="AD27" s="87"/>
      <c r="AE27" s="88"/>
      <c r="AF27" s="89"/>
      <c r="AG27" s="89"/>
      <c r="AH27" s="90"/>
      <c r="AI27" s="89"/>
      <c r="AJ27" s="91"/>
      <c r="AK27" s="91"/>
      <c r="AL27" s="92"/>
      <c r="AM27" s="93"/>
    </row>
    <row r="28" spans="1:39" ht="43.2" customHeight="1" thickBot="1" x14ac:dyDescent="0.3">
      <c r="A28" s="212"/>
      <c r="B28" s="203"/>
      <c r="C28" s="203"/>
      <c r="D28" s="214"/>
      <c r="E28" s="216"/>
      <c r="F28" s="216"/>
      <c r="G28" s="203"/>
      <c r="H28" s="203"/>
      <c r="I28" s="210"/>
      <c r="J28" s="181"/>
      <c r="K28" s="183"/>
      <c r="L28" s="183"/>
      <c r="M28" s="177"/>
      <c r="N28" s="179"/>
      <c r="O28" s="95"/>
      <c r="P28" s="96"/>
      <c r="Q28" s="97" t="s">
        <v>154</v>
      </c>
      <c r="R28" s="94"/>
      <c r="S28" s="181"/>
      <c r="T28" s="98"/>
      <c r="U28" s="98"/>
      <c r="V28" s="98">
        <f>+U28*S27</f>
        <v>0</v>
      </c>
      <c r="W28" s="97"/>
      <c r="X28" s="97"/>
      <c r="Y28" s="181"/>
      <c r="Z28" s="183"/>
      <c r="AA28" s="183"/>
      <c r="AB28" s="177"/>
      <c r="AC28" s="179"/>
      <c r="AD28" s="99"/>
      <c r="AE28" s="100"/>
      <c r="AF28" s="101"/>
      <c r="AG28" s="101"/>
      <c r="AH28" s="102"/>
      <c r="AI28" s="101"/>
      <c r="AJ28" s="103"/>
      <c r="AK28" s="103"/>
      <c r="AL28" s="104"/>
      <c r="AM28" s="105"/>
    </row>
    <row r="29" spans="1:39" ht="43.95" customHeight="1" thickBot="1" x14ac:dyDescent="0.3">
      <c r="A29" s="199" t="s">
        <v>183</v>
      </c>
      <c r="B29" s="201"/>
      <c r="C29" s="201"/>
      <c r="D29" s="204" t="s">
        <v>184</v>
      </c>
      <c r="E29" s="206" t="s">
        <v>185</v>
      </c>
      <c r="F29" s="206" t="s">
        <v>186</v>
      </c>
      <c r="G29" s="201"/>
      <c r="H29" s="201"/>
      <c r="I29" s="208"/>
      <c r="J29" s="195"/>
      <c r="K29" s="197">
        <f>_xlfn.XLOOKUP(J29,'Listas Desplegables (LD)'!$J$8:$J$12,'Listas Desplegables (LD)'!$K$8:$K$12, 0,1)</f>
        <v>0</v>
      </c>
      <c r="L29" s="197"/>
      <c r="M29" s="184">
        <f>+K29*L29</f>
        <v>0</v>
      </c>
      <c r="N29" s="186" t="str">
        <f>+IF(M29&gt;=20,"IV",IF(OR(AND(M29&gt;=9,M29&lt;=16),AND(L29=5,K29=1)),"III",IF(OR(AND(M29&lt;=9,M29&gt;=6),AND(K29=1,L29=4),AND(K29=4,L29=1),AND(K29=1,L29=3)),"II",IF(OR(M29=2,M29=1,AND(L29=1,K29=3),AND(L29=2,K29=2)),"I"," "))))</f>
        <v xml:space="preserve"> </v>
      </c>
      <c r="O29" s="54"/>
      <c r="P29" s="55"/>
      <c r="Q29" s="56"/>
      <c r="R29" s="53"/>
      <c r="S29" s="195">
        <f>+J29</f>
        <v>0</v>
      </c>
      <c r="T29" s="57"/>
      <c r="U29" s="57"/>
      <c r="V29" s="57">
        <f>+U29*S29</f>
        <v>0</v>
      </c>
      <c r="W29" s="56"/>
      <c r="X29" s="56"/>
      <c r="Y29" s="195"/>
      <c r="Z29" s="197">
        <f>_xlfn.XLOOKUP(Y29,'Listas Desplegables (LD)'!$J$8:$J$12,'Listas Desplegables (LD)'!$K$8:$K$12, 0,1)</f>
        <v>0</v>
      </c>
      <c r="AA29" s="197"/>
      <c r="AB29" s="184">
        <f>Z29*AA29</f>
        <v>0</v>
      </c>
      <c r="AC29" s="186" t="str">
        <f>+IF(AB29&gt;=20,"IV",IF(OR(AND(AB29&gt;=9,AB29&lt;=16),AND(AA29=5,Z29=1)),"III",IF(OR(AND(AB29&lt;=9,AB29&gt;=6),AND(Z29=1,AA29=4),AND(Z29=4,AA29=1),AND(Z29=1,AA29=3)),"II",IF(OR(AB29=2,AB29=1,AND(AA29=1,Z29=3),AND(AA29=2,Z29=2)),"I"," "))))</f>
        <v xml:space="preserve"> </v>
      </c>
      <c r="AD29" s="58"/>
      <c r="AE29" s="59"/>
      <c r="AF29" s="54"/>
      <c r="AG29" s="54"/>
      <c r="AH29" s="60"/>
      <c r="AI29" s="54"/>
      <c r="AJ29" s="61"/>
      <c r="AK29" s="61"/>
      <c r="AL29" s="62"/>
      <c r="AM29" s="63"/>
    </row>
    <row r="30" spans="1:39" ht="43.95" customHeight="1" thickBot="1" x14ac:dyDescent="0.3">
      <c r="A30" s="200"/>
      <c r="B30" s="202"/>
      <c r="C30" s="202"/>
      <c r="D30" s="205"/>
      <c r="E30" s="207"/>
      <c r="F30" s="207"/>
      <c r="G30" s="202"/>
      <c r="H30" s="202"/>
      <c r="I30" s="209"/>
      <c r="J30" s="196"/>
      <c r="K30" s="198"/>
      <c r="L30" s="198"/>
      <c r="M30" s="185"/>
      <c r="N30" s="187"/>
      <c r="O30" s="65"/>
      <c r="P30" s="66"/>
      <c r="Q30" s="67"/>
      <c r="R30" s="64"/>
      <c r="S30" s="196"/>
      <c r="T30" s="68"/>
      <c r="U30" s="68"/>
      <c r="V30" s="68">
        <f>+U30*S29</f>
        <v>0</v>
      </c>
      <c r="W30" s="67"/>
      <c r="X30" s="67"/>
      <c r="Y30" s="196"/>
      <c r="Z30" s="198"/>
      <c r="AA30" s="198"/>
      <c r="AB30" s="185"/>
      <c r="AC30" s="187"/>
      <c r="AD30" s="69"/>
      <c r="AE30" s="59"/>
      <c r="AF30" s="54"/>
      <c r="AG30" s="54"/>
      <c r="AH30" s="60"/>
      <c r="AI30" s="54"/>
      <c r="AJ30" s="61"/>
      <c r="AK30" s="61"/>
      <c r="AL30" s="62"/>
      <c r="AM30" s="63"/>
    </row>
    <row r="31" spans="1:39" ht="45" customHeight="1" thickBot="1" x14ac:dyDescent="0.3">
      <c r="A31" s="188" t="s">
        <v>187</v>
      </c>
      <c r="B31" s="202"/>
      <c r="C31" s="202"/>
      <c r="D31" s="189" t="s">
        <v>188</v>
      </c>
      <c r="E31" s="190" t="s">
        <v>189</v>
      </c>
      <c r="F31" s="190" t="s">
        <v>190</v>
      </c>
      <c r="G31" s="202"/>
      <c r="H31" s="202"/>
      <c r="I31" s="209"/>
      <c r="J31" s="191"/>
      <c r="K31" s="192">
        <f>_xlfn.XLOOKUP(J31,'Listas Desplegables (LD)'!$J$8:$J$12,'Listas Desplegables (LD)'!$K$8:$K$12, 0,1)</f>
        <v>0</v>
      </c>
      <c r="L31" s="192"/>
      <c r="M31" s="193">
        <f>+K31*L31</f>
        <v>0</v>
      </c>
      <c r="N31" s="194" t="str">
        <f>+IF(M31&gt;=20,"IV",IF(OR(AND(M31&gt;=9,M31&lt;=16),AND(L31=5,K31=1)),"III",IF(OR(AND(M31&lt;=9,M31&gt;=6),AND(K31=1,L31=4),AND(K31=4,L31=1),AND(K31=1,L31=3)),"II",IF(OR(M31=2,M31=1,AND(L31=1,K31=3),AND(L31=2,K31=2)),"I"," "))))</f>
        <v xml:space="preserve"> </v>
      </c>
      <c r="O31" s="71"/>
      <c r="P31" s="72"/>
      <c r="Q31" s="73"/>
      <c r="R31" s="70"/>
      <c r="S31" s="191">
        <f>+J31</f>
        <v>0</v>
      </c>
      <c r="T31" s="74"/>
      <c r="U31" s="74"/>
      <c r="V31" s="74">
        <f>+U31*S31</f>
        <v>0</v>
      </c>
      <c r="W31" s="73"/>
      <c r="X31" s="73"/>
      <c r="Y31" s="191"/>
      <c r="Z31" s="192">
        <f>_xlfn.XLOOKUP(Y31,'Listas Desplegables (LD)'!$J$8:$J$12,'Listas Desplegables (LD)'!$K$8:$K$12, 0,1)</f>
        <v>0</v>
      </c>
      <c r="AA31" s="192"/>
      <c r="AB31" s="193">
        <f>Z31*AA31</f>
        <v>0</v>
      </c>
      <c r="AC31" s="194" t="str">
        <f>+IF(AB31&gt;=20,"IV",IF(OR(AND(AB31&gt;=9,AB31&lt;=16),AND(AA31=5,Z31=1)),"III",IF(OR(AND(AB31&lt;=9,AB31&gt;=6),AND(Z31=1,AA31=4),AND(Z31=4,AA31=1),AND(Z31=1,AA31=3)),"II",IF(OR(AB31=2,AB31=1,AND(AA31=1,Z31=3),AND(AA31=2,Z31=2)),"I"," "))))</f>
        <v xml:space="preserve"> </v>
      </c>
      <c r="AD31" s="75"/>
      <c r="AE31" s="76"/>
      <c r="AF31" s="77"/>
      <c r="AG31" s="77"/>
      <c r="AH31" s="78"/>
      <c r="AI31" s="77"/>
      <c r="AJ31" s="79"/>
      <c r="AK31" s="79"/>
      <c r="AL31" s="80"/>
      <c r="AM31" s="81"/>
    </row>
    <row r="32" spans="1:39" ht="45" customHeight="1" thickBot="1" x14ac:dyDescent="0.3">
      <c r="A32" s="188"/>
      <c r="B32" s="202"/>
      <c r="C32" s="202"/>
      <c r="D32" s="189"/>
      <c r="E32" s="190"/>
      <c r="F32" s="190"/>
      <c r="G32" s="202"/>
      <c r="H32" s="202"/>
      <c r="I32" s="209"/>
      <c r="J32" s="191"/>
      <c r="K32" s="192"/>
      <c r="L32" s="192"/>
      <c r="M32" s="193"/>
      <c r="N32" s="194"/>
      <c r="O32" s="71"/>
      <c r="P32" s="72"/>
      <c r="Q32" s="73"/>
      <c r="R32" s="70"/>
      <c r="S32" s="191"/>
      <c r="T32" s="74"/>
      <c r="U32" s="74"/>
      <c r="V32" s="74">
        <f>+U32*S31</f>
        <v>0</v>
      </c>
      <c r="W32" s="73"/>
      <c r="X32" s="73"/>
      <c r="Y32" s="191"/>
      <c r="Z32" s="192"/>
      <c r="AA32" s="192"/>
      <c r="AB32" s="193"/>
      <c r="AC32" s="194"/>
      <c r="AD32" s="75"/>
      <c r="AE32" s="76"/>
      <c r="AF32" s="77"/>
      <c r="AG32" s="77"/>
      <c r="AH32" s="78"/>
      <c r="AI32" s="77"/>
      <c r="AJ32" s="79"/>
      <c r="AK32" s="79"/>
      <c r="AL32" s="80"/>
      <c r="AM32" s="81"/>
    </row>
    <row r="33" spans="1:39" ht="43.2" customHeight="1" thickBot="1" x14ac:dyDescent="0.3">
      <c r="A33" s="211" t="s">
        <v>191</v>
      </c>
      <c r="B33" s="202"/>
      <c r="C33" s="202"/>
      <c r="D33" s="213" t="s">
        <v>192</v>
      </c>
      <c r="E33" s="215" t="s">
        <v>193</v>
      </c>
      <c r="F33" s="215" t="s">
        <v>194</v>
      </c>
      <c r="G33" s="202"/>
      <c r="H33" s="202"/>
      <c r="I33" s="209"/>
      <c r="J33" s="180"/>
      <c r="K33" s="182">
        <f>_xlfn.XLOOKUP(J33,'Listas Desplegables (LD)'!$J$8:$J$12,'Listas Desplegables (LD)'!$K$8:$K$12, 0,1)</f>
        <v>0</v>
      </c>
      <c r="L33" s="182"/>
      <c r="M33" s="176">
        <f>+K33*L33</f>
        <v>0</v>
      </c>
      <c r="N33" s="178" t="str">
        <f>+IF(M33&gt;=20,"IV",IF(OR(AND(M33&gt;=9,M33&lt;=16),AND(L33=5,K33=1)),"III",IF(OR(AND(M33&lt;=9,M33&gt;=6),AND(K33=1,L33=4),AND(K33=4,L33=1),AND(K33=1,L33=3)),"II",IF(OR(M33=2,M33=1,AND(L33=1,K33=3),AND(L33=2,K33=2)),"I"," "))))</f>
        <v xml:space="preserve"> </v>
      </c>
      <c r="O33" s="83"/>
      <c r="P33" s="84"/>
      <c r="Q33" s="85"/>
      <c r="R33" s="82"/>
      <c r="S33" s="180">
        <f>+J33</f>
        <v>0</v>
      </c>
      <c r="T33" s="86"/>
      <c r="U33" s="86"/>
      <c r="V33" s="86">
        <f>+U33*S33</f>
        <v>0</v>
      </c>
      <c r="W33" s="85"/>
      <c r="X33" s="85"/>
      <c r="Y33" s="180"/>
      <c r="Z33" s="182">
        <f>_xlfn.XLOOKUP(Y33,'Listas Desplegables (LD)'!$J$8:$J$12,'Listas Desplegables (LD)'!$K$8:$K$12, 0,1)</f>
        <v>0</v>
      </c>
      <c r="AA33" s="182"/>
      <c r="AB33" s="176">
        <f>Z33*AA33</f>
        <v>0</v>
      </c>
      <c r="AC33" s="178" t="str">
        <f>+IF(AB33&gt;=20,"IV",IF(OR(AND(AB33&gt;=9,AB33&lt;=16),AND(AA33=5,Z33=1)),"III",IF(OR(AND(AB33&lt;=9,AB33&gt;=6),AND(Z33=1,AA33=4),AND(Z33=4,AA33=1),AND(Z33=1,AA33=3)),"II",IF(OR(AB33=2,AB33=1,AND(AA33=1,Z33=3),AND(AA33=2,Z33=2)),"I"," "))))</f>
        <v xml:space="preserve"> </v>
      </c>
      <c r="AD33" s="87"/>
      <c r="AE33" s="88"/>
      <c r="AF33" s="89"/>
      <c r="AG33" s="89"/>
      <c r="AH33" s="90"/>
      <c r="AI33" s="89"/>
      <c r="AJ33" s="91"/>
      <c r="AK33" s="91"/>
      <c r="AL33" s="92"/>
      <c r="AM33" s="93"/>
    </row>
    <row r="34" spans="1:39" ht="43.2" customHeight="1" thickBot="1" x14ac:dyDescent="0.3">
      <c r="A34" s="212"/>
      <c r="B34" s="203"/>
      <c r="C34" s="203"/>
      <c r="D34" s="214"/>
      <c r="E34" s="216"/>
      <c r="F34" s="216"/>
      <c r="G34" s="203"/>
      <c r="H34" s="203"/>
      <c r="I34" s="210"/>
      <c r="J34" s="181"/>
      <c r="K34" s="183"/>
      <c r="L34" s="183"/>
      <c r="M34" s="177"/>
      <c r="N34" s="179"/>
      <c r="O34" s="95"/>
      <c r="P34" s="96"/>
      <c r="Q34" s="97"/>
      <c r="R34" s="94"/>
      <c r="S34" s="181"/>
      <c r="T34" s="98"/>
      <c r="U34" s="98"/>
      <c r="V34" s="98">
        <f>+U34*S33</f>
        <v>0</v>
      </c>
      <c r="W34" s="97"/>
      <c r="X34" s="97"/>
      <c r="Y34" s="181"/>
      <c r="Z34" s="183"/>
      <c r="AA34" s="183"/>
      <c r="AB34" s="177"/>
      <c r="AC34" s="179"/>
      <c r="AD34" s="99"/>
      <c r="AE34" s="100"/>
      <c r="AF34" s="101"/>
      <c r="AG34" s="101"/>
      <c r="AH34" s="102"/>
      <c r="AI34" s="101"/>
      <c r="AJ34" s="103"/>
      <c r="AK34" s="103"/>
      <c r="AL34" s="104"/>
      <c r="AM34" s="105"/>
    </row>
    <row r="35" spans="1:39" ht="43.95" customHeight="1" thickBot="1" x14ac:dyDescent="0.3">
      <c r="A35" s="199" t="s">
        <v>195</v>
      </c>
      <c r="B35" s="201"/>
      <c r="C35" s="201"/>
      <c r="D35" s="204" t="s">
        <v>184</v>
      </c>
      <c r="E35" s="206" t="s">
        <v>185</v>
      </c>
      <c r="F35" s="206" t="s">
        <v>186</v>
      </c>
      <c r="G35" s="201"/>
      <c r="H35" s="201"/>
      <c r="I35" s="208"/>
      <c r="J35" s="195"/>
      <c r="K35" s="197">
        <f>_xlfn.XLOOKUP(J35,'Listas Desplegables (LD)'!$J$8:$J$12,'Listas Desplegables (LD)'!$K$8:$K$12, 0,1)</f>
        <v>0</v>
      </c>
      <c r="L35" s="197"/>
      <c r="M35" s="184">
        <f>+K35*L35</f>
        <v>0</v>
      </c>
      <c r="N35" s="186" t="str">
        <f>+IF(M35&gt;=20,"IV",IF(OR(AND(M35&gt;=9,M35&lt;=16),AND(L35=5,K35=1)),"III",IF(OR(AND(M35&lt;=9,M35&gt;=6),AND(K35=1,L35=4),AND(K35=4,L35=1),AND(K35=1,L35=3)),"II",IF(OR(M35=2,M35=1,AND(L35=1,K35=3),AND(L35=2,K35=2)),"I"," "))))</f>
        <v xml:space="preserve"> </v>
      </c>
      <c r="O35" s="54"/>
      <c r="P35" s="55"/>
      <c r="Q35" s="56"/>
      <c r="R35" s="53"/>
      <c r="S35" s="195">
        <f>+J35</f>
        <v>0</v>
      </c>
      <c r="T35" s="57"/>
      <c r="U35" s="57"/>
      <c r="V35" s="57">
        <f>+U35*S35</f>
        <v>0</v>
      </c>
      <c r="W35" s="56"/>
      <c r="X35" s="56"/>
      <c r="Y35" s="195"/>
      <c r="Z35" s="197">
        <f>_xlfn.XLOOKUP(Y35,'Listas Desplegables (LD)'!$J$8:$J$12,'Listas Desplegables (LD)'!$K$8:$K$12, 0,1)</f>
        <v>0</v>
      </c>
      <c r="AA35" s="197"/>
      <c r="AB35" s="184">
        <f>Z35*AA35</f>
        <v>0</v>
      </c>
      <c r="AC35" s="186" t="str">
        <f>+IF(AB35&gt;=20,"IV",IF(OR(AND(AB35&gt;=9,AB35&lt;=16),AND(AA35=5,Z35=1)),"III",IF(OR(AND(AB35&lt;=9,AB35&gt;=6),AND(Z35=1,AA35=4),AND(Z35=4,AA35=1),AND(Z35=1,AA35=3)),"II",IF(OR(AB35=2,AB35=1,AND(AA35=1,Z35=3),AND(AA35=2,Z35=2)),"I"," "))))</f>
        <v xml:space="preserve"> </v>
      </c>
      <c r="AD35" s="58"/>
      <c r="AE35" s="59"/>
      <c r="AF35" s="54"/>
      <c r="AG35" s="54"/>
      <c r="AH35" s="60"/>
      <c r="AI35" s="54"/>
      <c r="AJ35" s="61"/>
      <c r="AK35" s="61"/>
      <c r="AL35" s="62"/>
      <c r="AM35" s="63"/>
    </row>
    <row r="36" spans="1:39" ht="43.95" customHeight="1" thickBot="1" x14ac:dyDescent="0.3">
      <c r="A36" s="200"/>
      <c r="B36" s="202"/>
      <c r="C36" s="202"/>
      <c r="D36" s="205"/>
      <c r="E36" s="207"/>
      <c r="F36" s="207"/>
      <c r="G36" s="202"/>
      <c r="H36" s="202"/>
      <c r="I36" s="209"/>
      <c r="J36" s="196"/>
      <c r="K36" s="198"/>
      <c r="L36" s="198"/>
      <c r="M36" s="185"/>
      <c r="N36" s="187"/>
      <c r="O36" s="65"/>
      <c r="P36" s="66"/>
      <c r="Q36" s="67"/>
      <c r="R36" s="64"/>
      <c r="S36" s="196"/>
      <c r="T36" s="68"/>
      <c r="U36" s="68"/>
      <c r="V36" s="68">
        <f>+U36*S35</f>
        <v>0</v>
      </c>
      <c r="W36" s="67"/>
      <c r="X36" s="67"/>
      <c r="Y36" s="196"/>
      <c r="Z36" s="198"/>
      <c r="AA36" s="198"/>
      <c r="AB36" s="185"/>
      <c r="AC36" s="187"/>
      <c r="AD36" s="69"/>
      <c r="AE36" s="59"/>
      <c r="AF36" s="54"/>
      <c r="AG36" s="54"/>
      <c r="AH36" s="60"/>
      <c r="AI36" s="54"/>
      <c r="AJ36" s="61"/>
      <c r="AK36" s="61"/>
      <c r="AL36" s="62"/>
      <c r="AM36" s="63"/>
    </row>
    <row r="37" spans="1:39" ht="45" customHeight="1" thickBot="1" x14ac:dyDescent="0.3">
      <c r="A37" s="188" t="s">
        <v>196</v>
      </c>
      <c r="B37" s="202"/>
      <c r="C37" s="202"/>
      <c r="D37" s="189" t="s">
        <v>188</v>
      </c>
      <c r="E37" s="190" t="s">
        <v>189</v>
      </c>
      <c r="F37" s="190" t="s">
        <v>190</v>
      </c>
      <c r="G37" s="202"/>
      <c r="H37" s="202"/>
      <c r="I37" s="209"/>
      <c r="J37" s="191"/>
      <c r="K37" s="192">
        <f>_xlfn.XLOOKUP(J37,'Listas Desplegables (LD)'!$J$8:$J$12,'Listas Desplegables (LD)'!$K$8:$K$12, 0,1)</f>
        <v>0</v>
      </c>
      <c r="L37" s="192"/>
      <c r="M37" s="193">
        <f>+K37*L37</f>
        <v>0</v>
      </c>
      <c r="N37" s="194" t="str">
        <f>+IF(M37&gt;=20,"IV",IF(OR(AND(M37&gt;=9,M37&lt;=16),AND(L37=5,K37=1)),"III",IF(OR(AND(M37&lt;=9,M37&gt;=6),AND(K37=1,L37=4),AND(K37=4,L37=1),AND(K37=1,L37=3)),"II",IF(OR(M37=2,M37=1,AND(L37=1,K37=3),AND(L37=2,K37=2)),"I"," "))))</f>
        <v xml:space="preserve"> </v>
      </c>
      <c r="O37" s="71"/>
      <c r="P37" s="72"/>
      <c r="Q37" s="73"/>
      <c r="R37" s="70"/>
      <c r="S37" s="191">
        <f>+J37</f>
        <v>0</v>
      </c>
      <c r="T37" s="74"/>
      <c r="U37" s="74"/>
      <c r="V37" s="74">
        <f>+U37*S37</f>
        <v>0</v>
      </c>
      <c r="W37" s="73"/>
      <c r="X37" s="73"/>
      <c r="Y37" s="191"/>
      <c r="Z37" s="192">
        <f>_xlfn.XLOOKUP(Y37,'Listas Desplegables (LD)'!$J$8:$J$12,'Listas Desplegables (LD)'!$K$8:$K$12, 0,1)</f>
        <v>0</v>
      </c>
      <c r="AA37" s="192"/>
      <c r="AB37" s="193">
        <f>Z37*AA37</f>
        <v>0</v>
      </c>
      <c r="AC37" s="194" t="str">
        <f>+IF(AB37&gt;=20,"IV",IF(OR(AND(AB37&gt;=9,AB37&lt;=16),AND(AA37=5,Z37=1)),"III",IF(OR(AND(AB37&lt;=9,AB37&gt;=6),AND(Z37=1,AA37=4),AND(Z37=4,AA37=1),AND(Z37=1,AA37=3)),"II",IF(OR(AB37=2,AB37=1,AND(AA37=1,Z37=3),AND(AA37=2,Z37=2)),"I"," "))))</f>
        <v xml:space="preserve"> </v>
      </c>
      <c r="AD37" s="75"/>
      <c r="AE37" s="76"/>
      <c r="AF37" s="77"/>
      <c r="AG37" s="77"/>
      <c r="AH37" s="78"/>
      <c r="AI37" s="77"/>
      <c r="AJ37" s="79"/>
      <c r="AK37" s="79"/>
      <c r="AL37" s="80"/>
      <c r="AM37" s="81"/>
    </row>
    <row r="38" spans="1:39" ht="45" customHeight="1" thickBot="1" x14ac:dyDescent="0.3">
      <c r="A38" s="188"/>
      <c r="B38" s="202"/>
      <c r="C38" s="202"/>
      <c r="D38" s="189"/>
      <c r="E38" s="190"/>
      <c r="F38" s="190"/>
      <c r="G38" s="202"/>
      <c r="H38" s="202"/>
      <c r="I38" s="209"/>
      <c r="J38" s="191"/>
      <c r="K38" s="192"/>
      <c r="L38" s="192"/>
      <c r="M38" s="193"/>
      <c r="N38" s="194"/>
      <c r="O38" s="71"/>
      <c r="P38" s="72"/>
      <c r="Q38" s="73"/>
      <c r="R38" s="70"/>
      <c r="S38" s="191"/>
      <c r="T38" s="74"/>
      <c r="U38" s="74"/>
      <c r="V38" s="74">
        <f>+U38*S37</f>
        <v>0</v>
      </c>
      <c r="W38" s="73"/>
      <c r="X38" s="73"/>
      <c r="Y38" s="191"/>
      <c r="Z38" s="192"/>
      <c r="AA38" s="192"/>
      <c r="AB38" s="193"/>
      <c r="AC38" s="194"/>
      <c r="AD38" s="75"/>
      <c r="AE38" s="76"/>
      <c r="AF38" s="77"/>
      <c r="AG38" s="77"/>
      <c r="AH38" s="78"/>
      <c r="AI38" s="77"/>
      <c r="AJ38" s="79"/>
      <c r="AK38" s="79"/>
      <c r="AL38" s="80"/>
      <c r="AM38" s="81"/>
    </row>
    <row r="39" spans="1:39" ht="43.2" customHeight="1" thickBot="1" x14ac:dyDescent="0.3">
      <c r="A39" s="211" t="s">
        <v>197</v>
      </c>
      <c r="B39" s="202"/>
      <c r="C39" s="202"/>
      <c r="D39" s="213" t="s">
        <v>192</v>
      </c>
      <c r="E39" s="215" t="s">
        <v>193</v>
      </c>
      <c r="F39" s="215" t="s">
        <v>194</v>
      </c>
      <c r="G39" s="202"/>
      <c r="H39" s="202"/>
      <c r="I39" s="209"/>
      <c r="J39" s="180"/>
      <c r="K39" s="182">
        <f>_xlfn.XLOOKUP(J39,'Listas Desplegables (LD)'!$J$8:$J$12,'Listas Desplegables (LD)'!$K$8:$K$12, 0,1)</f>
        <v>0</v>
      </c>
      <c r="L39" s="182"/>
      <c r="M39" s="176">
        <f>+K39*L39</f>
        <v>0</v>
      </c>
      <c r="N39" s="178" t="str">
        <f>+IF(M39&gt;=20,"IV",IF(OR(AND(M39&gt;=9,M39&lt;=16),AND(L39=5,K39=1)),"III",IF(OR(AND(M39&lt;=9,M39&gt;=6),AND(K39=1,L39=4),AND(K39=4,L39=1),AND(K39=1,L39=3)),"II",IF(OR(M39=2,M39=1,AND(L39=1,K39=3),AND(L39=2,K39=2)),"I"," "))))</f>
        <v xml:space="preserve"> </v>
      </c>
      <c r="O39" s="83"/>
      <c r="P39" s="84"/>
      <c r="Q39" s="85"/>
      <c r="R39" s="82"/>
      <c r="S39" s="180">
        <f>+J39</f>
        <v>0</v>
      </c>
      <c r="T39" s="86"/>
      <c r="U39" s="86"/>
      <c r="V39" s="86">
        <f>+U39*S39</f>
        <v>0</v>
      </c>
      <c r="W39" s="85"/>
      <c r="X39" s="85"/>
      <c r="Y39" s="180"/>
      <c r="Z39" s="182">
        <f>_xlfn.XLOOKUP(Y39,'Listas Desplegables (LD)'!$J$8:$J$12,'Listas Desplegables (LD)'!$K$8:$K$12, 0,1)</f>
        <v>0</v>
      </c>
      <c r="AA39" s="182"/>
      <c r="AB39" s="176">
        <f>Z39*AA39</f>
        <v>0</v>
      </c>
      <c r="AC39" s="178" t="str">
        <f>+IF(AB39&gt;=20,"IV",IF(OR(AND(AB39&gt;=9,AB39&lt;=16),AND(AA39=5,Z39=1)),"III",IF(OR(AND(AB39&lt;=9,AB39&gt;=6),AND(Z39=1,AA39=4),AND(Z39=4,AA39=1),AND(Z39=1,AA39=3)),"II",IF(OR(AB39=2,AB39=1,AND(AA39=1,Z39=3),AND(AA39=2,Z39=2)),"I"," "))))</f>
        <v xml:space="preserve"> </v>
      </c>
      <c r="AD39" s="87"/>
      <c r="AE39" s="88"/>
      <c r="AF39" s="89"/>
      <c r="AG39" s="89"/>
      <c r="AH39" s="90"/>
      <c r="AI39" s="89"/>
      <c r="AJ39" s="91"/>
      <c r="AK39" s="91"/>
      <c r="AL39" s="92"/>
      <c r="AM39" s="93"/>
    </row>
    <row r="40" spans="1:39" ht="43.2" customHeight="1" thickBot="1" x14ac:dyDescent="0.3">
      <c r="A40" s="212"/>
      <c r="B40" s="203"/>
      <c r="C40" s="203"/>
      <c r="D40" s="214"/>
      <c r="E40" s="216"/>
      <c r="F40" s="216"/>
      <c r="G40" s="203"/>
      <c r="H40" s="203"/>
      <c r="I40" s="210"/>
      <c r="J40" s="181"/>
      <c r="K40" s="183"/>
      <c r="L40" s="183"/>
      <c r="M40" s="177"/>
      <c r="N40" s="179"/>
      <c r="O40" s="95"/>
      <c r="P40" s="96"/>
      <c r="Q40" s="97"/>
      <c r="R40" s="94"/>
      <c r="S40" s="181"/>
      <c r="T40" s="98"/>
      <c r="U40" s="98"/>
      <c r="V40" s="98">
        <f>+U40*S39</f>
        <v>0</v>
      </c>
      <c r="W40" s="97"/>
      <c r="X40" s="97"/>
      <c r="Y40" s="181"/>
      <c r="Z40" s="183"/>
      <c r="AA40" s="183"/>
      <c r="AB40" s="177"/>
      <c r="AC40" s="179"/>
      <c r="AD40" s="99"/>
      <c r="AE40" s="100"/>
      <c r="AF40" s="101"/>
      <c r="AG40" s="101"/>
      <c r="AH40" s="102"/>
      <c r="AI40" s="101"/>
      <c r="AJ40" s="103"/>
      <c r="AK40" s="103"/>
      <c r="AL40" s="104"/>
      <c r="AM40" s="105"/>
    </row>
    <row r="41" spans="1:39" ht="43.95" customHeight="1" thickBot="1" x14ac:dyDescent="0.3">
      <c r="A41" s="199" t="s">
        <v>198</v>
      </c>
      <c r="B41" s="201"/>
      <c r="C41" s="201"/>
      <c r="D41" s="204" t="s">
        <v>184</v>
      </c>
      <c r="E41" s="206" t="s">
        <v>185</v>
      </c>
      <c r="F41" s="206" t="s">
        <v>186</v>
      </c>
      <c r="G41" s="201"/>
      <c r="H41" s="201"/>
      <c r="I41" s="208"/>
      <c r="J41" s="195"/>
      <c r="K41" s="197">
        <f>_xlfn.XLOOKUP(J41,'Listas Desplegables (LD)'!$J$8:$J$12,'Listas Desplegables (LD)'!$K$8:$K$12, 0,1)</f>
        <v>0</v>
      </c>
      <c r="L41" s="197"/>
      <c r="M41" s="184">
        <f>+K41*L41</f>
        <v>0</v>
      </c>
      <c r="N41" s="186" t="str">
        <f>+IF(M41&gt;=20,"IV",IF(OR(AND(M41&gt;=9,M41&lt;=16),AND(L41=5,K41=1)),"III",IF(OR(AND(M41&lt;=9,M41&gt;=6),AND(K41=1,L41=4),AND(K41=4,L41=1),AND(K41=1,L41=3)),"II",IF(OR(M41=2,M41=1,AND(L41=1,K41=3),AND(L41=2,K41=2)),"I"," "))))</f>
        <v xml:space="preserve"> </v>
      </c>
      <c r="O41" s="54"/>
      <c r="P41" s="55"/>
      <c r="Q41" s="56"/>
      <c r="R41" s="53"/>
      <c r="S41" s="195">
        <f>+J41</f>
        <v>0</v>
      </c>
      <c r="T41" s="57"/>
      <c r="U41" s="57"/>
      <c r="V41" s="57">
        <f>+U41*S41</f>
        <v>0</v>
      </c>
      <c r="W41" s="56"/>
      <c r="X41" s="56"/>
      <c r="Y41" s="195"/>
      <c r="Z41" s="197">
        <f>_xlfn.XLOOKUP(Y41,'Listas Desplegables (LD)'!$J$8:$J$12,'Listas Desplegables (LD)'!$K$8:$K$12, 0,1)</f>
        <v>0</v>
      </c>
      <c r="AA41" s="197"/>
      <c r="AB41" s="184">
        <f>Z41*AA41</f>
        <v>0</v>
      </c>
      <c r="AC41" s="186" t="str">
        <f>+IF(AB41&gt;=20,"IV",IF(OR(AND(AB41&gt;=9,AB41&lt;=16),AND(AA41=5,Z41=1)),"III",IF(OR(AND(AB41&lt;=9,AB41&gt;=6),AND(Z41=1,AA41=4),AND(Z41=4,AA41=1),AND(Z41=1,AA41=3)),"II",IF(OR(AB41=2,AB41=1,AND(AA41=1,Z41=3),AND(AA41=2,Z41=2)),"I"," "))))</f>
        <v xml:space="preserve"> </v>
      </c>
      <c r="AD41" s="58"/>
      <c r="AE41" s="59"/>
      <c r="AF41" s="54"/>
      <c r="AG41" s="54"/>
      <c r="AH41" s="60"/>
      <c r="AI41" s="54"/>
      <c r="AJ41" s="61"/>
      <c r="AK41" s="61"/>
      <c r="AL41" s="62"/>
      <c r="AM41" s="63"/>
    </row>
    <row r="42" spans="1:39" ht="43.95" customHeight="1" thickBot="1" x14ac:dyDescent="0.3">
      <c r="A42" s="200"/>
      <c r="B42" s="202"/>
      <c r="C42" s="202"/>
      <c r="D42" s="205"/>
      <c r="E42" s="207"/>
      <c r="F42" s="207"/>
      <c r="G42" s="202"/>
      <c r="H42" s="202"/>
      <c r="I42" s="209"/>
      <c r="J42" s="196"/>
      <c r="K42" s="198"/>
      <c r="L42" s="198"/>
      <c r="M42" s="185"/>
      <c r="N42" s="187"/>
      <c r="O42" s="65"/>
      <c r="P42" s="66"/>
      <c r="Q42" s="67"/>
      <c r="R42" s="64"/>
      <c r="S42" s="196"/>
      <c r="T42" s="68"/>
      <c r="U42" s="68"/>
      <c r="V42" s="68">
        <f>+U42*S41</f>
        <v>0</v>
      </c>
      <c r="W42" s="67"/>
      <c r="X42" s="67"/>
      <c r="Y42" s="196"/>
      <c r="Z42" s="198"/>
      <c r="AA42" s="198"/>
      <c r="AB42" s="185"/>
      <c r="AC42" s="187"/>
      <c r="AD42" s="69"/>
      <c r="AE42" s="59"/>
      <c r="AF42" s="54"/>
      <c r="AG42" s="54"/>
      <c r="AH42" s="60"/>
      <c r="AI42" s="54"/>
      <c r="AJ42" s="61"/>
      <c r="AK42" s="61"/>
      <c r="AL42" s="62"/>
      <c r="AM42" s="63"/>
    </row>
    <row r="43" spans="1:39" ht="45" customHeight="1" thickBot="1" x14ac:dyDescent="0.3">
      <c r="A43" s="188" t="s">
        <v>199</v>
      </c>
      <c r="B43" s="202"/>
      <c r="C43" s="202"/>
      <c r="D43" s="189" t="s">
        <v>188</v>
      </c>
      <c r="E43" s="190" t="s">
        <v>189</v>
      </c>
      <c r="F43" s="190" t="s">
        <v>190</v>
      </c>
      <c r="G43" s="202"/>
      <c r="H43" s="202"/>
      <c r="I43" s="209"/>
      <c r="J43" s="191"/>
      <c r="K43" s="192">
        <f>_xlfn.XLOOKUP(J43,'Listas Desplegables (LD)'!$J$8:$J$12,'Listas Desplegables (LD)'!$K$8:$K$12, 0,1)</f>
        <v>0</v>
      </c>
      <c r="L43" s="192"/>
      <c r="M43" s="193">
        <f>+K43*L43</f>
        <v>0</v>
      </c>
      <c r="N43" s="194" t="str">
        <f>+IF(M43&gt;=20,"IV",IF(OR(AND(M43&gt;=9,M43&lt;=16),AND(L43=5,K43=1)),"III",IF(OR(AND(M43&lt;=9,M43&gt;=6),AND(K43=1,L43=4),AND(K43=4,L43=1),AND(K43=1,L43=3)),"II",IF(OR(M43=2,M43=1,AND(L43=1,K43=3),AND(L43=2,K43=2)),"I"," "))))</f>
        <v xml:space="preserve"> </v>
      </c>
      <c r="O43" s="71"/>
      <c r="P43" s="72"/>
      <c r="Q43" s="73"/>
      <c r="R43" s="70"/>
      <c r="S43" s="191">
        <f>+J43</f>
        <v>0</v>
      </c>
      <c r="T43" s="74"/>
      <c r="U43" s="74"/>
      <c r="V43" s="74">
        <f>+U43*S43</f>
        <v>0</v>
      </c>
      <c r="W43" s="73"/>
      <c r="X43" s="73"/>
      <c r="Y43" s="191"/>
      <c r="Z43" s="192">
        <f>_xlfn.XLOOKUP(Y43,'Listas Desplegables (LD)'!$J$8:$J$12,'Listas Desplegables (LD)'!$K$8:$K$12, 0,1)</f>
        <v>0</v>
      </c>
      <c r="AA43" s="192"/>
      <c r="AB43" s="193">
        <f>Z43*AA43</f>
        <v>0</v>
      </c>
      <c r="AC43" s="194" t="str">
        <f>+IF(AB43&gt;=20,"IV",IF(OR(AND(AB43&gt;=9,AB43&lt;=16),AND(AA43=5,Z43=1)),"III",IF(OR(AND(AB43&lt;=9,AB43&gt;=6),AND(Z43=1,AA43=4),AND(Z43=4,AA43=1),AND(Z43=1,AA43=3)),"II",IF(OR(AB43=2,AB43=1,AND(AA43=1,Z43=3),AND(AA43=2,Z43=2)),"I"," "))))</f>
        <v xml:space="preserve"> </v>
      </c>
      <c r="AD43" s="75"/>
      <c r="AE43" s="76"/>
      <c r="AF43" s="77"/>
      <c r="AG43" s="77"/>
      <c r="AH43" s="78"/>
      <c r="AI43" s="77"/>
      <c r="AJ43" s="79"/>
      <c r="AK43" s="79"/>
      <c r="AL43" s="80"/>
      <c r="AM43" s="81"/>
    </row>
    <row r="44" spans="1:39" ht="45" customHeight="1" thickBot="1" x14ac:dyDescent="0.3">
      <c r="A44" s="188"/>
      <c r="B44" s="202"/>
      <c r="C44" s="202"/>
      <c r="D44" s="189"/>
      <c r="E44" s="190"/>
      <c r="F44" s="190"/>
      <c r="G44" s="202"/>
      <c r="H44" s="202"/>
      <c r="I44" s="209"/>
      <c r="J44" s="191"/>
      <c r="K44" s="192"/>
      <c r="L44" s="192"/>
      <c r="M44" s="193"/>
      <c r="N44" s="194"/>
      <c r="O44" s="71"/>
      <c r="P44" s="72"/>
      <c r="Q44" s="73"/>
      <c r="R44" s="70"/>
      <c r="S44" s="191"/>
      <c r="T44" s="74"/>
      <c r="U44" s="74"/>
      <c r="V44" s="74">
        <f>+U44*S43</f>
        <v>0</v>
      </c>
      <c r="W44" s="73"/>
      <c r="X44" s="73"/>
      <c r="Y44" s="191"/>
      <c r="Z44" s="192"/>
      <c r="AA44" s="192"/>
      <c r="AB44" s="193"/>
      <c r="AC44" s="194"/>
      <c r="AD44" s="75"/>
      <c r="AE44" s="76"/>
      <c r="AF44" s="77"/>
      <c r="AG44" s="77"/>
      <c r="AH44" s="78"/>
      <c r="AI44" s="77"/>
      <c r="AJ44" s="79"/>
      <c r="AK44" s="79"/>
      <c r="AL44" s="80"/>
      <c r="AM44" s="81"/>
    </row>
    <row r="45" spans="1:39" ht="43.2" customHeight="1" thickBot="1" x14ac:dyDescent="0.3">
      <c r="A45" s="211" t="s">
        <v>200</v>
      </c>
      <c r="B45" s="202"/>
      <c r="C45" s="202"/>
      <c r="D45" s="213" t="s">
        <v>192</v>
      </c>
      <c r="E45" s="215" t="s">
        <v>193</v>
      </c>
      <c r="F45" s="215" t="s">
        <v>194</v>
      </c>
      <c r="G45" s="202"/>
      <c r="H45" s="202"/>
      <c r="I45" s="209"/>
      <c r="J45" s="180"/>
      <c r="K45" s="182">
        <f>_xlfn.XLOOKUP(J45,'Listas Desplegables (LD)'!$J$8:$J$12,'Listas Desplegables (LD)'!$K$8:$K$12, 0,1)</f>
        <v>0</v>
      </c>
      <c r="L45" s="182"/>
      <c r="M45" s="176">
        <f>+K45*L45</f>
        <v>0</v>
      </c>
      <c r="N45" s="178" t="str">
        <f>+IF(M45&gt;=20,"IV",IF(OR(AND(M45&gt;=9,M45&lt;=16),AND(L45=5,K45=1)),"III",IF(OR(AND(M45&lt;=9,M45&gt;=6),AND(K45=1,L45=4),AND(K45=4,L45=1),AND(K45=1,L45=3)),"II",IF(OR(M45=2,M45=1,AND(L45=1,K45=3),AND(L45=2,K45=2)),"I"," "))))</f>
        <v xml:space="preserve"> </v>
      </c>
      <c r="O45" s="83"/>
      <c r="P45" s="84"/>
      <c r="Q45" s="85"/>
      <c r="R45" s="82"/>
      <c r="S45" s="180">
        <f>+J45</f>
        <v>0</v>
      </c>
      <c r="T45" s="86"/>
      <c r="U45" s="86"/>
      <c r="V45" s="86">
        <f>+U45*S45</f>
        <v>0</v>
      </c>
      <c r="W45" s="85"/>
      <c r="X45" s="85"/>
      <c r="Y45" s="180"/>
      <c r="Z45" s="182">
        <f>_xlfn.XLOOKUP(Y45,'Listas Desplegables (LD)'!$J$8:$J$12,'Listas Desplegables (LD)'!$K$8:$K$12, 0,1)</f>
        <v>0</v>
      </c>
      <c r="AA45" s="182"/>
      <c r="AB45" s="176">
        <f>Z45*AA45</f>
        <v>0</v>
      </c>
      <c r="AC45" s="178" t="str">
        <f>+IF(AB45&gt;=20,"IV",IF(OR(AND(AB45&gt;=9,AB45&lt;=16),AND(AA45=5,Z45=1)),"III",IF(OR(AND(AB45&lt;=9,AB45&gt;=6),AND(Z45=1,AA45=4),AND(Z45=4,AA45=1),AND(Z45=1,AA45=3)),"II",IF(OR(AB45=2,AB45=1,AND(AA45=1,Z45=3),AND(AA45=2,Z45=2)),"I"," "))))</f>
        <v xml:space="preserve"> </v>
      </c>
      <c r="AD45" s="87"/>
      <c r="AE45" s="88"/>
      <c r="AF45" s="89"/>
      <c r="AG45" s="89"/>
      <c r="AH45" s="90"/>
      <c r="AI45" s="89"/>
      <c r="AJ45" s="91"/>
      <c r="AK45" s="91"/>
      <c r="AL45" s="92"/>
      <c r="AM45" s="93"/>
    </row>
    <row r="46" spans="1:39" ht="43.2" customHeight="1" thickBot="1" x14ac:dyDescent="0.3">
      <c r="A46" s="212"/>
      <c r="B46" s="203"/>
      <c r="C46" s="203"/>
      <c r="D46" s="214"/>
      <c r="E46" s="216"/>
      <c r="F46" s="216"/>
      <c r="G46" s="203"/>
      <c r="H46" s="203"/>
      <c r="I46" s="210"/>
      <c r="J46" s="181"/>
      <c r="K46" s="183"/>
      <c r="L46" s="183"/>
      <c r="M46" s="177"/>
      <c r="N46" s="179"/>
      <c r="O46" s="95"/>
      <c r="P46" s="96"/>
      <c r="Q46" s="97"/>
      <c r="R46" s="94"/>
      <c r="S46" s="181"/>
      <c r="T46" s="98"/>
      <c r="U46" s="98"/>
      <c r="V46" s="98">
        <f>+U46*S45</f>
        <v>0</v>
      </c>
      <c r="W46" s="97"/>
      <c r="X46" s="97"/>
      <c r="Y46" s="181"/>
      <c r="Z46" s="183"/>
      <c r="AA46" s="183"/>
      <c r="AB46" s="177"/>
      <c r="AC46" s="179"/>
      <c r="AD46" s="99"/>
      <c r="AE46" s="100"/>
      <c r="AF46" s="101"/>
      <c r="AG46" s="101"/>
      <c r="AH46" s="102"/>
      <c r="AI46" s="101"/>
      <c r="AJ46" s="103"/>
      <c r="AK46" s="103"/>
      <c r="AL46" s="104"/>
      <c r="AM46" s="105"/>
    </row>
    <row r="47" spans="1:39" ht="43.95" customHeight="1" thickBot="1" x14ac:dyDescent="0.3">
      <c r="A47" s="199" t="s">
        <v>201</v>
      </c>
      <c r="B47" s="201"/>
      <c r="C47" s="201"/>
      <c r="D47" s="204" t="s">
        <v>184</v>
      </c>
      <c r="E47" s="206" t="s">
        <v>185</v>
      </c>
      <c r="F47" s="206" t="s">
        <v>186</v>
      </c>
      <c r="G47" s="201"/>
      <c r="H47" s="201"/>
      <c r="I47" s="208"/>
      <c r="J47" s="195"/>
      <c r="K47" s="197">
        <f>_xlfn.XLOOKUP(J47,'Listas Desplegables (LD)'!$J$8:$J$12,'Listas Desplegables (LD)'!$K$8:$K$12, 0,1)</f>
        <v>0</v>
      </c>
      <c r="L47" s="197"/>
      <c r="M47" s="184">
        <f>+K47*L47</f>
        <v>0</v>
      </c>
      <c r="N47" s="186" t="str">
        <f>+IF(M47&gt;=20,"IV",IF(OR(AND(M47&gt;=9,M47&lt;=16),AND(L47=5,K47=1)),"III",IF(OR(AND(M47&lt;=9,M47&gt;=6),AND(K47=1,L47=4),AND(K47=4,L47=1),AND(K47=1,L47=3)),"II",IF(OR(M47=2,M47=1,AND(L47=1,K47=3),AND(L47=2,K47=2)),"I"," "))))</f>
        <v xml:space="preserve"> </v>
      </c>
      <c r="O47" s="54"/>
      <c r="P47" s="55"/>
      <c r="Q47" s="56"/>
      <c r="R47" s="53"/>
      <c r="S47" s="195">
        <f>+J47</f>
        <v>0</v>
      </c>
      <c r="T47" s="57"/>
      <c r="U47" s="57"/>
      <c r="V47" s="57">
        <f>+U47*S47</f>
        <v>0</v>
      </c>
      <c r="W47" s="56"/>
      <c r="X47" s="56"/>
      <c r="Y47" s="195"/>
      <c r="Z47" s="197">
        <f>_xlfn.XLOOKUP(Y47,'Listas Desplegables (LD)'!$J$8:$J$12,'Listas Desplegables (LD)'!$K$8:$K$12, 0,1)</f>
        <v>0</v>
      </c>
      <c r="AA47" s="197"/>
      <c r="AB47" s="184">
        <f>Z47*AA47</f>
        <v>0</v>
      </c>
      <c r="AC47" s="186" t="str">
        <f>+IF(AB47&gt;=20,"IV",IF(OR(AND(AB47&gt;=9,AB47&lt;=16),AND(AA47=5,Z47=1)),"III",IF(OR(AND(AB47&lt;=9,AB47&gt;=6),AND(Z47=1,AA47=4),AND(Z47=4,AA47=1),AND(Z47=1,AA47=3)),"II",IF(OR(AB47=2,AB47=1,AND(AA47=1,Z47=3),AND(AA47=2,Z47=2)),"I"," "))))</f>
        <v xml:space="preserve"> </v>
      </c>
      <c r="AD47" s="58"/>
      <c r="AE47" s="59"/>
      <c r="AF47" s="54"/>
      <c r="AG47" s="54"/>
      <c r="AH47" s="60"/>
      <c r="AI47" s="54"/>
      <c r="AJ47" s="61"/>
      <c r="AK47" s="61"/>
      <c r="AL47" s="62"/>
      <c r="AM47" s="63"/>
    </row>
    <row r="48" spans="1:39" ht="43.95" customHeight="1" thickBot="1" x14ac:dyDescent="0.3">
      <c r="A48" s="200"/>
      <c r="B48" s="202"/>
      <c r="C48" s="202"/>
      <c r="D48" s="205"/>
      <c r="E48" s="207"/>
      <c r="F48" s="207"/>
      <c r="G48" s="202"/>
      <c r="H48" s="202"/>
      <c r="I48" s="209"/>
      <c r="J48" s="196"/>
      <c r="K48" s="198"/>
      <c r="L48" s="198"/>
      <c r="M48" s="185"/>
      <c r="N48" s="187"/>
      <c r="O48" s="65"/>
      <c r="P48" s="66"/>
      <c r="Q48" s="67"/>
      <c r="R48" s="64"/>
      <c r="S48" s="196"/>
      <c r="T48" s="68"/>
      <c r="U48" s="68"/>
      <c r="V48" s="68">
        <f>+U48*S47</f>
        <v>0</v>
      </c>
      <c r="W48" s="67"/>
      <c r="X48" s="67"/>
      <c r="Y48" s="196"/>
      <c r="Z48" s="198"/>
      <c r="AA48" s="198"/>
      <c r="AB48" s="185"/>
      <c r="AC48" s="187"/>
      <c r="AD48" s="69"/>
      <c r="AE48" s="59"/>
      <c r="AF48" s="54"/>
      <c r="AG48" s="54"/>
      <c r="AH48" s="60"/>
      <c r="AI48" s="54"/>
      <c r="AJ48" s="61"/>
      <c r="AK48" s="61"/>
      <c r="AL48" s="62"/>
      <c r="AM48" s="63"/>
    </row>
    <row r="49" spans="1:39" ht="45" customHeight="1" thickBot="1" x14ac:dyDescent="0.3">
      <c r="A49" s="188" t="s">
        <v>202</v>
      </c>
      <c r="B49" s="202"/>
      <c r="C49" s="202"/>
      <c r="D49" s="189" t="s">
        <v>188</v>
      </c>
      <c r="E49" s="190" t="s">
        <v>189</v>
      </c>
      <c r="F49" s="190" t="s">
        <v>190</v>
      </c>
      <c r="G49" s="202"/>
      <c r="H49" s="202"/>
      <c r="I49" s="209"/>
      <c r="J49" s="191"/>
      <c r="K49" s="192">
        <f>_xlfn.XLOOKUP(J49,'Listas Desplegables (LD)'!$J$8:$J$12,'Listas Desplegables (LD)'!$K$8:$K$12, 0,1)</f>
        <v>0</v>
      </c>
      <c r="L49" s="192"/>
      <c r="M49" s="193">
        <f>+K49*L49</f>
        <v>0</v>
      </c>
      <c r="N49" s="194" t="str">
        <f>+IF(M49&gt;=20,"IV",IF(OR(AND(M49&gt;=9,M49&lt;=16),AND(L49=5,K49=1)),"III",IF(OR(AND(M49&lt;=9,M49&gt;=6),AND(K49=1,L49=4),AND(K49=4,L49=1),AND(K49=1,L49=3)),"II",IF(OR(M49=2,M49=1,AND(L49=1,K49=3),AND(L49=2,K49=2)),"I"," "))))</f>
        <v xml:space="preserve"> </v>
      </c>
      <c r="O49" s="71"/>
      <c r="P49" s="72"/>
      <c r="Q49" s="73"/>
      <c r="R49" s="70"/>
      <c r="S49" s="191">
        <f>+J49</f>
        <v>0</v>
      </c>
      <c r="T49" s="74"/>
      <c r="U49" s="74"/>
      <c r="V49" s="74">
        <f>+U49*S49</f>
        <v>0</v>
      </c>
      <c r="W49" s="73"/>
      <c r="X49" s="73"/>
      <c r="Y49" s="191"/>
      <c r="Z49" s="192">
        <f>_xlfn.XLOOKUP(Y49,'Listas Desplegables (LD)'!$J$8:$J$12,'Listas Desplegables (LD)'!$K$8:$K$12, 0,1)</f>
        <v>0</v>
      </c>
      <c r="AA49" s="192"/>
      <c r="AB49" s="193">
        <f>Z49*AA49</f>
        <v>0</v>
      </c>
      <c r="AC49" s="194" t="str">
        <f>+IF(AB49&gt;=20,"IV",IF(OR(AND(AB49&gt;=9,AB49&lt;=16),AND(AA49=5,Z49=1)),"III",IF(OR(AND(AB49&lt;=9,AB49&gt;=6),AND(Z49=1,AA49=4),AND(Z49=4,AA49=1),AND(Z49=1,AA49=3)),"II",IF(OR(AB49=2,AB49=1,AND(AA49=1,Z49=3),AND(AA49=2,Z49=2)),"I"," "))))</f>
        <v xml:space="preserve"> </v>
      </c>
      <c r="AD49" s="75"/>
      <c r="AE49" s="76"/>
      <c r="AF49" s="77"/>
      <c r="AG49" s="77"/>
      <c r="AH49" s="78"/>
      <c r="AI49" s="77"/>
      <c r="AJ49" s="79"/>
      <c r="AK49" s="79"/>
      <c r="AL49" s="80"/>
      <c r="AM49" s="81"/>
    </row>
    <row r="50" spans="1:39" ht="45" customHeight="1" thickBot="1" x14ac:dyDescent="0.3">
      <c r="A50" s="188"/>
      <c r="B50" s="202"/>
      <c r="C50" s="202"/>
      <c r="D50" s="189"/>
      <c r="E50" s="190"/>
      <c r="F50" s="190"/>
      <c r="G50" s="202"/>
      <c r="H50" s="202"/>
      <c r="I50" s="209"/>
      <c r="J50" s="191"/>
      <c r="K50" s="192"/>
      <c r="L50" s="192"/>
      <c r="M50" s="193"/>
      <c r="N50" s="194"/>
      <c r="O50" s="71"/>
      <c r="P50" s="72"/>
      <c r="Q50" s="73"/>
      <c r="R50" s="70"/>
      <c r="S50" s="191"/>
      <c r="T50" s="74"/>
      <c r="U50" s="74"/>
      <c r="V50" s="74">
        <f>+U50*S49</f>
        <v>0</v>
      </c>
      <c r="W50" s="73"/>
      <c r="X50" s="73"/>
      <c r="Y50" s="191"/>
      <c r="Z50" s="192"/>
      <c r="AA50" s="192"/>
      <c r="AB50" s="193"/>
      <c r="AC50" s="194"/>
      <c r="AD50" s="75"/>
      <c r="AE50" s="76"/>
      <c r="AF50" s="77"/>
      <c r="AG50" s="77"/>
      <c r="AH50" s="78"/>
      <c r="AI50" s="77"/>
      <c r="AJ50" s="79"/>
      <c r="AK50" s="79"/>
      <c r="AL50" s="80"/>
      <c r="AM50" s="81"/>
    </row>
    <row r="51" spans="1:39" ht="43.2" customHeight="1" thickBot="1" x14ac:dyDescent="0.3">
      <c r="A51" s="211" t="s">
        <v>203</v>
      </c>
      <c r="B51" s="202"/>
      <c r="C51" s="202"/>
      <c r="D51" s="213" t="s">
        <v>192</v>
      </c>
      <c r="E51" s="215" t="s">
        <v>193</v>
      </c>
      <c r="F51" s="215" t="s">
        <v>194</v>
      </c>
      <c r="G51" s="202"/>
      <c r="H51" s="202"/>
      <c r="I51" s="209"/>
      <c r="J51" s="180"/>
      <c r="K51" s="182">
        <f>_xlfn.XLOOKUP(J51,'Listas Desplegables (LD)'!$J$8:$J$12,'Listas Desplegables (LD)'!$K$8:$K$12, 0,1)</f>
        <v>0</v>
      </c>
      <c r="L51" s="182"/>
      <c r="M51" s="176">
        <f>+K51*L51</f>
        <v>0</v>
      </c>
      <c r="N51" s="178" t="str">
        <f>+IF(M51&gt;=20,"IV",IF(OR(AND(M51&gt;=9,M51&lt;=16),AND(L51=5,K51=1)),"III",IF(OR(AND(M51&lt;=9,M51&gt;=6),AND(K51=1,L51=4),AND(K51=4,L51=1),AND(K51=1,L51=3)),"II",IF(OR(M51=2,M51=1,AND(L51=1,K51=3),AND(L51=2,K51=2)),"I"," "))))</f>
        <v xml:space="preserve"> </v>
      </c>
      <c r="O51" s="83"/>
      <c r="P51" s="84"/>
      <c r="Q51" s="85"/>
      <c r="R51" s="82"/>
      <c r="S51" s="180">
        <f>+J51</f>
        <v>0</v>
      </c>
      <c r="T51" s="86"/>
      <c r="U51" s="86"/>
      <c r="V51" s="86">
        <f>+U51*S51</f>
        <v>0</v>
      </c>
      <c r="W51" s="85"/>
      <c r="X51" s="85"/>
      <c r="Y51" s="180"/>
      <c r="Z51" s="182">
        <f>_xlfn.XLOOKUP(Y51,'Listas Desplegables (LD)'!$J$8:$J$12,'Listas Desplegables (LD)'!$K$8:$K$12, 0,1)</f>
        <v>0</v>
      </c>
      <c r="AA51" s="182"/>
      <c r="AB51" s="176">
        <f>Z51*AA51</f>
        <v>0</v>
      </c>
      <c r="AC51" s="178" t="str">
        <f>+IF(AB51&gt;=20,"IV",IF(OR(AND(AB51&gt;=9,AB51&lt;=16),AND(AA51=5,Z51=1)),"III",IF(OR(AND(AB51&lt;=9,AB51&gt;=6),AND(Z51=1,AA51=4),AND(Z51=4,AA51=1),AND(Z51=1,AA51=3)),"II",IF(OR(AB51=2,AB51=1,AND(AA51=1,Z51=3),AND(AA51=2,Z51=2)),"I"," "))))</f>
        <v xml:space="preserve"> </v>
      </c>
      <c r="AD51" s="87"/>
      <c r="AE51" s="88"/>
      <c r="AF51" s="89"/>
      <c r="AG51" s="89"/>
      <c r="AH51" s="90"/>
      <c r="AI51" s="89"/>
      <c r="AJ51" s="91"/>
      <c r="AK51" s="91"/>
      <c r="AL51" s="92"/>
      <c r="AM51" s="93"/>
    </row>
    <row r="52" spans="1:39" ht="43.2" customHeight="1" thickBot="1" x14ac:dyDescent="0.3">
      <c r="A52" s="212"/>
      <c r="B52" s="203"/>
      <c r="C52" s="203"/>
      <c r="D52" s="214"/>
      <c r="E52" s="216"/>
      <c r="F52" s="216"/>
      <c r="G52" s="203"/>
      <c r="H52" s="203"/>
      <c r="I52" s="210"/>
      <c r="J52" s="181"/>
      <c r="K52" s="183"/>
      <c r="L52" s="183"/>
      <c r="M52" s="177"/>
      <c r="N52" s="179"/>
      <c r="O52" s="95"/>
      <c r="P52" s="96"/>
      <c r="Q52" s="97"/>
      <c r="R52" s="94"/>
      <c r="S52" s="181"/>
      <c r="T52" s="98"/>
      <c r="U52" s="98"/>
      <c r="V52" s="98">
        <f>+U52*S51</f>
        <v>0</v>
      </c>
      <c r="W52" s="97"/>
      <c r="X52" s="97"/>
      <c r="Y52" s="181"/>
      <c r="Z52" s="183"/>
      <c r="AA52" s="183"/>
      <c r="AB52" s="177"/>
      <c r="AC52" s="179"/>
      <c r="AD52" s="99"/>
      <c r="AE52" s="100"/>
      <c r="AF52" s="101"/>
      <c r="AG52" s="101"/>
      <c r="AH52" s="102"/>
      <c r="AI52" s="101"/>
      <c r="AJ52" s="103"/>
      <c r="AK52" s="103"/>
      <c r="AL52" s="104"/>
      <c r="AM52" s="105"/>
    </row>
    <row r="53" spans="1:39" ht="43.95" customHeight="1" thickBot="1" x14ac:dyDescent="0.3">
      <c r="A53" s="199" t="s">
        <v>204</v>
      </c>
      <c r="B53" s="201"/>
      <c r="C53" s="201"/>
      <c r="D53" s="204" t="s">
        <v>184</v>
      </c>
      <c r="E53" s="206" t="s">
        <v>185</v>
      </c>
      <c r="F53" s="206" t="s">
        <v>186</v>
      </c>
      <c r="G53" s="201"/>
      <c r="H53" s="201"/>
      <c r="I53" s="208"/>
      <c r="J53" s="195">
        <v>0.7</v>
      </c>
      <c r="K53" s="197">
        <f>_xlfn.XLOOKUP(J53,'Listas Desplegables (LD)'!$J$8:$J$12,'Listas Desplegables (LD)'!$K$8:$K$12, 0,1)</f>
        <v>4</v>
      </c>
      <c r="L53" s="197">
        <v>4</v>
      </c>
      <c r="M53" s="184">
        <f>+K53*L53</f>
        <v>16</v>
      </c>
      <c r="N53" s="186" t="str">
        <f>+IF(M53&gt;=20,"IV",IF(OR(AND(M53&gt;=9,M53&lt;=16),AND(L53=5,K53=1)),"III",IF(OR(AND(M53&lt;=9,M53&gt;=6),AND(K53=1,L53=4),AND(K53=4,L53=1),AND(K53=1,L53=3)),"II",IF(OR(M53=2,M53=1,AND(L53=1,K53=3),AND(L53=2,K53=2)),"I"," "))))</f>
        <v>III</v>
      </c>
      <c r="O53" s="54"/>
      <c r="P53" s="55"/>
      <c r="Q53" s="56"/>
      <c r="R53" s="53"/>
      <c r="S53" s="195">
        <f>+J53</f>
        <v>0.7</v>
      </c>
      <c r="T53" s="57"/>
      <c r="U53" s="57"/>
      <c r="V53" s="57">
        <f>+U53*S53</f>
        <v>0</v>
      </c>
      <c r="W53" s="56"/>
      <c r="X53" s="56"/>
      <c r="Y53" s="195"/>
      <c r="Z53" s="197">
        <f>_xlfn.XLOOKUP(Y53,'Listas Desplegables (LD)'!$J$8:$J$12,'Listas Desplegables (LD)'!$K$8:$K$12, 0,1)</f>
        <v>0</v>
      </c>
      <c r="AA53" s="197"/>
      <c r="AB53" s="184">
        <f>Z53*AA53</f>
        <v>0</v>
      </c>
      <c r="AC53" s="186" t="str">
        <f>+IF(AB53&gt;=20,"IV",IF(OR(AND(AB53&gt;=9,AB53&lt;=16),AND(AA53=5,Z53=1)),"III",IF(OR(AND(AB53&lt;=9,AB53&gt;=6),AND(Z53=1,AA53=4),AND(Z53=4,AA53=1),AND(Z53=1,AA53=3)),"II",IF(OR(AB53=2,AB53=1,AND(AA53=1,Z53=3),AND(AA53=2,Z53=2)),"I"," "))))</f>
        <v xml:space="preserve"> </v>
      </c>
      <c r="AD53" s="58"/>
      <c r="AE53" s="59"/>
      <c r="AF53" s="54"/>
      <c r="AG53" s="54"/>
      <c r="AH53" s="60"/>
      <c r="AI53" s="54"/>
      <c r="AJ53" s="61"/>
      <c r="AK53" s="61"/>
      <c r="AL53" s="62"/>
      <c r="AM53" s="63"/>
    </row>
    <row r="54" spans="1:39" ht="43.95" customHeight="1" thickBot="1" x14ac:dyDescent="0.3">
      <c r="A54" s="200"/>
      <c r="B54" s="202"/>
      <c r="C54" s="202"/>
      <c r="D54" s="205"/>
      <c r="E54" s="207"/>
      <c r="F54" s="207"/>
      <c r="G54" s="202"/>
      <c r="H54" s="202"/>
      <c r="I54" s="209"/>
      <c r="J54" s="196"/>
      <c r="K54" s="198"/>
      <c r="L54" s="198"/>
      <c r="M54" s="185"/>
      <c r="N54" s="187"/>
      <c r="O54" s="65"/>
      <c r="P54" s="66"/>
      <c r="Q54" s="67"/>
      <c r="R54" s="64"/>
      <c r="S54" s="196"/>
      <c r="T54" s="68"/>
      <c r="U54" s="68"/>
      <c r="V54" s="68">
        <f>+U54*S53</f>
        <v>0</v>
      </c>
      <c r="W54" s="67"/>
      <c r="X54" s="67"/>
      <c r="Y54" s="196"/>
      <c r="Z54" s="198"/>
      <c r="AA54" s="198"/>
      <c r="AB54" s="185"/>
      <c r="AC54" s="187"/>
      <c r="AD54" s="69"/>
      <c r="AE54" s="59"/>
      <c r="AF54" s="54"/>
      <c r="AG54" s="54"/>
      <c r="AH54" s="60"/>
      <c r="AI54" s="54"/>
      <c r="AJ54" s="61"/>
      <c r="AK54" s="61"/>
      <c r="AL54" s="62"/>
      <c r="AM54" s="63"/>
    </row>
    <row r="55" spans="1:39" ht="45" customHeight="1" thickBot="1" x14ac:dyDescent="0.3">
      <c r="A55" s="188" t="s">
        <v>205</v>
      </c>
      <c r="B55" s="202"/>
      <c r="C55" s="202"/>
      <c r="D55" s="189" t="s">
        <v>188</v>
      </c>
      <c r="E55" s="190" t="s">
        <v>189</v>
      </c>
      <c r="F55" s="190" t="s">
        <v>190</v>
      </c>
      <c r="G55" s="202"/>
      <c r="H55" s="202"/>
      <c r="I55" s="209"/>
      <c r="J55" s="191"/>
      <c r="K55" s="192">
        <f>_xlfn.XLOOKUP(J55,'Listas Desplegables (LD)'!$J$8:$J$12,'Listas Desplegables (LD)'!$K$8:$K$12, 0,1)</f>
        <v>0</v>
      </c>
      <c r="L55" s="192"/>
      <c r="M55" s="193">
        <f>+K55*L55</f>
        <v>0</v>
      </c>
      <c r="N55" s="194" t="str">
        <f>+IF(M55&gt;=20,"IV",IF(OR(AND(M55&gt;=9,M55&lt;=16),AND(L55=5,K55=1)),"III",IF(OR(AND(M55&lt;=9,M55&gt;=6),AND(K55=1,L55=4),AND(K55=4,L55=1),AND(K55=1,L55=3)),"II",IF(OR(M55=2,M55=1,AND(L55=1,K55=3),AND(L55=2,K55=2)),"I"," "))))</f>
        <v xml:space="preserve"> </v>
      </c>
      <c r="O55" s="71"/>
      <c r="P55" s="72"/>
      <c r="Q55" s="73"/>
      <c r="R55" s="70"/>
      <c r="S55" s="191">
        <f>+J55</f>
        <v>0</v>
      </c>
      <c r="T55" s="74"/>
      <c r="U55" s="74"/>
      <c r="V55" s="74">
        <f>+U55*S55</f>
        <v>0</v>
      </c>
      <c r="W55" s="73"/>
      <c r="X55" s="73"/>
      <c r="Y55" s="191"/>
      <c r="Z55" s="192">
        <f>_xlfn.XLOOKUP(Y55,'Listas Desplegables (LD)'!$J$8:$J$12,'Listas Desplegables (LD)'!$K$8:$K$12, 0,1)</f>
        <v>0</v>
      </c>
      <c r="AA55" s="192"/>
      <c r="AB55" s="193">
        <f>Z55*AA55</f>
        <v>0</v>
      </c>
      <c r="AC55" s="194" t="str">
        <f>+IF(AB55&gt;=20,"IV",IF(OR(AND(AB55&gt;=9,AB55&lt;=16),AND(AA55=5,Z55=1)),"III",IF(OR(AND(AB55&lt;=9,AB55&gt;=6),AND(Z55=1,AA55=4),AND(Z55=4,AA55=1),AND(Z55=1,AA55=3)),"II",IF(OR(AB55=2,AB55=1,AND(AA55=1,Z55=3),AND(AA55=2,Z55=2)),"I"," "))))</f>
        <v xml:space="preserve"> </v>
      </c>
      <c r="AD55" s="75"/>
      <c r="AE55" s="76"/>
      <c r="AF55" s="77"/>
      <c r="AG55" s="77"/>
      <c r="AH55" s="78"/>
      <c r="AI55" s="77"/>
      <c r="AJ55" s="79"/>
      <c r="AK55" s="79"/>
      <c r="AL55" s="80"/>
      <c r="AM55" s="81"/>
    </row>
    <row r="56" spans="1:39" ht="45" customHeight="1" thickBot="1" x14ac:dyDescent="0.3">
      <c r="A56" s="188"/>
      <c r="B56" s="202"/>
      <c r="C56" s="202"/>
      <c r="D56" s="189"/>
      <c r="E56" s="190"/>
      <c r="F56" s="190"/>
      <c r="G56" s="202"/>
      <c r="H56" s="202"/>
      <c r="I56" s="209"/>
      <c r="J56" s="191"/>
      <c r="K56" s="192"/>
      <c r="L56" s="192"/>
      <c r="M56" s="193"/>
      <c r="N56" s="194"/>
      <c r="O56" s="71"/>
      <c r="P56" s="72"/>
      <c r="Q56" s="73"/>
      <c r="R56" s="70"/>
      <c r="S56" s="191"/>
      <c r="T56" s="74"/>
      <c r="U56" s="74"/>
      <c r="V56" s="74">
        <f>+U56*S55</f>
        <v>0</v>
      </c>
      <c r="W56" s="73"/>
      <c r="X56" s="73"/>
      <c r="Y56" s="191"/>
      <c r="Z56" s="192"/>
      <c r="AA56" s="192"/>
      <c r="AB56" s="193"/>
      <c r="AC56" s="194"/>
      <c r="AD56" s="75"/>
      <c r="AE56" s="76"/>
      <c r="AF56" s="77"/>
      <c r="AG56" s="77"/>
      <c r="AH56" s="78"/>
      <c r="AI56" s="77"/>
      <c r="AJ56" s="79"/>
      <c r="AK56" s="79"/>
      <c r="AL56" s="80"/>
      <c r="AM56" s="81"/>
    </row>
    <row r="57" spans="1:39" ht="43.2" customHeight="1" thickBot="1" x14ac:dyDescent="0.3">
      <c r="A57" s="211" t="s">
        <v>206</v>
      </c>
      <c r="B57" s="202"/>
      <c r="C57" s="202"/>
      <c r="D57" s="213" t="s">
        <v>192</v>
      </c>
      <c r="E57" s="215" t="s">
        <v>193</v>
      </c>
      <c r="F57" s="215" t="s">
        <v>194</v>
      </c>
      <c r="G57" s="202"/>
      <c r="H57" s="202"/>
      <c r="I57" s="209"/>
      <c r="J57" s="180"/>
      <c r="K57" s="182">
        <f>_xlfn.XLOOKUP(J57,'Listas Desplegables (LD)'!$J$8:$J$12,'Listas Desplegables (LD)'!$K$8:$K$12, 0,1)</f>
        <v>0</v>
      </c>
      <c r="L57" s="182"/>
      <c r="M57" s="176">
        <f>+K57*L57</f>
        <v>0</v>
      </c>
      <c r="N57" s="178" t="str">
        <f>+IF(M57&gt;=20,"IV",IF(OR(AND(M57&gt;=9,M57&lt;=16),AND(L57=5,K57=1)),"III",IF(OR(AND(M57&lt;=9,M57&gt;=6),AND(K57=1,L57=4),AND(K57=4,L57=1),AND(K57=1,L57=3)),"II",IF(OR(M57=2,M57=1,AND(L57=1,K57=3),AND(L57=2,K57=2)),"I"," "))))</f>
        <v xml:space="preserve"> </v>
      </c>
      <c r="O57" s="83"/>
      <c r="P57" s="84"/>
      <c r="Q57" s="85"/>
      <c r="R57" s="82"/>
      <c r="S57" s="180">
        <f>+J57</f>
        <v>0</v>
      </c>
      <c r="T57" s="86"/>
      <c r="U57" s="86"/>
      <c r="V57" s="86">
        <f>+U57*S57</f>
        <v>0</v>
      </c>
      <c r="W57" s="85"/>
      <c r="X57" s="85"/>
      <c r="Y57" s="180"/>
      <c r="Z57" s="182">
        <f>_xlfn.XLOOKUP(Y57,'Listas Desplegables (LD)'!$J$8:$J$12,'Listas Desplegables (LD)'!$K$8:$K$12, 0,1)</f>
        <v>0</v>
      </c>
      <c r="AA57" s="182"/>
      <c r="AB57" s="176">
        <f>Z57*AA57</f>
        <v>0</v>
      </c>
      <c r="AC57" s="178" t="str">
        <f>+IF(AB57&gt;=20,"IV",IF(OR(AND(AB57&gt;=9,AB57&lt;=16),AND(AA57=5,Z57=1)),"III",IF(OR(AND(AB57&lt;=9,AB57&gt;=6),AND(Z57=1,AA57=4),AND(Z57=4,AA57=1),AND(Z57=1,AA57=3)),"II",IF(OR(AB57=2,AB57=1,AND(AA57=1,Z57=3),AND(AA57=2,Z57=2)),"I"," "))))</f>
        <v xml:space="preserve"> </v>
      </c>
      <c r="AD57" s="87"/>
      <c r="AE57" s="88"/>
      <c r="AF57" s="89"/>
      <c r="AG57" s="89"/>
      <c r="AH57" s="90"/>
      <c r="AI57" s="89"/>
      <c r="AJ57" s="91"/>
      <c r="AK57" s="91"/>
      <c r="AL57" s="92"/>
      <c r="AM57" s="93"/>
    </row>
    <row r="58" spans="1:39" ht="43.2" customHeight="1" thickBot="1" x14ac:dyDescent="0.3">
      <c r="A58" s="212"/>
      <c r="B58" s="203"/>
      <c r="C58" s="203"/>
      <c r="D58" s="214"/>
      <c r="E58" s="216"/>
      <c r="F58" s="216"/>
      <c r="G58" s="203"/>
      <c r="H58" s="203"/>
      <c r="I58" s="210"/>
      <c r="J58" s="181"/>
      <c r="K58" s="183"/>
      <c r="L58" s="183"/>
      <c r="M58" s="177"/>
      <c r="N58" s="179"/>
      <c r="O58" s="95"/>
      <c r="P58" s="96"/>
      <c r="Q58" s="97"/>
      <c r="R58" s="94"/>
      <c r="S58" s="181"/>
      <c r="T58" s="98"/>
      <c r="U58" s="98"/>
      <c r="V58" s="98">
        <f>+U58*S57</f>
        <v>0</v>
      </c>
      <c r="W58" s="97"/>
      <c r="X58" s="97"/>
      <c r="Y58" s="181"/>
      <c r="Z58" s="183"/>
      <c r="AA58" s="183"/>
      <c r="AB58" s="177"/>
      <c r="AC58" s="179"/>
      <c r="AD58" s="99"/>
      <c r="AE58" s="100"/>
      <c r="AF58" s="101"/>
      <c r="AG58" s="101"/>
      <c r="AH58" s="102"/>
      <c r="AI58" s="101"/>
      <c r="AJ58" s="103"/>
      <c r="AK58" s="103"/>
      <c r="AL58" s="104"/>
      <c r="AM58" s="105"/>
    </row>
    <row r="59" spans="1:39" x14ac:dyDescent="0.25">
      <c r="T59" s="123">
        <f>SUM(T11:T58)</f>
        <v>68000</v>
      </c>
      <c r="V59" s="123">
        <f>SUM(V11:V58)</f>
        <v>25350</v>
      </c>
    </row>
    <row r="137" spans="2:2" x14ac:dyDescent="0.25">
      <c r="B137" s="6"/>
    </row>
    <row r="138" spans="2:2" x14ac:dyDescent="0.25">
      <c r="B138" s="16"/>
    </row>
    <row r="139" spans="2:2" x14ac:dyDescent="0.25">
      <c r="B139" s="16"/>
    </row>
    <row r="140" spans="2:2" x14ac:dyDescent="0.25">
      <c r="B140" s="16"/>
    </row>
    <row r="141" spans="2:2" x14ac:dyDescent="0.25">
      <c r="B141" s="16"/>
    </row>
    <row r="142" spans="2:2" x14ac:dyDescent="0.25">
      <c r="B142" s="16"/>
    </row>
  </sheetData>
  <sheetProtection selectLockedCells="1"/>
  <mergeCells count="465">
    <mergeCell ref="AH9:AH10"/>
    <mergeCell ref="AI9:AI10"/>
    <mergeCell ref="AJ9:AJ10"/>
    <mergeCell ref="AK9:AK10"/>
    <mergeCell ref="AL9:AL10"/>
    <mergeCell ref="AM9:AM10"/>
    <mergeCell ref="Z9:Z10"/>
    <mergeCell ref="AA9:AA10"/>
    <mergeCell ref="AB9:AB10"/>
    <mergeCell ref="AC9:AC10"/>
    <mergeCell ref="AD9:AD10"/>
    <mergeCell ref="AE9:AG9"/>
    <mergeCell ref="D9:D10"/>
    <mergeCell ref="E9:E10"/>
    <mergeCell ref="F9:F10"/>
    <mergeCell ref="T9:T10"/>
    <mergeCell ref="U9:U10"/>
    <mergeCell ref="V9:V10"/>
    <mergeCell ref="W9:W10"/>
    <mergeCell ref="X9:X10"/>
    <mergeCell ref="Y9:Y10"/>
    <mergeCell ref="M9:M10"/>
    <mergeCell ref="N9:O9"/>
    <mergeCell ref="P9:P10"/>
    <mergeCell ref="Q9:Q10"/>
    <mergeCell ref="R9:R10"/>
    <mergeCell ref="S9:S10"/>
    <mergeCell ref="P8:X8"/>
    <mergeCell ref="Y8:AD8"/>
    <mergeCell ref="AE8:AM8"/>
    <mergeCell ref="A6:C6"/>
    <mergeCell ref="D6:E6"/>
    <mergeCell ref="F6:G6"/>
    <mergeCell ref="H6:O6"/>
    <mergeCell ref="U6:V6"/>
    <mergeCell ref="W6:X6"/>
    <mergeCell ref="U5:V5"/>
    <mergeCell ref="W5:X5"/>
    <mergeCell ref="B2:AM2"/>
    <mergeCell ref="A4:C4"/>
    <mergeCell ref="D4:E4"/>
    <mergeCell ref="F4:G4"/>
    <mergeCell ref="H4:O4"/>
    <mergeCell ref="R4:S4"/>
    <mergeCell ref="U4:V4"/>
    <mergeCell ref="W4:X4"/>
    <mergeCell ref="K13:K14"/>
    <mergeCell ref="L13:L14"/>
    <mergeCell ref="M13:M14"/>
    <mergeCell ref="N13:N14"/>
    <mergeCell ref="D11:D12"/>
    <mergeCell ref="E11:E12"/>
    <mergeCell ref="F11:F12"/>
    <mergeCell ref="J11:J12"/>
    <mergeCell ref="A5:C5"/>
    <mergeCell ref="D5:E5"/>
    <mergeCell ref="F5:G5"/>
    <mergeCell ref="H5:O5"/>
    <mergeCell ref="B8:F8"/>
    <mergeCell ref="G8:I8"/>
    <mergeCell ref="J8:O8"/>
    <mergeCell ref="G9:G10"/>
    <mergeCell ref="H9:H10"/>
    <mergeCell ref="I9:I10"/>
    <mergeCell ref="J9:J10"/>
    <mergeCell ref="K9:K10"/>
    <mergeCell ref="L9:L10"/>
    <mergeCell ref="A9:A10"/>
    <mergeCell ref="B9:B10"/>
    <mergeCell ref="C9:C10"/>
    <mergeCell ref="A15:A16"/>
    <mergeCell ref="D15:D16"/>
    <mergeCell ref="E15:E16"/>
    <mergeCell ref="F15:F16"/>
    <mergeCell ref="J15:J16"/>
    <mergeCell ref="K15:K16"/>
    <mergeCell ref="L15:L16"/>
    <mergeCell ref="M15:M16"/>
    <mergeCell ref="N15:N16"/>
    <mergeCell ref="B11:B16"/>
    <mergeCell ref="C11:C16"/>
    <mergeCell ref="G11:G16"/>
    <mergeCell ref="H11:H16"/>
    <mergeCell ref="I11:I16"/>
    <mergeCell ref="K11:K12"/>
    <mergeCell ref="L11:L12"/>
    <mergeCell ref="M11:M12"/>
    <mergeCell ref="N11:N12"/>
    <mergeCell ref="A11:A12"/>
    <mergeCell ref="A13:A14"/>
    <mergeCell ref="D13:D14"/>
    <mergeCell ref="E13:E14"/>
    <mergeCell ref="F13:F14"/>
    <mergeCell ref="J13:J14"/>
    <mergeCell ref="Y11:Y12"/>
    <mergeCell ref="Z11:Z12"/>
    <mergeCell ref="AA11:AA12"/>
    <mergeCell ref="AB11:AB12"/>
    <mergeCell ref="AC11:AC12"/>
    <mergeCell ref="Y13:Y14"/>
    <mergeCell ref="Z13:Z14"/>
    <mergeCell ref="AA13:AA14"/>
    <mergeCell ref="AB13:AB14"/>
    <mergeCell ref="AC13:AC14"/>
    <mergeCell ref="Y15:Y16"/>
    <mergeCell ref="Z15:Z16"/>
    <mergeCell ref="AA15:AA16"/>
    <mergeCell ref="AB15:AB16"/>
    <mergeCell ref="AC15:AC16"/>
    <mergeCell ref="S11:S12"/>
    <mergeCell ref="S13:S14"/>
    <mergeCell ref="S15:S16"/>
    <mergeCell ref="A17:A18"/>
    <mergeCell ref="B17:B22"/>
    <mergeCell ref="C17:C22"/>
    <mergeCell ref="D17:D18"/>
    <mergeCell ref="E17:E18"/>
    <mergeCell ref="F17:F18"/>
    <mergeCell ref="G17:G22"/>
    <mergeCell ref="H17:H22"/>
    <mergeCell ref="I17:I22"/>
    <mergeCell ref="J17:J18"/>
    <mergeCell ref="K17:K18"/>
    <mergeCell ref="L17:L18"/>
    <mergeCell ref="M17:M18"/>
    <mergeCell ref="N17:N18"/>
    <mergeCell ref="S17:S18"/>
    <mergeCell ref="Y17:Y18"/>
    <mergeCell ref="Z17:Z18"/>
    <mergeCell ref="AA17:AA18"/>
    <mergeCell ref="AB17:AB18"/>
    <mergeCell ref="AC17:AC18"/>
    <mergeCell ref="A19:A20"/>
    <mergeCell ref="D19:D20"/>
    <mergeCell ref="E19:E20"/>
    <mergeCell ref="F19:F20"/>
    <mergeCell ref="J19:J20"/>
    <mergeCell ref="K19:K20"/>
    <mergeCell ref="L19:L20"/>
    <mergeCell ref="M19:M20"/>
    <mergeCell ref="N19:N20"/>
    <mergeCell ref="S19:S20"/>
    <mergeCell ref="Y19:Y20"/>
    <mergeCell ref="Z19:Z20"/>
    <mergeCell ref="AA19:AA20"/>
    <mergeCell ref="AB19:AB20"/>
    <mergeCell ref="AC19:AC20"/>
    <mergeCell ref="A21:A22"/>
    <mergeCell ref="D21:D22"/>
    <mergeCell ref="E21:E22"/>
    <mergeCell ref="F21:F22"/>
    <mergeCell ref="J21:J22"/>
    <mergeCell ref="K21:K22"/>
    <mergeCell ref="L21:L22"/>
    <mergeCell ref="M21:M22"/>
    <mergeCell ref="N21:N22"/>
    <mergeCell ref="S21:S22"/>
    <mergeCell ref="Y21:Y22"/>
    <mergeCell ref="Z21:Z22"/>
    <mergeCell ref="AA21:AA22"/>
    <mergeCell ref="AB21:AB22"/>
    <mergeCell ref="AC21:AC22"/>
    <mergeCell ref="A23:A24"/>
    <mergeCell ref="B23:B28"/>
    <mergeCell ref="C23:C28"/>
    <mergeCell ref="D23:D24"/>
    <mergeCell ref="E23:E24"/>
    <mergeCell ref="F23:F24"/>
    <mergeCell ref="G23:G28"/>
    <mergeCell ref="H23:H28"/>
    <mergeCell ref="I23:I28"/>
    <mergeCell ref="J23:J24"/>
    <mergeCell ref="K23:K24"/>
    <mergeCell ref="L23:L24"/>
    <mergeCell ref="M23:M24"/>
    <mergeCell ref="N23:N24"/>
    <mergeCell ref="S23:S24"/>
    <mergeCell ref="Y23:Y24"/>
    <mergeCell ref="Z23:Z24"/>
    <mergeCell ref="AA23:AA24"/>
    <mergeCell ref="AB23:AB24"/>
    <mergeCell ref="AC23:AC24"/>
    <mergeCell ref="A25:A26"/>
    <mergeCell ref="D25:D26"/>
    <mergeCell ref="E25:E26"/>
    <mergeCell ref="F25:F26"/>
    <mergeCell ref="J25:J26"/>
    <mergeCell ref="K25:K26"/>
    <mergeCell ref="L25:L26"/>
    <mergeCell ref="M25:M26"/>
    <mergeCell ref="N25:N26"/>
    <mergeCell ref="S25:S26"/>
    <mergeCell ref="Y25:Y26"/>
    <mergeCell ref="Z25:Z26"/>
    <mergeCell ref="AA25:AA26"/>
    <mergeCell ref="AB25:AB26"/>
    <mergeCell ref="AC25:AC26"/>
    <mergeCell ref="A27:A28"/>
    <mergeCell ref="D27:D28"/>
    <mergeCell ref="E27:E28"/>
    <mergeCell ref="F27:F28"/>
    <mergeCell ref="J27:J28"/>
    <mergeCell ref="K27:K28"/>
    <mergeCell ref="L27:L28"/>
    <mergeCell ref="M27:M28"/>
    <mergeCell ref="N27:N28"/>
    <mergeCell ref="S27:S28"/>
    <mergeCell ref="Y27:Y28"/>
    <mergeCell ref="Z27:Z28"/>
    <mergeCell ref="AA27:AA28"/>
    <mergeCell ref="AB27:AB28"/>
    <mergeCell ref="AC27:AC28"/>
    <mergeCell ref="A29:A30"/>
    <mergeCell ref="B29:B34"/>
    <mergeCell ref="C29:C34"/>
    <mergeCell ref="D29:D30"/>
    <mergeCell ref="E29:E30"/>
    <mergeCell ref="F29:F30"/>
    <mergeCell ref="G29:G34"/>
    <mergeCell ref="H29:H34"/>
    <mergeCell ref="I29:I34"/>
    <mergeCell ref="J29:J30"/>
    <mergeCell ref="K29:K30"/>
    <mergeCell ref="L29:L30"/>
    <mergeCell ref="M29:M30"/>
    <mergeCell ref="N29:N30"/>
    <mergeCell ref="S29:S30"/>
    <mergeCell ref="Y29:Y30"/>
    <mergeCell ref="Z29:Z30"/>
    <mergeCell ref="AA29:AA30"/>
    <mergeCell ref="AC29:AC30"/>
    <mergeCell ref="A31:A32"/>
    <mergeCell ref="D31:D32"/>
    <mergeCell ref="E31:E32"/>
    <mergeCell ref="F31:F32"/>
    <mergeCell ref="J31:J32"/>
    <mergeCell ref="K31:K32"/>
    <mergeCell ref="L31:L32"/>
    <mergeCell ref="M31:M32"/>
    <mergeCell ref="N31:N32"/>
    <mergeCell ref="S31:S32"/>
    <mergeCell ref="Y31:Y32"/>
    <mergeCell ref="Z31:Z32"/>
    <mergeCell ref="AA31:AA32"/>
    <mergeCell ref="AB31:AB32"/>
    <mergeCell ref="AC31:AC32"/>
    <mergeCell ref="A33:A34"/>
    <mergeCell ref="D33:D34"/>
    <mergeCell ref="E33:E34"/>
    <mergeCell ref="F33:F34"/>
    <mergeCell ref="J33:J34"/>
    <mergeCell ref="K33:K34"/>
    <mergeCell ref="L33:L34"/>
    <mergeCell ref="M33:M34"/>
    <mergeCell ref="N33:N34"/>
    <mergeCell ref="J35:J36"/>
    <mergeCell ref="K35:K36"/>
    <mergeCell ref="L35:L36"/>
    <mergeCell ref="M35:M36"/>
    <mergeCell ref="N35:N36"/>
    <mergeCell ref="S35:S36"/>
    <mergeCell ref="Y35:Y36"/>
    <mergeCell ref="Z35:Z36"/>
    <mergeCell ref="AA35:AA36"/>
    <mergeCell ref="A35:A36"/>
    <mergeCell ref="B35:B40"/>
    <mergeCell ref="C35:C40"/>
    <mergeCell ref="D35:D36"/>
    <mergeCell ref="E35:E36"/>
    <mergeCell ref="F35:F36"/>
    <mergeCell ref="G35:G40"/>
    <mergeCell ref="H35:H40"/>
    <mergeCell ref="I35:I40"/>
    <mergeCell ref="A37:A38"/>
    <mergeCell ref="D37:D38"/>
    <mergeCell ref="E37:E38"/>
    <mergeCell ref="F37:F38"/>
    <mergeCell ref="J37:J38"/>
    <mergeCell ref="K37:K38"/>
    <mergeCell ref="L37:L38"/>
    <mergeCell ref="M37:M38"/>
    <mergeCell ref="N37:N38"/>
    <mergeCell ref="A39:A40"/>
    <mergeCell ref="D39:D40"/>
    <mergeCell ref="E39:E40"/>
    <mergeCell ref="F39:F40"/>
    <mergeCell ref="J39:J40"/>
    <mergeCell ref="K39:K40"/>
    <mergeCell ref="L39:L40"/>
    <mergeCell ref="M39:M40"/>
    <mergeCell ref="N39:N40"/>
    <mergeCell ref="S39:S40"/>
    <mergeCell ref="Y39:Y40"/>
    <mergeCell ref="Z39:Z40"/>
    <mergeCell ref="AA39:AA40"/>
    <mergeCell ref="AB39:AB40"/>
    <mergeCell ref="AC39:AC40"/>
    <mergeCell ref="W3:X3"/>
    <mergeCell ref="Z4:AD4"/>
    <mergeCell ref="Z5:AD5"/>
    <mergeCell ref="AB35:AB36"/>
    <mergeCell ref="AC35:AC36"/>
    <mergeCell ref="S37:S38"/>
    <mergeCell ref="Y37:Y38"/>
    <mergeCell ref="Z37:Z38"/>
    <mergeCell ref="AA37:AA38"/>
    <mergeCell ref="AB37:AB38"/>
    <mergeCell ref="AC37:AC38"/>
    <mergeCell ref="S33:S34"/>
    <mergeCell ref="Y33:Y34"/>
    <mergeCell ref="Z33:Z34"/>
    <mergeCell ref="AA33:AA34"/>
    <mergeCell ref="AB33:AB34"/>
    <mergeCell ref="AC33:AC34"/>
    <mergeCell ref="AB29:AB30"/>
    <mergeCell ref="Z41:Z42"/>
    <mergeCell ref="AA41:AA42"/>
    <mergeCell ref="A41:A42"/>
    <mergeCell ref="B41:B46"/>
    <mergeCell ref="C41:C46"/>
    <mergeCell ref="D41:D42"/>
    <mergeCell ref="E41:E42"/>
    <mergeCell ref="F41:F42"/>
    <mergeCell ref="G41:G46"/>
    <mergeCell ref="H41:H46"/>
    <mergeCell ref="I41:I46"/>
    <mergeCell ref="A45:A46"/>
    <mergeCell ref="D45:D46"/>
    <mergeCell ref="E45:E46"/>
    <mergeCell ref="F45:F46"/>
    <mergeCell ref="AB41:AB42"/>
    <mergeCell ref="AC41:AC42"/>
    <mergeCell ref="A43:A44"/>
    <mergeCell ref="D43:D44"/>
    <mergeCell ref="E43:E44"/>
    <mergeCell ref="F43:F44"/>
    <mergeCell ref="J43:J44"/>
    <mergeCell ref="K43:K44"/>
    <mergeCell ref="L43:L44"/>
    <mergeCell ref="M43:M44"/>
    <mergeCell ref="N43:N44"/>
    <mergeCell ref="S43:S44"/>
    <mergeCell ref="Y43:Y44"/>
    <mergeCell ref="Z43:Z44"/>
    <mergeCell ref="AA43:AA44"/>
    <mergeCell ref="AB43:AB44"/>
    <mergeCell ref="AC43:AC44"/>
    <mergeCell ref="J41:J42"/>
    <mergeCell ref="K41:K42"/>
    <mergeCell ref="L41:L42"/>
    <mergeCell ref="M41:M42"/>
    <mergeCell ref="N41:N42"/>
    <mergeCell ref="S41:S42"/>
    <mergeCell ref="Y41:Y42"/>
    <mergeCell ref="AB47:AB48"/>
    <mergeCell ref="AC47:AC48"/>
    <mergeCell ref="A49:A50"/>
    <mergeCell ref="D49:D50"/>
    <mergeCell ref="J45:J46"/>
    <mergeCell ref="K45:K46"/>
    <mergeCell ref="L45:L46"/>
    <mergeCell ref="M45:M46"/>
    <mergeCell ref="N45:N46"/>
    <mergeCell ref="S45:S46"/>
    <mergeCell ref="Y45:Y46"/>
    <mergeCell ref="Z45:Z46"/>
    <mergeCell ref="AA45:AA46"/>
    <mergeCell ref="M49:M50"/>
    <mergeCell ref="N49:N50"/>
    <mergeCell ref="S49:S50"/>
    <mergeCell ref="Y49:Y50"/>
    <mergeCell ref="AB45:AB46"/>
    <mergeCell ref="AC45:AC46"/>
    <mergeCell ref="A47:A48"/>
    <mergeCell ref="B47:B52"/>
    <mergeCell ref="C47:C52"/>
    <mergeCell ref="D47:D48"/>
    <mergeCell ref="E47:E48"/>
    <mergeCell ref="F47:F48"/>
    <mergeCell ref="G47:G52"/>
    <mergeCell ref="H47:H52"/>
    <mergeCell ref="I47:I52"/>
    <mergeCell ref="J47:J48"/>
    <mergeCell ref="K47:K48"/>
    <mergeCell ref="L47:L48"/>
    <mergeCell ref="M47:M48"/>
    <mergeCell ref="N47:N48"/>
    <mergeCell ref="F49:F50"/>
    <mergeCell ref="J49:J50"/>
    <mergeCell ref="K49:K50"/>
    <mergeCell ref="L49:L50"/>
    <mergeCell ref="S47:S48"/>
    <mergeCell ref="Y47:Y48"/>
    <mergeCell ref="Z47:Z48"/>
    <mergeCell ref="AA47:AA48"/>
    <mergeCell ref="Z49:Z50"/>
    <mergeCell ref="AA49:AA50"/>
    <mergeCell ref="AB49:AB50"/>
    <mergeCell ref="AC49:AC50"/>
    <mergeCell ref="A51:A52"/>
    <mergeCell ref="D51:D52"/>
    <mergeCell ref="E51:E52"/>
    <mergeCell ref="F51:F52"/>
    <mergeCell ref="J51:J52"/>
    <mergeCell ref="K51:K52"/>
    <mergeCell ref="L51:L52"/>
    <mergeCell ref="M51:M52"/>
    <mergeCell ref="N51:N52"/>
    <mergeCell ref="S51:S52"/>
    <mergeCell ref="Y51:Y52"/>
    <mergeCell ref="Z51:Z52"/>
    <mergeCell ref="AA51:AA52"/>
    <mergeCell ref="AB51:AB52"/>
    <mergeCell ref="AC51:AC52"/>
    <mergeCell ref="E49:E50"/>
    <mergeCell ref="Z53:Z54"/>
    <mergeCell ref="AA53:AA54"/>
    <mergeCell ref="A53:A54"/>
    <mergeCell ref="B53:B58"/>
    <mergeCell ref="C53:C58"/>
    <mergeCell ref="D53:D54"/>
    <mergeCell ref="E53:E54"/>
    <mergeCell ref="F53:F54"/>
    <mergeCell ref="G53:G58"/>
    <mergeCell ref="H53:H58"/>
    <mergeCell ref="I53:I58"/>
    <mergeCell ref="A57:A58"/>
    <mergeCell ref="D57:D58"/>
    <mergeCell ref="E57:E58"/>
    <mergeCell ref="F57:F58"/>
    <mergeCell ref="AB53:AB54"/>
    <mergeCell ref="AC53:AC54"/>
    <mergeCell ref="A55:A56"/>
    <mergeCell ref="D55:D56"/>
    <mergeCell ref="E55:E56"/>
    <mergeCell ref="F55:F56"/>
    <mergeCell ref="J55:J56"/>
    <mergeCell ref="K55:K56"/>
    <mergeCell ref="L55:L56"/>
    <mergeCell ref="M55:M56"/>
    <mergeCell ref="N55:N56"/>
    <mergeCell ref="S55:S56"/>
    <mergeCell ref="Y55:Y56"/>
    <mergeCell ref="Z55:Z56"/>
    <mergeCell ref="AA55:AA56"/>
    <mergeCell ref="AB55:AB56"/>
    <mergeCell ref="AC55:AC56"/>
    <mergeCell ref="J53:J54"/>
    <mergeCell ref="K53:K54"/>
    <mergeCell ref="L53:L54"/>
    <mergeCell ref="M53:M54"/>
    <mergeCell ref="N53:N54"/>
    <mergeCell ref="S53:S54"/>
    <mergeCell ref="Y53:Y54"/>
    <mergeCell ref="AB57:AB58"/>
    <mergeCell ref="AC57:AC58"/>
    <mergeCell ref="J57:J58"/>
    <mergeCell ref="K57:K58"/>
    <mergeCell ref="L57:L58"/>
    <mergeCell ref="M57:M58"/>
    <mergeCell ref="N57:N58"/>
    <mergeCell ref="S57:S58"/>
    <mergeCell ref="Y57:Y58"/>
    <mergeCell ref="Z57:Z58"/>
    <mergeCell ref="AA57:AA58"/>
  </mergeCells>
  <conditionalFormatting sqref="N11 AC11 N13 AC13 N15 AC15 N17 AC17 N19 AC19 N21 AC21">
    <cfRule type="cellIs" dxfId="36" priority="302" operator="equal">
      <formula>"IV"</formula>
    </cfRule>
    <cfRule type="cellIs" dxfId="35" priority="303" operator="equal">
      <formula>"III"</formula>
    </cfRule>
    <cfRule type="cellIs" dxfId="34" priority="304" operator="equal">
      <formula>"II"</formula>
    </cfRule>
    <cfRule type="cellIs" dxfId="33" priority="305" operator="equal">
      <formula>"I"</formula>
    </cfRule>
  </conditionalFormatting>
  <conditionalFormatting sqref="N23 AC23 N25 AC25 N27 AC27">
    <cfRule type="cellIs" dxfId="32" priority="37" operator="equal">
      <formula>"IV"</formula>
    </cfRule>
    <cfRule type="cellIs" dxfId="31" priority="38" operator="equal">
      <formula>"III"</formula>
    </cfRule>
    <cfRule type="cellIs" dxfId="30" priority="39" operator="equal">
      <formula>"II"</formula>
    </cfRule>
    <cfRule type="cellIs" dxfId="29" priority="40" operator="equal">
      <formula>"I"</formula>
    </cfRule>
  </conditionalFormatting>
  <conditionalFormatting sqref="N29 AC29 N31 AC31 N33 AC33">
    <cfRule type="cellIs" dxfId="28" priority="34" operator="equal">
      <formula>"III"</formula>
    </cfRule>
    <cfRule type="cellIs" dxfId="27" priority="35" operator="equal">
      <formula>"II"</formula>
    </cfRule>
    <cfRule type="cellIs" dxfId="26" priority="36" operator="equal">
      <formula>"I"</formula>
    </cfRule>
    <cfRule type="cellIs" dxfId="25" priority="33" operator="equal">
      <formula>"IV"</formula>
    </cfRule>
  </conditionalFormatting>
  <conditionalFormatting sqref="N35 AC35 N37 AC37 N39 AC39">
    <cfRule type="cellIs" dxfId="24" priority="13" operator="equal">
      <formula>"IV"</formula>
    </cfRule>
    <cfRule type="cellIs" dxfId="23" priority="14" operator="equal">
      <formula>"III"</formula>
    </cfRule>
    <cfRule type="cellIs" dxfId="22" priority="15" operator="equal">
      <formula>"II"</formula>
    </cfRule>
    <cfRule type="cellIs" dxfId="21" priority="16" operator="equal">
      <formula>"I"</formula>
    </cfRule>
  </conditionalFormatting>
  <conditionalFormatting sqref="N41 AC41 N43 AC43 N45 AC45">
    <cfRule type="cellIs" dxfId="20" priority="9" operator="equal">
      <formula>"IV"</formula>
    </cfRule>
    <cfRule type="cellIs" dxfId="19" priority="10" operator="equal">
      <formula>"III"</formula>
    </cfRule>
    <cfRule type="cellIs" dxfId="18" priority="11" operator="equal">
      <formula>"II"</formula>
    </cfRule>
    <cfRule type="cellIs" dxfId="17" priority="12" operator="equal">
      <formula>"I"</formula>
    </cfRule>
  </conditionalFormatting>
  <conditionalFormatting sqref="N47 AC47 N49 AC49 N51 AC51">
    <cfRule type="cellIs" dxfId="16" priority="5" operator="equal">
      <formula>"IV"</formula>
    </cfRule>
    <cfRule type="cellIs" dxfId="15" priority="6" operator="equal">
      <formula>"III"</formula>
    </cfRule>
    <cfRule type="cellIs" dxfId="14" priority="7" operator="equal">
      <formula>"II"</formula>
    </cfRule>
    <cfRule type="cellIs" dxfId="13" priority="8" operator="equal">
      <formula>"I"</formula>
    </cfRule>
  </conditionalFormatting>
  <conditionalFormatting sqref="N53 AC53 N55 AC55 N57 AC57">
    <cfRule type="cellIs" dxfId="12" priority="1" operator="equal">
      <formula>"IV"</formula>
    </cfRule>
    <cfRule type="cellIs" dxfId="11" priority="2" operator="equal">
      <formula>"III"</formula>
    </cfRule>
    <cfRule type="cellIs" dxfId="10" priority="3" operator="equal">
      <formula>"II"</formula>
    </cfRule>
    <cfRule type="cellIs" dxfId="9" priority="4" operator="equal">
      <formula>"I"</formula>
    </cfRule>
  </conditionalFormatting>
  <conditionalFormatting sqref="O11:O58">
    <cfRule type="iconSet" priority="345">
      <iconSet iconSet="3Flags" showValue="0">
        <cfvo type="percent" val="0"/>
        <cfvo type="num" val="2"/>
        <cfvo type="num" val="3"/>
      </iconSet>
    </cfRule>
    <cfRule type="iconSet" priority="350">
      <iconSet iconSet="3Flags" showValue="0">
        <cfvo type="percent" val="0"/>
        <cfvo type="num" val="2"/>
        <cfvo type="num" val="3"/>
      </iconSet>
    </cfRule>
  </conditionalFormatting>
  <conditionalFormatting sqref="AD11:AD58">
    <cfRule type="iconSet" priority="349">
      <iconSet iconSet="3Flags" showValue="0">
        <cfvo type="percent" val="0"/>
        <cfvo type="num" val="2"/>
        <cfvo type="num" val="3"/>
      </iconSet>
    </cfRule>
    <cfRule type="iconSet" priority="351">
      <iconSet iconSet="3Flags" showValue="0">
        <cfvo type="percent" val="0"/>
        <cfvo type="num" val="2"/>
        <cfvo type="num" val="3"/>
      </iconSet>
    </cfRule>
  </conditionalFormatting>
  <conditionalFormatting sqref="AI11:AI58">
    <cfRule type="cellIs" dxfId="8" priority="297" operator="equal">
      <formula>"Deficiente"</formula>
    </cfRule>
    <cfRule type="cellIs" dxfId="7" priority="298" operator="equal">
      <formula>"Moderado"</formula>
    </cfRule>
    <cfRule type="cellIs" dxfId="6" priority="299" operator="equal">
      <formula>"Regular"</formula>
    </cfRule>
    <cfRule type="cellIs" dxfId="5" priority="300" operator="equal">
      <formula>"Bueno"</formula>
    </cfRule>
    <cfRule type="cellIs" dxfId="4" priority="301" operator="equal">
      <formula>"Optimo"</formula>
    </cfRule>
  </conditionalFormatting>
  <conditionalFormatting sqref="AL11:AM58">
    <cfRule type="cellIs" dxfId="3" priority="293" operator="equal">
      <formula>"Menor"</formula>
    </cfRule>
    <cfRule type="cellIs" dxfId="2" priority="294" operator="equal">
      <formula>"Medio"</formula>
    </cfRule>
    <cfRule type="cellIs" dxfId="1" priority="295" operator="equal">
      <formula>"Mayor"</formula>
    </cfRule>
    <cfRule type="cellIs" dxfId="0" priority="296" operator="equal">
      <formula>"No Aceptable"</formula>
    </cfRule>
  </conditionalFormatting>
  <dataValidations count="2">
    <dataValidation type="list" allowBlank="1" showInputMessage="1" showErrorMessage="1" sqref="AD11:AD58 O11:O58" xr:uid="{F37A4F2A-6C87-475F-A763-C536105F50C5}">
      <formula1>"1,2,3"</formula1>
    </dataValidation>
    <dataValidation type="list" allowBlank="1" showInputMessage="1" showErrorMessage="1" sqref="AE11:AG58" xr:uid="{5406F498-1993-496C-8469-62403B660264}">
      <formula1>#REF!</formula1>
    </dataValidation>
  </dataValidations>
  <printOptions horizontalCentered="1"/>
  <pageMargins left="0.23622047244094491" right="0.23622047244094491" top="0.35433070866141736" bottom="0.35433070866141736" header="0.31496062992125984" footer="0.31496062992125984"/>
  <pageSetup paperSize="8" scale="28" fitToHeight="0" orientation="portrait" r:id="rId1"/>
  <drawing r:id="rId2"/>
  <legacyDrawing r:id="rId3"/>
  <extLst>
    <ext xmlns:x14="http://schemas.microsoft.com/office/spreadsheetml/2009/9/main" uri="{CCE6A557-97BC-4b89-ADB6-D9C93CAAB3DF}">
      <x14:dataValidations xmlns:xm="http://schemas.microsoft.com/office/excel/2006/main" count="8">
        <x14:dataValidation type="list" allowBlank="1" showInputMessage="1" showErrorMessage="1" xr:uid="{ECBE38CB-11F9-4F48-B6F7-519B9A1D2C35}">
          <x14:formula1>
            <xm:f>'Listas Desplegables (LD)'!$C$7:$C$36</xm:f>
          </x14:formula1>
          <xm:sqref>B47 B17 B23 B29 B35 B41 B53</xm:sqref>
        </x14:dataValidation>
        <x14:dataValidation type="list" allowBlank="1" showInputMessage="1" showErrorMessage="1" xr:uid="{8F5BFBFB-DB43-4B5E-B4CE-2BB69AC1B99C}">
          <x14:formula1>
            <xm:f>'Listas Desplegables (LD)'!$D$9:$D$10</xm:f>
          </x14:formula1>
          <xm:sqref>G11 G17 G23 G29 G47 G35 G41 G53</xm:sqref>
        </x14:dataValidation>
        <x14:dataValidation type="list" allowBlank="1" showInputMessage="1" showErrorMessage="1" xr:uid="{95CE6076-ECAB-42E6-8DF9-6DE465696030}">
          <x14:formula1>
            <xm:f>'T1 RBS (adaptar)'!$D$5:$D$32</xm:f>
          </x14:formula1>
          <xm:sqref>H53 H17 H23 H29 H47 H35 H41</xm:sqref>
        </x14:dataValidation>
        <x14:dataValidation type="list" allowBlank="1" showInputMessage="1" showErrorMessage="1" xr:uid="{B74DA8B3-579B-4CEA-B1DE-362CE5F355B7}">
          <x14:formula1>
            <xm:f>'Listas Desplegables (LD)'!$F$9:$F$10</xm:f>
          </x14:formula1>
          <xm:sqref>I11 I17 I23 I29 I47 I35 I41 I53</xm:sqref>
        </x14:dataValidation>
        <x14:dataValidation type="list" allowBlank="1" showInputMessage="1" showErrorMessage="1" xr:uid="{F0770AE2-1621-49BA-BE8E-C702C578DCE7}">
          <x14:formula1>
            <xm:f>'Listas Desplegables (LD)'!$I$8:$I$14</xm:f>
          </x14:formula1>
          <xm:sqref>Q11:Q58</xm:sqref>
        </x14:dataValidation>
        <x14:dataValidation type="list" allowBlank="1" showInputMessage="1" showErrorMessage="1" xr:uid="{BB744B0A-15EF-4E33-A5E0-8B19671541FC}">
          <x14:formula1>
            <xm:f>'Listas Desplegables (LD)'!$H$8:$H$12</xm:f>
          </x14:formula1>
          <xm:sqref>L11 L13 L15 AA11 AA13 AA15 L17 L19 L21 AA17 AA19 AA21 L23 L25 L27 AA23 AA25 AA27 L29 L31 L33 AA29 AA31 AA33 L47 L49 L51 AA47 AA49 AA51 L35 L37 L39 AA35 AA37 AA39 L41 L43 L45 AA41 AA43 AA45 L53 L55 L57 AA53 AA55 AA57</xm:sqref>
        </x14:dataValidation>
        <x14:dataValidation type="list" allowBlank="1" showInputMessage="1" showErrorMessage="1" xr:uid="{7A6D8CC0-460D-411C-A872-62081FC69D1D}">
          <x14:formula1>
            <xm:f>'Listas Desplegables (LD)'!$C$8:$C$38</xm:f>
          </x14:formula1>
          <xm:sqref>B11:B16</xm:sqref>
        </x14:dataValidation>
        <x14:dataValidation type="list" allowBlank="1" showInputMessage="1" showErrorMessage="1" xr:uid="{85C77FA9-CC69-4D5E-89D7-3759A86F86F6}">
          <x14:formula1>
            <xm:f>'T1 RBS (adaptar)'!$D$5:$D$33</xm:f>
          </x14:formula1>
          <xm:sqref>H11:H16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FA94-5044-41A7-B848-D7EF5C160662}">
  <dimension ref="B2:D33"/>
  <sheetViews>
    <sheetView topLeftCell="A7" zoomScale="90" zoomScaleNormal="90" workbookViewId="0">
      <selection activeCell="D8" sqref="D8"/>
    </sheetView>
  </sheetViews>
  <sheetFormatPr baseColWidth="10" defaultColWidth="11.44140625" defaultRowHeight="14.4" x14ac:dyDescent="0.3"/>
  <cols>
    <col min="1" max="1" width="2.33203125" customWidth="1"/>
    <col min="2" max="2" width="25.6640625" customWidth="1"/>
    <col min="3" max="3" width="23.6640625" customWidth="1"/>
    <col min="4" max="4" width="41.44140625" customWidth="1"/>
  </cols>
  <sheetData>
    <row r="2" spans="2:4" x14ac:dyDescent="0.3">
      <c r="B2" s="24" t="s">
        <v>207</v>
      </c>
    </row>
    <row r="4" spans="2:4" x14ac:dyDescent="0.3">
      <c r="B4" s="17" t="s">
        <v>208</v>
      </c>
      <c r="C4" s="17" t="s">
        <v>209</v>
      </c>
      <c r="D4" s="17" t="s">
        <v>210</v>
      </c>
    </row>
    <row r="5" spans="2:4" x14ac:dyDescent="0.3">
      <c r="B5" s="305" t="s">
        <v>211</v>
      </c>
      <c r="C5" s="301" t="s">
        <v>212</v>
      </c>
      <c r="D5" s="18" t="s">
        <v>213</v>
      </c>
    </row>
    <row r="6" spans="2:4" x14ac:dyDescent="0.3">
      <c r="B6" s="305"/>
      <c r="C6" s="301"/>
      <c r="D6" s="18" t="s">
        <v>214</v>
      </c>
    </row>
    <row r="7" spans="2:4" x14ac:dyDescent="0.3">
      <c r="B7" s="305"/>
      <c r="C7" s="301"/>
      <c r="D7" s="18" t="s">
        <v>125</v>
      </c>
    </row>
    <row r="8" spans="2:4" x14ac:dyDescent="0.3">
      <c r="B8" s="305"/>
      <c r="C8" s="301"/>
      <c r="D8" s="18" t="s">
        <v>153</v>
      </c>
    </row>
    <row r="9" spans="2:4" x14ac:dyDescent="0.3">
      <c r="B9" s="305"/>
      <c r="C9" s="301"/>
      <c r="D9" s="18" t="s">
        <v>215</v>
      </c>
    </row>
    <row r="10" spans="2:4" x14ac:dyDescent="0.3">
      <c r="B10" s="305"/>
      <c r="C10" s="301"/>
      <c r="D10" s="18" t="s">
        <v>216</v>
      </c>
    </row>
    <row r="11" spans="2:4" x14ac:dyDescent="0.3">
      <c r="B11" s="305"/>
      <c r="C11" s="301"/>
      <c r="D11" s="18" t="s">
        <v>217</v>
      </c>
    </row>
    <row r="12" spans="2:4" x14ac:dyDescent="0.3">
      <c r="B12" s="305"/>
      <c r="C12" s="302" t="s">
        <v>218</v>
      </c>
      <c r="D12" s="19" t="s">
        <v>219</v>
      </c>
    </row>
    <row r="13" spans="2:4" x14ac:dyDescent="0.3">
      <c r="B13" s="305"/>
      <c r="C13" s="302"/>
      <c r="D13" s="19" t="s">
        <v>220</v>
      </c>
    </row>
    <row r="14" spans="2:4" x14ac:dyDescent="0.3">
      <c r="B14" s="305"/>
      <c r="C14" s="302"/>
      <c r="D14" s="19" t="s">
        <v>221</v>
      </c>
    </row>
    <row r="15" spans="2:4" x14ac:dyDescent="0.3">
      <c r="B15" s="305"/>
      <c r="C15" s="302"/>
      <c r="D15" s="19" t="s">
        <v>222</v>
      </c>
    </row>
    <row r="16" spans="2:4" x14ac:dyDescent="0.3">
      <c r="B16" s="305"/>
      <c r="C16" s="302"/>
      <c r="D16" s="19" t="s">
        <v>223</v>
      </c>
    </row>
    <row r="17" spans="2:4" x14ac:dyDescent="0.3">
      <c r="B17" s="305"/>
      <c r="C17" s="302"/>
      <c r="D17" s="19" t="s">
        <v>224</v>
      </c>
    </row>
    <row r="18" spans="2:4" x14ac:dyDescent="0.3">
      <c r="B18" s="305"/>
      <c r="C18" s="302"/>
      <c r="D18" s="19" t="s">
        <v>225</v>
      </c>
    </row>
    <row r="19" spans="2:4" x14ac:dyDescent="0.3">
      <c r="B19" s="305"/>
      <c r="C19" s="303" t="s">
        <v>226</v>
      </c>
      <c r="D19" s="20" t="s">
        <v>227</v>
      </c>
    </row>
    <row r="20" spans="2:4" x14ac:dyDescent="0.3">
      <c r="B20" s="305"/>
      <c r="C20" s="303"/>
      <c r="D20" s="20" t="s">
        <v>228</v>
      </c>
    </row>
    <row r="21" spans="2:4" x14ac:dyDescent="0.3">
      <c r="B21" s="305"/>
      <c r="C21" s="303"/>
      <c r="D21" s="20" t="s">
        <v>229</v>
      </c>
    </row>
    <row r="22" spans="2:4" x14ac:dyDescent="0.3">
      <c r="B22" s="305"/>
      <c r="C22" s="303"/>
      <c r="D22" s="20" t="s">
        <v>230</v>
      </c>
    </row>
    <row r="23" spans="2:4" x14ac:dyDescent="0.3">
      <c r="B23" s="305"/>
      <c r="C23" s="303"/>
      <c r="D23" s="20" t="s">
        <v>231</v>
      </c>
    </row>
    <row r="24" spans="2:4" x14ac:dyDescent="0.3">
      <c r="B24" s="305"/>
      <c r="C24" s="303"/>
      <c r="D24" s="20" t="s">
        <v>232</v>
      </c>
    </row>
    <row r="25" spans="2:4" x14ac:dyDescent="0.3">
      <c r="B25" s="305"/>
      <c r="C25" s="303"/>
      <c r="D25" s="20" t="s">
        <v>233</v>
      </c>
    </row>
    <row r="26" spans="2:4" x14ac:dyDescent="0.3">
      <c r="B26" s="305"/>
      <c r="C26" s="304" t="s">
        <v>234</v>
      </c>
      <c r="D26" s="21" t="s">
        <v>235</v>
      </c>
    </row>
    <row r="27" spans="2:4" x14ac:dyDescent="0.3">
      <c r="B27" s="305"/>
      <c r="C27" s="304"/>
      <c r="D27" s="21" t="s">
        <v>173</v>
      </c>
    </row>
    <row r="28" spans="2:4" x14ac:dyDescent="0.3">
      <c r="B28" s="305"/>
      <c r="C28" s="304"/>
      <c r="D28" s="21" t="s">
        <v>236</v>
      </c>
    </row>
    <row r="29" spans="2:4" x14ac:dyDescent="0.3">
      <c r="B29" s="305"/>
      <c r="C29" s="304"/>
      <c r="D29" s="21" t="s">
        <v>237</v>
      </c>
    </row>
    <row r="30" spans="2:4" x14ac:dyDescent="0.3">
      <c r="B30" s="305"/>
      <c r="C30" s="304"/>
      <c r="D30" s="21" t="s">
        <v>238</v>
      </c>
    </row>
    <row r="31" spans="2:4" x14ac:dyDescent="0.3">
      <c r="B31" s="305"/>
      <c r="C31" s="304"/>
      <c r="D31" s="21" t="s">
        <v>239</v>
      </c>
    </row>
    <row r="32" spans="2:4" x14ac:dyDescent="0.3">
      <c r="B32" s="305"/>
      <c r="C32" s="304"/>
      <c r="D32" s="21" t="s">
        <v>240</v>
      </c>
    </row>
    <row r="33" spans="4:4" x14ac:dyDescent="0.3">
      <c r="D33" s="21" t="s">
        <v>413</v>
      </c>
    </row>
  </sheetData>
  <mergeCells count="5">
    <mergeCell ref="C5:C11"/>
    <mergeCell ref="C12:C18"/>
    <mergeCell ref="C19:C25"/>
    <mergeCell ref="C26:C32"/>
    <mergeCell ref="B5:B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8500-3086-4693-8B81-F6B65FF84981}">
  <dimension ref="B2:K38"/>
  <sheetViews>
    <sheetView topLeftCell="E1" zoomScale="80" zoomScaleNormal="80" workbookViewId="0">
      <selection activeCell="J9" sqref="J9"/>
    </sheetView>
  </sheetViews>
  <sheetFormatPr baseColWidth="10" defaultColWidth="11.44140625" defaultRowHeight="14.4" x14ac:dyDescent="0.3"/>
  <cols>
    <col min="1" max="1" width="4.88671875" customWidth="1"/>
    <col min="2" max="2" width="15.44140625" bestFit="1" customWidth="1"/>
    <col min="3" max="3" width="70" customWidth="1"/>
    <col min="4" max="4" width="37.109375" customWidth="1"/>
    <col min="5" max="5" width="23.88671875" bestFit="1" customWidth="1"/>
    <col min="6" max="6" width="34" customWidth="1"/>
    <col min="7" max="7" width="15.33203125" customWidth="1"/>
    <col min="8" max="8" width="21.5546875" customWidth="1"/>
    <col min="9" max="9" width="26.33203125" customWidth="1"/>
    <col min="10" max="10" width="21" customWidth="1"/>
  </cols>
  <sheetData>
    <row r="2" spans="2:11" x14ac:dyDescent="0.3">
      <c r="B2" s="23" t="s">
        <v>241</v>
      </c>
    </row>
    <row r="4" spans="2:11" ht="14.4" customHeight="1" x14ac:dyDescent="0.3">
      <c r="B4" s="307" t="s">
        <v>242</v>
      </c>
      <c r="C4" s="307"/>
    </row>
    <row r="5" spans="2:11" x14ac:dyDescent="0.3">
      <c r="B5" s="24" t="s">
        <v>243</v>
      </c>
      <c r="D5" s="307" t="s">
        <v>244</v>
      </c>
      <c r="E5" s="307" t="s">
        <v>245</v>
      </c>
      <c r="F5" s="26" t="s">
        <v>246</v>
      </c>
      <c r="G5" s="26" t="s">
        <v>247</v>
      </c>
      <c r="H5" s="26" t="s">
        <v>248</v>
      </c>
      <c r="I5" s="26" t="s">
        <v>249</v>
      </c>
    </row>
    <row r="7" spans="2:11" ht="46.95" customHeight="1" x14ac:dyDescent="0.3">
      <c r="B7" s="22" t="s">
        <v>250</v>
      </c>
      <c r="C7" s="22" t="s">
        <v>251</v>
      </c>
      <c r="D7" s="22" t="s">
        <v>85</v>
      </c>
      <c r="E7" s="22" t="s">
        <v>86</v>
      </c>
      <c r="F7" s="25" t="s">
        <v>87</v>
      </c>
      <c r="G7" s="25" t="s">
        <v>252</v>
      </c>
      <c r="H7" s="25" t="s">
        <v>253</v>
      </c>
      <c r="I7" s="25" t="s">
        <v>94</v>
      </c>
      <c r="J7" s="36" t="s">
        <v>254</v>
      </c>
      <c r="K7" s="36" t="s">
        <v>255</v>
      </c>
    </row>
    <row r="8" spans="2:11" x14ac:dyDescent="0.3">
      <c r="B8" s="42" t="s">
        <v>256</v>
      </c>
      <c r="C8" s="42" t="s">
        <v>52</v>
      </c>
      <c r="G8" s="1">
        <v>1</v>
      </c>
      <c r="H8" s="1">
        <v>1</v>
      </c>
      <c r="I8" s="1" t="s">
        <v>137</v>
      </c>
      <c r="J8" s="37">
        <v>0.02</v>
      </c>
      <c r="K8" s="38">
        <v>1</v>
      </c>
    </row>
    <row r="9" spans="2:11" x14ac:dyDescent="0.3">
      <c r="B9" s="43" t="s">
        <v>257</v>
      </c>
      <c r="C9" s="43" t="s">
        <v>258</v>
      </c>
      <c r="D9" s="1" t="s">
        <v>124</v>
      </c>
      <c r="E9" s="306" t="s">
        <v>259</v>
      </c>
      <c r="F9" s="1" t="s">
        <v>126</v>
      </c>
      <c r="G9" s="1">
        <v>2</v>
      </c>
      <c r="H9" s="1">
        <v>2</v>
      </c>
      <c r="I9" s="1" t="s">
        <v>127</v>
      </c>
      <c r="J9" s="37">
        <v>0.1</v>
      </c>
      <c r="K9" s="38">
        <v>2</v>
      </c>
    </row>
    <row r="10" spans="2:11" x14ac:dyDescent="0.3">
      <c r="B10" s="44" t="s">
        <v>260</v>
      </c>
      <c r="C10" s="44" t="s">
        <v>119</v>
      </c>
      <c r="D10" s="1" t="s">
        <v>261</v>
      </c>
      <c r="E10" s="306"/>
      <c r="F10" s="1" t="s">
        <v>262</v>
      </c>
      <c r="G10" s="1">
        <v>3</v>
      </c>
      <c r="H10" s="1">
        <v>3</v>
      </c>
      <c r="I10" s="1" t="s">
        <v>130</v>
      </c>
      <c r="J10" s="37">
        <v>0.5</v>
      </c>
      <c r="K10" s="38">
        <v>3</v>
      </c>
    </row>
    <row r="11" spans="2:11" x14ac:dyDescent="0.3">
      <c r="B11" s="44" t="s">
        <v>263</v>
      </c>
      <c r="C11" s="44" t="s">
        <v>264</v>
      </c>
      <c r="E11" s="306"/>
      <c r="G11" s="1">
        <v>4</v>
      </c>
      <c r="H11" s="1">
        <v>4</v>
      </c>
      <c r="I11" s="1" t="s">
        <v>154</v>
      </c>
      <c r="J11" s="37">
        <v>0.8</v>
      </c>
      <c r="K11" s="38">
        <v>4</v>
      </c>
    </row>
    <row r="12" spans="2:11" x14ac:dyDescent="0.3">
      <c r="B12" s="43" t="s">
        <v>265</v>
      </c>
      <c r="C12" s="43" t="s">
        <v>266</v>
      </c>
      <c r="E12" s="306"/>
      <c r="G12" s="1">
        <v>5</v>
      </c>
      <c r="H12" s="1">
        <v>5</v>
      </c>
      <c r="I12" s="1" t="s">
        <v>267</v>
      </c>
      <c r="J12" s="39">
        <v>0.99990000000000001</v>
      </c>
      <c r="K12" s="38">
        <v>5</v>
      </c>
    </row>
    <row r="13" spans="2:11" x14ac:dyDescent="0.3">
      <c r="B13" s="44" t="s">
        <v>268</v>
      </c>
      <c r="C13" s="44" t="s">
        <v>148</v>
      </c>
      <c r="E13" s="306"/>
      <c r="G13" s="1"/>
      <c r="H13" s="1"/>
      <c r="I13" s="1" t="s">
        <v>269</v>
      </c>
    </row>
    <row r="14" spans="2:11" x14ac:dyDescent="0.3">
      <c r="B14" s="44" t="s">
        <v>270</v>
      </c>
      <c r="C14" s="44" t="s">
        <v>271</v>
      </c>
      <c r="I14" s="1" t="s">
        <v>272</v>
      </c>
    </row>
    <row r="15" spans="2:11" x14ac:dyDescent="0.3">
      <c r="B15" s="44" t="s">
        <v>273</v>
      </c>
      <c r="C15" s="44" t="s">
        <v>274</v>
      </c>
    </row>
    <row r="16" spans="2:11" x14ac:dyDescent="0.3">
      <c r="B16" s="44" t="s">
        <v>275</v>
      </c>
      <c r="C16" s="44" t="s">
        <v>276</v>
      </c>
    </row>
    <row r="17" spans="2:3" x14ac:dyDescent="0.3">
      <c r="B17" s="43" t="s">
        <v>277</v>
      </c>
      <c r="C17" s="43" t="s">
        <v>278</v>
      </c>
    </row>
    <row r="18" spans="2:3" x14ac:dyDescent="0.3">
      <c r="B18" s="44" t="s">
        <v>279</v>
      </c>
      <c r="C18" s="44" t="s">
        <v>280</v>
      </c>
    </row>
    <row r="19" spans="2:3" x14ac:dyDescent="0.3">
      <c r="B19" s="44" t="s">
        <v>281</v>
      </c>
      <c r="C19" s="44" t="s">
        <v>282</v>
      </c>
    </row>
    <row r="20" spans="2:3" x14ac:dyDescent="0.3">
      <c r="B20" s="45" t="s">
        <v>283</v>
      </c>
      <c r="C20" s="45" t="s">
        <v>284</v>
      </c>
    </row>
    <row r="21" spans="2:3" x14ac:dyDescent="0.3">
      <c r="B21" s="43" t="s">
        <v>285</v>
      </c>
      <c r="C21" s="43" t="s">
        <v>286</v>
      </c>
    </row>
    <row r="22" spans="2:3" x14ac:dyDescent="0.3">
      <c r="B22" s="44" t="s">
        <v>287</v>
      </c>
      <c r="C22" s="44" t="s">
        <v>288</v>
      </c>
    </row>
    <row r="23" spans="2:3" x14ac:dyDescent="0.3">
      <c r="B23" s="44" t="s">
        <v>289</v>
      </c>
      <c r="C23" s="44" t="s">
        <v>168</v>
      </c>
    </row>
    <row r="24" spans="2:3" x14ac:dyDescent="0.3">
      <c r="B24" s="44" t="s">
        <v>290</v>
      </c>
      <c r="C24" s="44" t="s">
        <v>291</v>
      </c>
    </row>
    <row r="25" spans="2:3" x14ac:dyDescent="0.3">
      <c r="B25" s="44" t="s">
        <v>292</v>
      </c>
      <c r="C25" s="44" t="s">
        <v>293</v>
      </c>
    </row>
    <row r="26" spans="2:3" x14ac:dyDescent="0.3">
      <c r="B26" s="45" t="s">
        <v>294</v>
      </c>
      <c r="C26" s="45" t="s">
        <v>295</v>
      </c>
    </row>
    <row r="27" spans="2:3" x14ac:dyDescent="0.3">
      <c r="B27" s="43" t="s">
        <v>296</v>
      </c>
      <c r="C27" s="43" t="s">
        <v>297</v>
      </c>
    </row>
    <row r="28" spans="2:3" x14ac:dyDescent="0.3">
      <c r="B28" s="44" t="s">
        <v>298</v>
      </c>
      <c r="C28" s="44" t="s">
        <v>299</v>
      </c>
    </row>
    <row r="29" spans="2:3" x14ac:dyDescent="0.3">
      <c r="B29" s="44" t="s">
        <v>300</v>
      </c>
      <c r="C29" s="44" t="s">
        <v>301</v>
      </c>
    </row>
    <row r="30" spans="2:3" x14ac:dyDescent="0.3">
      <c r="B30" s="44" t="s">
        <v>302</v>
      </c>
      <c r="C30" s="44" t="s">
        <v>303</v>
      </c>
    </row>
    <row r="31" spans="2:3" x14ac:dyDescent="0.3">
      <c r="B31" s="44" t="s">
        <v>304</v>
      </c>
      <c r="C31" s="44" t="s">
        <v>305</v>
      </c>
    </row>
    <row r="32" spans="2:3" x14ac:dyDescent="0.3">
      <c r="B32" s="43" t="s">
        <v>306</v>
      </c>
      <c r="C32" s="43" t="s">
        <v>307</v>
      </c>
    </row>
    <row r="33" spans="2:3" x14ac:dyDescent="0.3">
      <c r="B33" s="44" t="s">
        <v>308</v>
      </c>
      <c r="C33" s="44" t="s">
        <v>309</v>
      </c>
    </row>
    <row r="34" spans="2:3" x14ac:dyDescent="0.3">
      <c r="B34" s="44" t="s">
        <v>310</v>
      </c>
      <c r="C34" s="44" t="s">
        <v>311</v>
      </c>
    </row>
    <row r="35" spans="2:3" x14ac:dyDescent="0.3">
      <c r="B35" s="45" t="s">
        <v>312</v>
      </c>
      <c r="C35" s="45" t="s">
        <v>313</v>
      </c>
    </row>
    <row r="36" spans="2:3" x14ac:dyDescent="0.3">
      <c r="B36" s="44" t="s">
        <v>314</v>
      </c>
      <c r="C36" s="44" t="s">
        <v>315</v>
      </c>
    </row>
    <row r="37" spans="2:3" x14ac:dyDescent="0.3">
      <c r="B37" s="46"/>
      <c r="C37" s="47" t="s">
        <v>414</v>
      </c>
    </row>
    <row r="38" spans="2:3" x14ac:dyDescent="0.3">
      <c r="C38" s="47" t="s">
        <v>415</v>
      </c>
    </row>
  </sheetData>
  <mergeCells count="3">
    <mergeCell ref="E9:E13"/>
    <mergeCell ref="B4:C4"/>
    <mergeCell ref="D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E49-CFF9-4ACE-87A9-58F7EE50D1CC}">
  <dimension ref="B2:E11"/>
  <sheetViews>
    <sheetView zoomScale="90" zoomScaleNormal="90" workbookViewId="0"/>
  </sheetViews>
  <sheetFormatPr baseColWidth="10" defaultColWidth="11.44140625" defaultRowHeight="14.4" x14ac:dyDescent="0.3"/>
  <cols>
    <col min="1" max="1" width="6.6640625" customWidth="1"/>
    <col min="2" max="2" width="15.6640625" bestFit="1" customWidth="1"/>
    <col min="3" max="3" width="11" customWidth="1"/>
    <col min="4" max="4" width="60.6640625" customWidth="1"/>
    <col min="5" max="5" width="14.44140625" customWidth="1"/>
    <col min="8" max="8" width="13.33203125" customWidth="1"/>
    <col min="9" max="9" width="14.6640625" customWidth="1"/>
  </cols>
  <sheetData>
    <row r="2" spans="2:5" ht="15.6" x14ac:dyDescent="0.3">
      <c r="B2" s="49" t="s">
        <v>316</v>
      </c>
    </row>
    <row r="3" spans="2:5" ht="15" thickBot="1" x14ac:dyDescent="0.35"/>
    <row r="4" spans="2:5" ht="33.6" customHeight="1" thickBot="1" x14ac:dyDescent="0.35">
      <c r="B4" s="30" t="s">
        <v>317</v>
      </c>
      <c r="C4" s="30" t="s">
        <v>318</v>
      </c>
      <c r="D4" s="30" t="s">
        <v>319</v>
      </c>
      <c r="E4" s="30" t="s">
        <v>320</v>
      </c>
    </row>
    <row r="5" spans="2:5" ht="46.95" customHeight="1" thickBot="1" x14ac:dyDescent="0.35">
      <c r="B5" s="27" t="s">
        <v>321</v>
      </c>
      <c r="C5" s="28">
        <v>5</v>
      </c>
      <c r="D5" s="29" t="s">
        <v>322</v>
      </c>
      <c r="E5" s="27" t="s">
        <v>323</v>
      </c>
    </row>
    <row r="6" spans="2:5" ht="64.2" customHeight="1" thickBot="1" x14ac:dyDescent="0.35">
      <c r="B6" s="27" t="s">
        <v>324</v>
      </c>
      <c r="C6" s="28">
        <v>4</v>
      </c>
      <c r="D6" s="29" t="s">
        <v>325</v>
      </c>
      <c r="E6" s="27" t="s">
        <v>326</v>
      </c>
    </row>
    <row r="7" spans="2:5" ht="43.8" thickBot="1" x14ac:dyDescent="0.35">
      <c r="B7" s="27" t="s">
        <v>327</v>
      </c>
      <c r="C7" s="28">
        <v>3</v>
      </c>
      <c r="D7" s="29" t="s">
        <v>328</v>
      </c>
      <c r="E7" s="27" t="s">
        <v>329</v>
      </c>
    </row>
    <row r="8" spans="2:5" ht="43.8" thickBot="1" x14ac:dyDescent="0.35">
      <c r="B8" s="27" t="s">
        <v>330</v>
      </c>
      <c r="C8" s="28">
        <v>2</v>
      </c>
      <c r="D8" s="29" t="s">
        <v>331</v>
      </c>
      <c r="E8" s="27" t="s">
        <v>332</v>
      </c>
    </row>
    <row r="9" spans="2:5" ht="43.8" thickBot="1" x14ac:dyDescent="0.35">
      <c r="B9" s="27" t="s">
        <v>333</v>
      </c>
      <c r="C9" s="28">
        <v>1</v>
      </c>
      <c r="D9" s="29" t="s">
        <v>334</v>
      </c>
      <c r="E9" s="27" t="s">
        <v>335</v>
      </c>
    </row>
    <row r="11" spans="2:5" ht="73.95" customHeight="1" x14ac:dyDescent="0.3">
      <c r="B11" s="308" t="s">
        <v>336</v>
      </c>
      <c r="C11" s="308"/>
      <c r="D11" s="308"/>
      <c r="E11" s="308"/>
    </row>
  </sheetData>
  <mergeCells count="1">
    <mergeCell ref="B11:E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B63E-F336-41E9-AB9A-68D526291474}">
  <dimension ref="B2:J26"/>
  <sheetViews>
    <sheetView topLeftCell="A3" zoomScale="90" zoomScaleNormal="90" workbookViewId="0">
      <selection activeCell="A3" sqref="A3"/>
    </sheetView>
  </sheetViews>
  <sheetFormatPr baseColWidth="10" defaultColWidth="11.44140625" defaultRowHeight="14.4" x14ac:dyDescent="0.3"/>
  <cols>
    <col min="1" max="1" width="5.5546875" customWidth="1"/>
    <col min="2" max="2" width="16.5546875" customWidth="1"/>
    <col min="3" max="3" width="14.6640625" customWidth="1"/>
    <col min="4" max="4" width="20" customWidth="1"/>
    <col min="5" max="5" width="13.109375" customWidth="1"/>
    <col min="6" max="6" width="13.44140625" customWidth="1"/>
    <col min="7" max="7" width="17.33203125" customWidth="1"/>
    <col min="8" max="8" width="14.33203125" customWidth="1"/>
    <col min="9" max="9" width="16.6640625" customWidth="1"/>
    <col min="10" max="10" width="16.5546875" customWidth="1"/>
  </cols>
  <sheetData>
    <row r="2" spans="2:10" x14ac:dyDescent="0.3">
      <c r="B2" s="48" t="s">
        <v>337</v>
      </c>
    </row>
    <row r="3" spans="2:10" ht="15" thickBot="1" x14ac:dyDescent="0.35"/>
    <row r="4" spans="2:10" ht="33.6" customHeight="1" thickBot="1" x14ac:dyDescent="0.35">
      <c r="B4" s="30" t="s">
        <v>317</v>
      </c>
      <c r="C4" s="30" t="s">
        <v>318</v>
      </c>
      <c r="D4" s="30" t="s">
        <v>338</v>
      </c>
      <c r="E4" s="30" t="s">
        <v>339</v>
      </c>
      <c r="F4" s="30" t="s">
        <v>340</v>
      </c>
      <c r="G4" s="30" t="s">
        <v>341</v>
      </c>
      <c r="H4" s="30" t="s">
        <v>342</v>
      </c>
      <c r="I4" s="30" t="s">
        <v>343</v>
      </c>
      <c r="J4" s="30" t="s">
        <v>344</v>
      </c>
    </row>
    <row r="5" spans="2:10" ht="37.950000000000003" customHeight="1" x14ac:dyDescent="0.3">
      <c r="B5" s="312" t="s">
        <v>345</v>
      </c>
      <c r="C5" s="315">
        <v>5</v>
      </c>
      <c r="D5" s="309" t="s">
        <v>346</v>
      </c>
      <c r="E5" s="309" t="s">
        <v>347</v>
      </c>
      <c r="F5" s="309" t="s">
        <v>348</v>
      </c>
      <c r="G5" s="309" t="s">
        <v>349</v>
      </c>
      <c r="H5" s="309" t="s">
        <v>350</v>
      </c>
      <c r="I5" s="309" t="s">
        <v>351</v>
      </c>
      <c r="J5" s="31" t="s">
        <v>352</v>
      </c>
    </row>
    <row r="6" spans="2:10" ht="29.4" customHeight="1" x14ac:dyDescent="0.3">
      <c r="B6" s="313"/>
      <c r="C6" s="316"/>
      <c r="D6" s="310"/>
      <c r="E6" s="310"/>
      <c r="F6" s="310"/>
      <c r="G6" s="310"/>
      <c r="H6" s="310"/>
      <c r="I6" s="310"/>
      <c r="J6" s="32" t="s">
        <v>353</v>
      </c>
    </row>
    <row r="7" spans="2:10" ht="29.4" customHeight="1" x14ac:dyDescent="0.3">
      <c r="B7" s="313"/>
      <c r="C7" s="316"/>
      <c r="D7" s="310" t="s">
        <v>354</v>
      </c>
      <c r="E7" s="310"/>
      <c r="F7" s="310"/>
      <c r="G7" s="310"/>
      <c r="H7" s="310"/>
      <c r="I7" s="310" t="s">
        <v>355</v>
      </c>
      <c r="J7" s="32" t="s">
        <v>356</v>
      </c>
    </row>
    <row r="8" spans="2:10" ht="29.4" customHeight="1" thickBot="1" x14ac:dyDescent="0.35">
      <c r="B8" s="314"/>
      <c r="C8" s="317"/>
      <c r="D8" s="311"/>
      <c r="E8" s="311"/>
      <c r="F8" s="311"/>
      <c r="G8" s="311"/>
      <c r="H8" s="311"/>
      <c r="I8" s="311"/>
      <c r="J8" s="33" t="s">
        <v>357</v>
      </c>
    </row>
    <row r="9" spans="2:10" ht="39.6" customHeight="1" x14ac:dyDescent="0.3">
      <c r="B9" s="312" t="s">
        <v>358</v>
      </c>
      <c r="C9" s="315">
        <v>4</v>
      </c>
      <c r="D9" s="309" t="s">
        <v>359</v>
      </c>
      <c r="E9" s="309" t="s">
        <v>360</v>
      </c>
      <c r="F9" s="309" t="s">
        <v>361</v>
      </c>
      <c r="G9" s="309" t="s">
        <v>362</v>
      </c>
      <c r="H9" s="309" t="s">
        <v>363</v>
      </c>
      <c r="I9" s="309" t="s">
        <v>364</v>
      </c>
      <c r="J9" s="31" t="s">
        <v>365</v>
      </c>
    </row>
    <row r="10" spans="2:10" ht="39" customHeight="1" x14ac:dyDescent="0.3">
      <c r="B10" s="313"/>
      <c r="C10" s="316"/>
      <c r="D10" s="310"/>
      <c r="E10" s="310"/>
      <c r="F10" s="310"/>
      <c r="G10" s="310"/>
      <c r="H10" s="310"/>
      <c r="I10" s="310"/>
      <c r="J10" s="32" t="s">
        <v>366</v>
      </c>
    </row>
    <row r="11" spans="2:10" ht="27.6" customHeight="1" x14ac:dyDescent="0.3">
      <c r="B11" s="313"/>
      <c r="C11" s="316"/>
      <c r="D11" s="310" t="s">
        <v>367</v>
      </c>
      <c r="E11" s="310"/>
      <c r="F11" s="310"/>
      <c r="G11" s="310" t="s">
        <v>368</v>
      </c>
      <c r="H11" s="310"/>
      <c r="I11" s="310" t="s">
        <v>369</v>
      </c>
      <c r="J11" s="32" t="s">
        <v>370</v>
      </c>
    </row>
    <row r="12" spans="2:10" ht="46.95" customHeight="1" thickBot="1" x14ac:dyDescent="0.35">
      <c r="B12" s="314"/>
      <c r="C12" s="317"/>
      <c r="D12" s="311"/>
      <c r="E12" s="311"/>
      <c r="F12" s="311"/>
      <c r="G12" s="311"/>
      <c r="H12" s="311"/>
      <c r="I12" s="311"/>
      <c r="J12" s="33" t="s">
        <v>371</v>
      </c>
    </row>
    <row r="13" spans="2:10" ht="49.95" customHeight="1" x14ac:dyDescent="0.3">
      <c r="B13" s="312" t="s">
        <v>372</v>
      </c>
      <c r="C13" s="315">
        <v>3</v>
      </c>
      <c r="D13" s="309" t="s">
        <v>373</v>
      </c>
      <c r="E13" s="309" t="s">
        <v>374</v>
      </c>
      <c r="F13" s="309" t="s">
        <v>375</v>
      </c>
      <c r="G13" s="309" t="s">
        <v>376</v>
      </c>
      <c r="H13" s="309" t="s">
        <v>377</v>
      </c>
      <c r="I13" s="309" t="s">
        <v>378</v>
      </c>
      <c r="J13" s="31" t="s">
        <v>379</v>
      </c>
    </row>
    <row r="14" spans="2:10" ht="30" customHeight="1" x14ac:dyDescent="0.3">
      <c r="B14" s="313"/>
      <c r="C14" s="316"/>
      <c r="D14" s="310"/>
      <c r="E14" s="310"/>
      <c r="F14" s="310"/>
      <c r="G14" s="310"/>
      <c r="H14" s="310"/>
      <c r="I14" s="310"/>
      <c r="J14" s="32" t="s">
        <v>380</v>
      </c>
    </row>
    <row r="15" spans="2:10" ht="42.6" customHeight="1" thickBot="1" x14ac:dyDescent="0.35">
      <c r="B15" s="314"/>
      <c r="C15" s="317"/>
      <c r="D15" s="32" t="s">
        <v>381</v>
      </c>
      <c r="E15" s="311"/>
      <c r="F15" s="311"/>
      <c r="G15" s="32" t="s">
        <v>382</v>
      </c>
      <c r="H15" s="311"/>
      <c r="I15" s="32" t="s">
        <v>383</v>
      </c>
      <c r="J15" s="33" t="s">
        <v>384</v>
      </c>
    </row>
    <row r="16" spans="2:10" ht="45.6" customHeight="1" x14ac:dyDescent="0.3">
      <c r="B16" s="312" t="s">
        <v>385</v>
      </c>
      <c r="C16" s="315">
        <v>2</v>
      </c>
      <c r="D16" s="309" t="s">
        <v>386</v>
      </c>
      <c r="E16" s="309" t="s">
        <v>387</v>
      </c>
      <c r="F16" s="309" t="s">
        <v>388</v>
      </c>
      <c r="G16" s="309" t="s">
        <v>389</v>
      </c>
      <c r="H16" s="309" t="s">
        <v>390</v>
      </c>
      <c r="I16" s="309" t="s">
        <v>391</v>
      </c>
      <c r="J16" s="31" t="s">
        <v>392</v>
      </c>
    </row>
    <row r="17" spans="2:10" ht="25.95" customHeight="1" x14ac:dyDescent="0.3">
      <c r="B17" s="313"/>
      <c r="C17" s="316"/>
      <c r="D17" s="310"/>
      <c r="E17" s="310"/>
      <c r="F17" s="310"/>
      <c r="G17" s="310"/>
      <c r="H17" s="310"/>
      <c r="I17" s="310"/>
      <c r="J17" s="32" t="s">
        <v>393</v>
      </c>
    </row>
    <row r="18" spans="2:10" ht="24.6" customHeight="1" x14ac:dyDescent="0.3">
      <c r="B18" s="313"/>
      <c r="C18" s="316"/>
      <c r="D18" s="310" t="s">
        <v>394</v>
      </c>
      <c r="E18" s="310"/>
      <c r="F18" s="310"/>
      <c r="G18" s="310" t="s">
        <v>395</v>
      </c>
      <c r="H18" s="310"/>
      <c r="I18" s="310"/>
      <c r="J18" s="318" t="s">
        <v>396</v>
      </c>
    </row>
    <row r="19" spans="2:10" ht="15" thickBot="1" x14ac:dyDescent="0.35">
      <c r="B19" s="314"/>
      <c r="C19" s="317"/>
      <c r="D19" s="311"/>
      <c r="E19" s="311"/>
      <c r="F19" s="311"/>
      <c r="G19" s="311"/>
      <c r="H19" s="311"/>
      <c r="I19" s="311"/>
      <c r="J19" s="319"/>
    </row>
    <row r="20" spans="2:10" ht="24" customHeight="1" x14ac:dyDescent="0.3">
      <c r="B20" s="312" t="s">
        <v>397</v>
      </c>
      <c r="C20" s="315">
        <v>1</v>
      </c>
      <c r="D20" s="309" t="s">
        <v>398</v>
      </c>
      <c r="E20" s="309" t="s">
        <v>399</v>
      </c>
      <c r="F20" s="309" t="s">
        <v>400</v>
      </c>
      <c r="G20" s="309" t="s">
        <v>401</v>
      </c>
      <c r="H20" s="309" t="s">
        <v>402</v>
      </c>
      <c r="I20" s="309" t="s">
        <v>403</v>
      </c>
      <c r="J20" s="31" t="s">
        <v>404</v>
      </c>
    </row>
    <row r="21" spans="2:10" ht="40.950000000000003" customHeight="1" thickBot="1" x14ac:dyDescent="0.35">
      <c r="B21" s="314"/>
      <c r="C21" s="317"/>
      <c r="D21" s="310"/>
      <c r="E21" s="311"/>
      <c r="F21" s="311"/>
      <c r="G21" s="311"/>
      <c r="H21" s="311"/>
      <c r="I21" s="311"/>
      <c r="J21" s="33" t="s">
        <v>405</v>
      </c>
    </row>
    <row r="24" spans="2:10" ht="14.4" customHeight="1" x14ac:dyDescent="0.3">
      <c r="B24" s="308" t="s">
        <v>406</v>
      </c>
      <c r="C24" s="308"/>
      <c r="D24" s="308"/>
      <c r="E24" s="308"/>
      <c r="F24" s="308"/>
      <c r="G24" s="308"/>
      <c r="H24" s="308"/>
      <c r="I24" s="308"/>
      <c r="J24" s="308"/>
    </row>
    <row r="25" spans="2:10" x14ac:dyDescent="0.3">
      <c r="B25" s="308"/>
      <c r="C25" s="308"/>
      <c r="D25" s="308"/>
      <c r="E25" s="308"/>
      <c r="F25" s="308"/>
      <c r="G25" s="308"/>
      <c r="H25" s="308"/>
      <c r="I25" s="308"/>
      <c r="J25" s="308"/>
    </row>
    <row r="26" spans="2:10" x14ac:dyDescent="0.3">
      <c r="B26" s="308"/>
      <c r="C26" s="308"/>
      <c r="D26" s="308"/>
      <c r="E26" s="308"/>
      <c r="F26" s="308"/>
      <c r="G26" s="308"/>
      <c r="H26" s="308"/>
      <c r="I26" s="308"/>
      <c r="J26" s="308"/>
    </row>
  </sheetData>
  <mergeCells count="49">
    <mergeCell ref="J18:J19"/>
    <mergeCell ref="B24:J26"/>
    <mergeCell ref="I9:I10"/>
    <mergeCell ref="I11:I12"/>
    <mergeCell ref="G11:G12"/>
    <mergeCell ref="G9:G10"/>
    <mergeCell ref="D13:D14"/>
    <mergeCell ref="I13:I14"/>
    <mergeCell ref="G13:G14"/>
    <mergeCell ref="D20:D21"/>
    <mergeCell ref="C20:C21"/>
    <mergeCell ref="B20:B21"/>
    <mergeCell ref="I16:I19"/>
    <mergeCell ref="E20:E21"/>
    <mergeCell ref="F20:F21"/>
    <mergeCell ref="G20:G21"/>
    <mergeCell ref="H13:H15"/>
    <mergeCell ref="H20:H21"/>
    <mergeCell ref="I20:I21"/>
    <mergeCell ref="G18:G19"/>
    <mergeCell ref="F16:F19"/>
    <mergeCell ref="H16:H19"/>
    <mergeCell ref="D18:D19"/>
    <mergeCell ref="D16:D17"/>
    <mergeCell ref="G16:G17"/>
    <mergeCell ref="C9:C12"/>
    <mergeCell ref="B9:B12"/>
    <mergeCell ref="B16:B19"/>
    <mergeCell ref="C16:C19"/>
    <mergeCell ref="E16:E19"/>
    <mergeCell ref="D11:D12"/>
    <mergeCell ref="D9:D10"/>
    <mergeCell ref="B13:B15"/>
    <mergeCell ref="C13:C15"/>
    <mergeCell ref="E13:E15"/>
    <mergeCell ref="F13:F15"/>
    <mergeCell ref="B5:B8"/>
    <mergeCell ref="C5:C8"/>
    <mergeCell ref="E5:E8"/>
    <mergeCell ref="F5:F8"/>
    <mergeCell ref="G5:G8"/>
    <mergeCell ref="D5:D6"/>
    <mergeCell ref="D7:D8"/>
    <mergeCell ref="I5:I6"/>
    <mergeCell ref="I7:I8"/>
    <mergeCell ref="H5:H8"/>
    <mergeCell ref="H9:H12"/>
    <mergeCell ref="E9:E12"/>
    <mergeCell ref="F9:F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37DC-CDCF-4CAE-9379-0AD52437EC30}">
  <dimension ref="B1:AB28"/>
  <sheetViews>
    <sheetView topLeftCell="A4" zoomScale="80" zoomScaleNormal="80" workbookViewId="0">
      <selection activeCell="C4" sqref="C4:D4"/>
    </sheetView>
  </sheetViews>
  <sheetFormatPr baseColWidth="10" defaultColWidth="8.88671875" defaultRowHeight="14.4" x14ac:dyDescent="0.3"/>
  <cols>
    <col min="1" max="1" width="3.88671875" customWidth="1"/>
    <col min="2" max="3" width="14.109375" customWidth="1"/>
    <col min="4" max="4" width="16.44140625" customWidth="1"/>
    <col min="5" max="5" width="4.6640625" customWidth="1"/>
    <col min="6" max="6" width="14.44140625" customWidth="1"/>
    <col min="7" max="7" width="13.6640625" customWidth="1"/>
    <col min="8" max="8" width="15.5546875" customWidth="1"/>
    <col min="15" max="16" width="13.33203125" customWidth="1"/>
    <col min="17" max="17" width="17.109375" customWidth="1"/>
    <col min="18" max="18" width="16.6640625" customWidth="1"/>
  </cols>
  <sheetData>
    <row r="1" spans="2:28" x14ac:dyDescent="0.3">
      <c r="J1" s="122"/>
      <c r="K1" s="121">
        <v>5</v>
      </c>
      <c r="L1" s="121">
        <v>5</v>
      </c>
      <c r="M1" s="121" t="s">
        <v>407</v>
      </c>
      <c r="N1" s="121"/>
    </row>
    <row r="2" spans="2:28" x14ac:dyDescent="0.3">
      <c r="B2" s="320" t="s">
        <v>408</v>
      </c>
      <c r="C2" s="320"/>
      <c r="D2" s="320"/>
      <c r="F2" s="320" t="s">
        <v>409</v>
      </c>
      <c r="G2" s="320"/>
      <c r="H2" s="320"/>
    </row>
    <row r="3" spans="2:28" ht="37.5" customHeight="1" x14ac:dyDescent="0.3">
      <c r="B3" s="40" t="s">
        <v>410</v>
      </c>
      <c r="C3" s="41" t="s">
        <v>411</v>
      </c>
      <c r="D3" s="41" t="s">
        <v>412</v>
      </c>
      <c r="F3" s="40" t="s">
        <v>410</v>
      </c>
      <c r="G3" s="41" t="s">
        <v>411</v>
      </c>
      <c r="H3" s="41" t="s">
        <v>412</v>
      </c>
    </row>
    <row r="4" spans="2:28" x14ac:dyDescent="0.3">
      <c r="B4" s="120" t="str">
        <f>+'T1-T2-T4 Matriz Riesgos '!A11</f>
        <v>R1a</v>
      </c>
      <c r="C4" s="120">
        <f>+'T1-T2-T4 Matriz Riesgos '!K11</f>
        <v>4</v>
      </c>
      <c r="D4" s="120">
        <f>+'T1-T2-T4 Matriz Riesgos '!L11</f>
        <v>4</v>
      </c>
      <c r="F4" s="120" t="str">
        <f>+B4</f>
        <v>R1a</v>
      </c>
      <c r="G4" s="120">
        <f>+'T1-T2-T4 Matriz Riesgos '!Z11</f>
        <v>2</v>
      </c>
      <c r="H4" s="120">
        <f>+'T1-T2-T4 Matriz Riesgos '!AA11</f>
        <v>3</v>
      </c>
      <c r="AA4" s="2"/>
      <c r="AB4" s="2"/>
    </row>
    <row r="5" spans="2:28" x14ac:dyDescent="0.3">
      <c r="B5" s="120" t="str">
        <f>+'T1-T2-T4 Matriz Riesgos '!A13</f>
        <v>R1b</v>
      </c>
      <c r="C5" s="120">
        <f>+'T1-T2-T4 Matriz Riesgos '!K13</f>
        <v>3</v>
      </c>
      <c r="D5" s="120">
        <f>+'T1-T2-T4 Matriz Riesgos '!L13</f>
        <v>3</v>
      </c>
      <c r="F5" s="120" t="str">
        <f t="shared" ref="F5:F27" si="0">+B5</f>
        <v>R1b</v>
      </c>
      <c r="G5" s="120">
        <f>+'T1-T2-T4 Matriz Riesgos '!Z13</f>
        <v>2</v>
      </c>
      <c r="H5" s="120">
        <f>+'T1-T2-T4 Matriz Riesgos '!AA13</f>
        <v>3</v>
      </c>
      <c r="AA5" s="2"/>
      <c r="AB5" s="2"/>
    </row>
    <row r="6" spans="2:28" x14ac:dyDescent="0.3">
      <c r="B6" s="120" t="str">
        <f>+'T1-T2-T4 Matriz Riesgos '!A15</f>
        <v>R1c</v>
      </c>
      <c r="C6" s="120">
        <f>+'T1-T2-T4 Matriz Riesgos '!K15</f>
        <v>2</v>
      </c>
      <c r="D6" s="120">
        <f>+'T1-T2-T4 Matriz Riesgos '!L15</f>
        <v>3</v>
      </c>
      <c r="F6" s="120" t="str">
        <f t="shared" si="0"/>
        <v>R1c</v>
      </c>
      <c r="G6" s="120">
        <f>+'T1-T2-T4 Matriz Riesgos '!Z15</f>
        <v>2</v>
      </c>
      <c r="H6" s="120">
        <f>+'T1-T2-T4 Matriz Riesgos '!AA15</f>
        <v>3</v>
      </c>
      <c r="AA6" s="2"/>
      <c r="AB6" s="2"/>
    </row>
    <row r="7" spans="2:28" x14ac:dyDescent="0.3">
      <c r="B7" s="120" t="str">
        <f>+'T1-T2-T4 Matriz Riesgos '!A17</f>
        <v>R2a</v>
      </c>
      <c r="C7" s="120">
        <f>+'T1-T2-T4 Matriz Riesgos '!K17</f>
        <v>3</v>
      </c>
      <c r="D7" s="120">
        <f>+'T1-T2-T4 Matriz Riesgos '!L17</f>
        <v>2</v>
      </c>
      <c r="F7" s="120" t="str">
        <f t="shared" si="0"/>
        <v>R2a</v>
      </c>
      <c r="G7" s="120">
        <f>+'T1-T2-T4 Matriz Riesgos '!Z17</f>
        <v>2</v>
      </c>
      <c r="H7" s="120">
        <f>+'T1-T2-T4 Matriz Riesgos '!AA17</f>
        <v>3</v>
      </c>
      <c r="AA7" s="2"/>
      <c r="AB7" s="2"/>
    </row>
    <row r="8" spans="2:28" ht="18.75" customHeight="1" x14ac:dyDescent="0.3">
      <c r="B8" s="120" t="str">
        <f>+'T1-T2-T4 Matriz Riesgos '!A19</f>
        <v>R2b</v>
      </c>
      <c r="C8" s="120">
        <f>+'T1-T2-T4 Matriz Riesgos '!K19</f>
        <v>3</v>
      </c>
      <c r="D8" s="120">
        <f>+'T1-T2-T4 Matriz Riesgos '!L19</f>
        <v>4</v>
      </c>
      <c r="F8" s="120" t="str">
        <f t="shared" si="0"/>
        <v>R2b</v>
      </c>
      <c r="G8" s="120">
        <f>+'T1-T2-T4 Matriz Riesgos '!Z19</f>
        <v>2</v>
      </c>
      <c r="H8" s="120">
        <f>+'T1-T2-T4 Matriz Riesgos '!AA19</f>
        <v>3</v>
      </c>
      <c r="AA8" s="2"/>
      <c r="AB8" s="2"/>
    </row>
    <row r="9" spans="2:28" x14ac:dyDescent="0.3">
      <c r="B9" s="120" t="str">
        <f>+'T1-T2-T4 Matriz Riesgos '!A21</f>
        <v>R2c</v>
      </c>
      <c r="C9" s="120">
        <f>+'T1-T2-T4 Matriz Riesgos '!K21</f>
        <v>3</v>
      </c>
      <c r="D9" s="120">
        <f>+'T1-T2-T4 Matriz Riesgos '!L21</f>
        <v>3</v>
      </c>
      <c r="F9" s="120" t="str">
        <f t="shared" si="0"/>
        <v>R2c</v>
      </c>
      <c r="G9" s="120">
        <f>+'T1-T2-T4 Matriz Riesgos '!Z21</f>
        <v>3</v>
      </c>
      <c r="H9" s="120">
        <f>+'T1-T2-T4 Matriz Riesgos '!AA21</f>
        <v>2</v>
      </c>
      <c r="AA9" s="2"/>
      <c r="AB9" s="2"/>
    </row>
    <row r="10" spans="2:28" x14ac:dyDescent="0.3">
      <c r="B10" s="120" t="str">
        <f>+'T1-T2-T4 Matriz Riesgos '!A23</f>
        <v>R3a</v>
      </c>
      <c r="C10" s="120">
        <f>+'T1-T2-T4 Matriz Riesgos '!K23</f>
        <v>3</v>
      </c>
      <c r="D10" s="120">
        <f>+'T1-T2-T4 Matriz Riesgos '!L23</f>
        <v>4</v>
      </c>
      <c r="F10" s="120" t="str">
        <f t="shared" si="0"/>
        <v>R3a</v>
      </c>
      <c r="G10" s="120">
        <f>+'T1-T2-T4 Matriz Riesgos '!Z23</f>
        <v>3</v>
      </c>
      <c r="H10" s="120">
        <f>+'T1-T2-T4 Matriz Riesgos '!AA23</f>
        <v>2</v>
      </c>
      <c r="AA10" s="2"/>
      <c r="AB10" s="2"/>
    </row>
    <row r="11" spans="2:28" x14ac:dyDescent="0.3">
      <c r="B11" s="120" t="str">
        <f>+'T1-T2-T4 Matriz Riesgos '!A25</f>
        <v>R3b</v>
      </c>
      <c r="C11" s="120">
        <f>+'T1-T2-T4 Matriz Riesgos '!K25</f>
        <v>2</v>
      </c>
      <c r="D11" s="120">
        <f>+'T1-T2-T4 Matriz Riesgos '!L25</f>
        <v>5</v>
      </c>
      <c r="F11" s="120" t="str">
        <f t="shared" si="0"/>
        <v>R3b</v>
      </c>
      <c r="G11" s="120">
        <f>+'T1-T2-T4 Matriz Riesgos '!Z25</f>
        <v>2</v>
      </c>
      <c r="H11" s="120">
        <f>+'T1-T2-T4 Matriz Riesgos '!AA25</f>
        <v>4</v>
      </c>
      <c r="AA11" s="2"/>
      <c r="AB11" s="2"/>
    </row>
    <row r="12" spans="2:28" x14ac:dyDescent="0.3">
      <c r="B12" s="120" t="str">
        <f>+'T1-T2-T4 Matriz Riesgos '!A27</f>
        <v>R3c</v>
      </c>
      <c r="C12" s="120">
        <f>+'T1-T2-T4 Matriz Riesgos '!K27</f>
        <v>2</v>
      </c>
      <c r="D12" s="120">
        <f>+'T1-T2-T4 Matriz Riesgos '!L27</f>
        <v>3</v>
      </c>
      <c r="F12" s="120" t="str">
        <f t="shared" si="0"/>
        <v>R3c</v>
      </c>
      <c r="G12" s="120">
        <f>+'T1-T2-T4 Matriz Riesgos '!Z27</f>
        <v>2</v>
      </c>
      <c r="H12" s="120">
        <f>+'T1-T2-T4 Matriz Riesgos '!AA27</f>
        <v>3</v>
      </c>
      <c r="AA12" s="2"/>
      <c r="AB12" s="2"/>
    </row>
    <row r="13" spans="2:28" x14ac:dyDescent="0.3">
      <c r="B13" s="120" t="str">
        <f>+'T1-T2-T4 Matriz Riesgos '!A29</f>
        <v>R4a</v>
      </c>
      <c r="C13" s="120">
        <f>+'T1-T2-T4 Matriz Riesgos '!K29</f>
        <v>0</v>
      </c>
      <c r="D13" s="120">
        <f>+'T1-T2-T4 Matriz Riesgos '!L29</f>
        <v>0</v>
      </c>
      <c r="F13" s="120" t="str">
        <f t="shared" si="0"/>
        <v>R4a</v>
      </c>
      <c r="G13" s="120">
        <f>+'T1-T2-T4 Matriz Riesgos '!Z29</f>
        <v>0</v>
      </c>
      <c r="H13" s="120">
        <f>+'T1-T2-T4 Matriz Riesgos '!AA29</f>
        <v>0</v>
      </c>
      <c r="AA13" s="2"/>
      <c r="AB13" s="2"/>
    </row>
    <row r="14" spans="2:28" x14ac:dyDescent="0.3">
      <c r="B14" s="120" t="str">
        <f>+'T1-T2-T4 Matriz Riesgos '!A31</f>
        <v>R4b</v>
      </c>
      <c r="C14" s="120">
        <f>+'T1-T2-T4 Matriz Riesgos '!K31</f>
        <v>0</v>
      </c>
      <c r="D14" s="120">
        <f>+'T1-T2-T4 Matriz Riesgos '!L31</f>
        <v>0</v>
      </c>
      <c r="F14" s="120" t="str">
        <f t="shared" si="0"/>
        <v>R4b</v>
      </c>
      <c r="G14" s="120">
        <f>+'T1-T2-T4 Matriz Riesgos '!Z31</f>
        <v>0</v>
      </c>
      <c r="H14" s="120">
        <f>+'T1-T2-T4 Matriz Riesgos '!AA31</f>
        <v>0</v>
      </c>
      <c r="AA14" s="2"/>
      <c r="AB14" s="2"/>
    </row>
    <row r="15" spans="2:28" x14ac:dyDescent="0.3">
      <c r="B15" s="120" t="str">
        <f>+'T1-T2-T4 Matriz Riesgos '!A33</f>
        <v>R4c</v>
      </c>
      <c r="C15" s="120">
        <f>+'T1-T2-T4 Matriz Riesgos '!K33</f>
        <v>0</v>
      </c>
      <c r="D15" s="120">
        <f>+'T1-T2-T4 Matriz Riesgos '!L33</f>
        <v>0</v>
      </c>
      <c r="F15" s="120" t="str">
        <f t="shared" si="0"/>
        <v>R4c</v>
      </c>
      <c r="G15" s="120">
        <f>+'T1-T2-T4 Matriz Riesgos '!Z33</f>
        <v>0</v>
      </c>
      <c r="H15" s="120">
        <f>+'T1-T2-T4 Matriz Riesgos '!AA33</f>
        <v>0</v>
      </c>
      <c r="AA15" s="2"/>
      <c r="AB15" s="2"/>
    </row>
    <row r="16" spans="2:28" x14ac:dyDescent="0.3">
      <c r="B16" s="120" t="str">
        <f>+'T1-T2-T4 Matriz Riesgos '!A35</f>
        <v>R5a</v>
      </c>
      <c r="C16" s="120">
        <f>+'T1-T2-T4 Matriz Riesgos '!K35</f>
        <v>0</v>
      </c>
      <c r="D16" s="120">
        <f>+'T1-T2-T4 Matriz Riesgos '!L35</f>
        <v>0</v>
      </c>
      <c r="F16" s="120" t="str">
        <f t="shared" si="0"/>
        <v>R5a</v>
      </c>
      <c r="G16" s="120">
        <f>+'T1-T2-T4 Matriz Riesgos '!Z35</f>
        <v>0</v>
      </c>
      <c r="H16" s="120">
        <f>+'T1-T2-T4 Matriz Riesgos '!AA35</f>
        <v>0</v>
      </c>
      <c r="AA16" s="2"/>
      <c r="AB16" s="2"/>
    </row>
    <row r="17" spans="2:28" x14ac:dyDescent="0.3">
      <c r="B17" s="120" t="str">
        <f>+'T1-T2-T4 Matriz Riesgos '!A37</f>
        <v>R5b</v>
      </c>
      <c r="C17" s="120">
        <f>+'T1-T2-T4 Matriz Riesgos '!K37</f>
        <v>0</v>
      </c>
      <c r="D17" s="120">
        <f>+'T1-T2-T4 Matriz Riesgos '!L37</f>
        <v>0</v>
      </c>
      <c r="F17" s="120" t="str">
        <f t="shared" si="0"/>
        <v>R5b</v>
      </c>
      <c r="G17" s="120">
        <f>+'T1-T2-T4 Matriz Riesgos '!Z37</f>
        <v>0</v>
      </c>
      <c r="H17" s="120">
        <f>+'T1-T2-T4 Matriz Riesgos '!AA37</f>
        <v>0</v>
      </c>
      <c r="AA17" s="2"/>
      <c r="AB17" s="2"/>
    </row>
    <row r="18" spans="2:28" x14ac:dyDescent="0.3">
      <c r="B18" s="120" t="str">
        <f>+'T1-T2-T4 Matriz Riesgos '!A39</f>
        <v>R5c</v>
      </c>
      <c r="C18" s="120">
        <f>+'T1-T2-T4 Matriz Riesgos '!K39</f>
        <v>0</v>
      </c>
      <c r="D18" s="120">
        <f>+'T1-T2-T4 Matriz Riesgos '!L39</f>
        <v>0</v>
      </c>
      <c r="F18" s="120" t="str">
        <f t="shared" si="0"/>
        <v>R5c</v>
      </c>
      <c r="G18" s="120">
        <f>+'T1-T2-T4 Matriz Riesgos '!Z39</f>
        <v>0</v>
      </c>
      <c r="H18" s="120">
        <f>+'T1-T2-T4 Matriz Riesgos '!AA39</f>
        <v>0</v>
      </c>
      <c r="AA18" s="2"/>
      <c r="AB18" s="2"/>
    </row>
    <row r="19" spans="2:28" x14ac:dyDescent="0.3">
      <c r="B19" s="120" t="str">
        <f>+'T1-T2-T4 Matriz Riesgos '!A41</f>
        <v>R6a</v>
      </c>
      <c r="C19" s="120">
        <f>+'T1-T2-T4 Matriz Riesgos '!K41</f>
        <v>0</v>
      </c>
      <c r="D19" s="120">
        <f>+'T1-T2-T4 Matriz Riesgos '!L41</f>
        <v>0</v>
      </c>
      <c r="F19" s="120" t="str">
        <f t="shared" si="0"/>
        <v>R6a</v>
      </c>
      <c r="G19" s="120">
        <f>+'T1-T2-T4 Matriz Riesgos '!Z41</f>
        <v>0</v>
      </c>
      <c r="H19" s="120">
        <f>+'T1-T2-T4 Matriz Riesgos '!AA41</f>
        <v>0</v>
      </c>
      <c r="AA19" s="2"/>
      <c r="AB19" s="2"/>
    </row>
    <row r="20" spans="2:28" x14ac:dyDescent="0.3">
      <c r="B20" s="120" t="str">
        <f>+'T1-T2-T4 Matriz Riesgos '!A43</f>
        <v>R6b</v>
      </c>
      <c r="C20" s="120">
        <f>+'T1-T2-T4 Matriz Riesgos '!K43</f>
        <v>0</v>
      </c>
      <c r="D20" s="120">
        <f>+'T1-T2-T4 Matriz Riesgos '!L43</f>
        <v>0</v>
      </c>
      <c r="F20" s="120" t="str">
        <f t="shared" si="0"/>
        <v>R6b</v>
      </c>
      <c r="G20" s="120">
        <f>+'T1-T2-T4 Matriz Riesgos '!Z43</f>
        <v>0</v>
      </c>
      <c r="H20" s="120">
        <f>+'T1-T2-T4 Matriz Riesgos '!AA43</f>
        <v>0</v>
      </c>
      <c r="AA20" s="2"/>
      <c r="AB20" s="2"/>
    </row>
    <row r="21" spans="2:28" x14ac:dyDescent="0.3">
      <c r="B21" s="120" t="str">
        <f>+'T1-T2-T4 Matriz Riesgos '!A45</f>
        <v>R6c</v>
      </c>
      <c r="C21" s="120">
        <f>+'T1-T2-T4 Matriz Riesgos '!K45</f>
        <v>0</v>
      </c>
      <c r="D21" s="120">
        <f>+'T1-T2-T4 Matriz Riesgos '!L45</f>
        <v>0</v>
      </c>
      <c r="F21" s="120" t="str">
        <f t="shared" si="0"/>
        <v>R6c</v>
      </c>
      <c r="G21" s="120">
        <f>+'T1-T2-T4 Matriz Riesgos '!Z45</f>
        <v>0</v>
      </c>
      <c r="H21" s="120">
        <f>+'T1-T2-T4 Matriz Riesgos '!AA45</f>
        <v>0</v>
      </c>
      <c r="AA21" s="2"/>
      <c r="AB21" s="2"/>
    </row>
    <row r="22" spans="2:28" x14ac:dyDescent="0.3">
      <c r="B22" s="120" t="str">
        <f>+'T1-T2-T4 Matriz Riesgos '!A47</f>
        <v>R7a</v>
      </c>
      <c r="C22" s="120">
        <f>+'T1-T2-T4 Matriz Riesgos '!K47</f>
        <v>0</v>
      </c>
      <c r="D22" s="120">
        <f>+'T1-T2-T4 Matriz Riesgos '!L47</f>
        <v>0</v>
      </c>
      <c r="F22" s="120" t="str">
        <f t="shared" si="0"/>
        <v>R7a</v>
      </c>
      <c r="G22" s="120">
        <f>+'T1-T2-T4 Matriz Riesgos '!Z47</f>
        <v>0</v>
      </c>
      <c r="H22" s="120">
        <f>+'T1-T2-T4 Matriz Riesgos '!AA47</f>
        <v>0</v>
      </c>
      <c r="AA22" s="2"/>
      <c r="AB22" s="2"/>
    </row>
    <row r="23" spans="2:28" x14ac:dyDescent="0.3">
      <c r="B23" s="120" t="str">
        <f>+'T1-T2-T4 Matriz Riesgos '!A49</f>
        <v>R7b</v>
      </c>
      <c r="C23" s="120">
        <f>+'T1-T2-T4 Matriz Riesgos '!K49</f>
        <v>0</v>
      </c>
      <c r="D23" s="120">
        <f>+'T1-T2-T4 Matriz Riesgos '!L49</f>
        <v>0</v>
      </c>
      <c r="F23" s="120" t="str">
        <f t="shared" si="0"/>
        <v>R7b</v>
      </c>
      <c r="G23" s="120">
        <f>+'T1-T2-T4 Matriz Riesgos '!Z49</f>
        <v>0</v>
      </c>
      <c r="H23" s="120">
        <f>+'T1-T2-T4 Matriz Riesgos '!AA49</f>
        <v>0</v>
      </c>
      <c r="AA23" s="2"/>
      <c r="AB23" s="2"/>
    </row>
    <row r="24" spans="2:28" x14ac:dyDescent="0.3">
      <c r="B24" s="120" t="str">
        <f>+'T1-T2-T4 Matriz Riesgos '!A51</f>
        <v>R7c</v>
      </c>
      <c r="C24" s="120">
        <f>+'T1-T2-T4 Matriz Riesgos '!K51</f>
        <v>0</v>
      </c>
      <c r="D24" s="120">
        <f>+'T1-T2-T4 Matriz Riesgos '!L51</f>
        <v>0</v>
      </c>
      <c r="F24" s="120" t="str">
        <f t="shared" si="0"/>
        <v>R7c</v>
      </c>
      <c r="G24" s="120">
        <f>+'T1-T2-T4 Matriz Riesgos '!Z51</f>
        <v>0</v>
      </c>
      <c r="H24" s="120">
        <f>+'T1-T2-T4 Matriz Riesgos '!AA51</f>
        <v>0</v>
      </c>
      <c r="AA24" s="2"/>
      <c r="AB24" s="2"/>
    </row>
    <row r="25" spans="2:28" x14ac:dyDescent="0.3">
      <c r="B25" s="120" t="str">
        <f>+'T1-T2-T4 Matriz Riesgos '!A53</f>
        <v>R8a</v>
      </c>
      <c r="C25" s="120">
        <f>+'T1-T2-T4 Matriz Riesgos '!K53</f>
        <v>4</v>
      </c>
      <c r="D25" s="120">
        <f>+'T1-T2-T4 Matriz Riesgos '!L53</f>
        <v>4</v>
      </c>
      <c r="F25" s="120" t="str">
        <f t="shared" si="0"/>
        <v>R8a</v>
      </c>
      <c r="G25" s="120">
        <f>+'T1-T2-T4 Matriz Riesgos '!Z53</f>
        <v>0</v>
      </c>
      <c r="H25" s="120">
        <f>+'T1-T2-T4 Matriz Riesgos '!AA53</f>
        <v>0</v>
      </c>
      <c r="AA25" s="2"/>
      <c r="AB25" s="2"/>
    </row>
    <row r="26" spans="2:28" x14ac:dyDescent="0.3">
      <c r="B26" s="120" t="str">
        <f>+'T1-T2-T4 Matriz Riesgos '!A55</f>
        <v>R8b</v>
      </c>
      <c r="C26" s="120">
        <f>+'T1-T2-T4 Matriz Riesgos '!K55</f>
        <v>0</v>
      </c>
      <c r="D26" s="120">
        <f>+'T1-T2-T4 Matriz Riesgos '!L55</f>
        <v>0</v>
      </c>
      <c r="F26" s="120" t="str">
        <f t="shared" si="0"/>
        <v>R8b</v>
      </c>
      <c r="G26" s="120">
        <f>+'T1-T2-T4 Matriz Riesgos '!Z55</f>
        <v>0</v>
      </c>
      <c r="H26" s="120">
        <f>+'T1-T2-T4 Matriz Riesgos '!AA55</f>
        <v>0</v>
      </c>
      <c r="AA26" s="2"/>
      <c r="AB26" s="2"/>
    </row>
    <row r="27" spans="2:28" x14ac:dyDescent="0.3">
      <c r="B27" s="120" t="str">
        <f>+'T1-T2-T4 Matriz Riesgos '!A57</f>
        <v>R8c</v>
      </c>
      <c r="C27" s="120">
        <f>+'T1-T2-T4 Matriz Riesgos '!K57</f>
        <v>0</v>
      </c>
      <c r="D27" s="120">
        <f>+'T1-T2-T4 Matriz Riesgos '!L57</f>
        <v>0</v>
      </c>
      <c r="F27" s="120" t="str">
        <f t="shared" si="0"/>
        <v>R8c</v>
      </c>
      <c r="G27" s="120">
        <f>+'T1-T2-T4 Matriz Riesgos '!Z57</f>
        <v>0</v>
      </c>
      <c r="H27" s="120">
        <f>+'T1-T2-T4 Matriz Riesgos '!AA57</f>
        <v>0</v>
      </c>
      <c r="AA27" s="2"/>
      <c r="AB27" s="2"/>
    </row>
    <row r="28" spans="2:28" x14ac:dyDescent="0.3">
      <c r="AA28" s="2"/>
      <c r="AB28" s="2"/>
    </row>
  </sheetData>
  <mergeCells count="2">
    <mergeCell ref="B2:D2"/>
    <mergeCell ref="F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Portada Talleres </vt:lpstr>
      <vt:lpstr>T1-T2-T4 Matriz Riesgos </vt:lpstr>
      <vt:lpstr>T1 RBS (adaptar)</vt:lpstr>
      <vt:lpstr>Listas Desplegables (LD)</vt:lpstr>
      <vt:lpstr>T2 Escalas PO</vt:lpstr>
      <vt:lpstr>T2 Escalas Impacto</vt:lpstr>
      <vt:lpstr>T2-T4 Mapas Riesgo (Auto)</vt:lpstr>
      <vt:lpstr>'Portada Talleres '!Área_de_impresión</vt:lpstr>
      <vt:lpstr>'T1-T2-T4 Matriz Riesgos '!Área_de_impresión</vt:lpstr>
      <vt:lpstr>Respuesta</vt:lpstr>
      <vt:lpstr>Riesgo</vt:lpstr>
      <vt:lpstr>'T1-T2-T4 Matriz Riesgos '!Títulos_a_imprimir</vt:lpstr>
    </vt:vector>
  </TitlesOfParts>
  <Manager/>
  <Company>spensiones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spensiones</dc:creator>
  <cp:keywords/>
  <dc:description/>
  <cp:lastModifiedBy>Edgardo Gaete</cp:lastModifiedBy>
  <cp:revision/>
  <dcterms:created xsi:type="dcterms:W3CDTF">2014-10-09T11:49:54Z</dcterms:created>
  <dcterms:modified xsi:type="dcterms:W3CDTF">2025-01-30T01:09:37Z</dcterms:modified>
  <cp:category/>
  <cp:contentStatus/>
</cp:coreProperties>
</file>