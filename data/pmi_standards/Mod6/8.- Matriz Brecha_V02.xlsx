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ES 2020\Material práctico aplicable\"/>
    </mc:Choice>
  </mc:AlternateContent>
  <xr:revisionPtr revIDLastSave="0" documentId="13_ncr:1_{A9FC4BE4-4117-43C3-B59A-3CF3D00DD3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3" sheetId="3" r:id="rId2"/>
    <sheet name="Hoja2" sheetId="2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51" i="1" l="1"/>
  <c r="AQ51" i="1"/>
  <c r="AR4" i="1"/>
  <c r="AQ4" i="1"/>
  <c r="AR71" i="1"/>
  <c r="AQ71" i="1"/>
  <c r="AR69" i="1"/>
  <c r="AQ69" i="1"/>
  <c r="AS69" i="1" s="1"/>
  <c r="AR67" i="1"/>
  <c r="AQ67" i="1"/>
  <c r="AR66" i="1"/>
  <c r="AQ66" i="1"/>
  <c r="AR64" i="1"/>
  <c r="AQ64" i="1"/>
  <c r="AR63" i="1"/>
  <c r="AQ63" i="1"/>
  <c r="AR62" i="1"/>
  <c r="AQ62" i="1"/>
  <c r="AR60" i="1"/>
  <c r="AQ60" i="1"/>
  <c r="AR59" i="1"/>
  <c r="AQ59" i="1"/>
  <c r="AR58" i="1"/>
  <c r="AQ58" i="1"/>
  <c r="AS58" i="1" s="1"/>
  <c r="AR57" i="1"/>
  <c r="AQ57" i="1"/>
  <c r="AR56" i="1"/>
  <c r="AQ56" i="1"/>
  <c r="AR54" i="1"/>
  <c r="AQ54" i="1"/>
  <c r="AR53" i="1"/>
  <c r="AQ53" i="1"/>
  <c r="AS53" i="1" s="1"/>
  <c r="AR50" i="1"/>
  <c r="AQ50" i="1"/>
  <c r="AR49" i="1"/>
  <c r="AQ49" i="1"/>
  <c r="AR48" i="1"/>
  <c r="AQ48" i="1"/>
  <c r="AR47" i="1"/>
  <c r="AQ47" i="1"/>
  <c r="AS47" i="1" s="1"/>
  <c r="AR46" i="1"/>
  <c r="AQ46" i="1"/>
  <c r="AR44" i="1"/>
  <c r="AQ44" i="1"/>
  <c r="AR42" i="1"/>
  <c r="AQ42" i="1"/>
  <c r="AR40" i="1"/>
  <c r="AQ40" i="1"/>
  <c r="AS40" i="1" s="1"/>
  <c r="AR39" i="1"/>
  <c r="AQ39" i="1"/>
  <c r="AR38" i="1"/>
  <c r="AQ38" i="1"/>
  <c r="AR36" i="1"/>
  <c r="AQ36" i="1"/>
  <c r="AR34" i="1"/>
  <c r="AQ34" i="1"/>
  <c r="AS34" i="1" s="1"/>
  <c r="AR33" i="1"/>
  <c r="AQ33" i="1"/>
  <c r="AR32" i="1"/>
  <c r="AQ32" i="1"/>
  <c r="AR31" i="1"/>
  <c r="AQ31" i="1"/>
  <c r="AR30" i="1"/>
  <c r="AQ30" i="1"/>
  <c r="AS30" i="1" s="1"/>
  <c r="AR29" i="1"/>
  <c r="AQ29" i="1"/>
  <c r="AR27" i="1"/>
  <c r="AQ27" i="1"/>
  <c r="AR26" i="1"/>
  <c r="AQ26" i="1"/>
  <c r="AR25" i="1"/>
  <c r="AQ25" i="1"/>
  <c r="AS25" i="1" s="1"/>
  <c r="AR23" i="1"/>
  <c r="AQ23" i="1"/>
  <c r="AR22" i="1"/>
  <c r="AQ22" i="1"/>
  <c r="AR20" i="1"/>
  <c r="AQ20" i="1"/>
  <c r="AR18" i="1"/>
  <c r="AQ18" i="1"/>
  <c r="AS18" i="1" s="1"/>
  <c r="AR16" i="1"/>
  <c r="AQ16" i="1"/>
  <c r="AR14" i="1"/>
  <c r="AQ14" i="1"/>
  <c r="AR12" i="1"/>
  <c r="AQ12" i="1"/>
  <c r="AR10" i="1"/>
  <c r="AQ10" i="1"/>
  <c r="AS10" i="1" s="1"/>
  <c r="AR8" i="1"/>
  <c r="AQ8" i="1"/>
  <c r="AR6" i="1"/>
  <c r="AQ6" i="1"/>
  <c r="E5" i="2"/>
  <c r="AS8" i="1" l="1"/>
  <c r="AS12" i="1"/>
  <c r="AT12" i="1" s="1"/>
  <c r="AS16" i="1"/>
  <c r="AT16" i="1" s="1"/>
  <c r="AS20" i="1"/>
  <c r="AT20" i="1" s="1"/>
  <c r="AS23" i="1"/>
  <c r="AS26" i="1"/>
  <c r="AS29" i="1"/>
  <c r="AT29" i="1" s="1"/>
  <c r="AS31" i="1"/>
  <c r="AT31" i="1" s="1"/>
  <c r="AS33" i="1"/>
  <c r="AS36" i="1"/>
  <c r="AT36" i="1" s="1"/>
  <c r="AS39" i="1"/>
  <c r="AT39" i="1" s="1"/>
  <c r="AS42" i="1"/>
  <c r="AT42" i="1" s="1"/>
  <c r="AS46" i="1"/>
  <c r="AS48" i="1"/>
  <c r="AS50" i="1"/>
  <c r="AT50" i="1" s="1"/>
  <c r="AS54" i="1"/>
  <c r="AT54" i="1" s="1"/>
  <c r="AS57" i="1"/>
  <c r="AS59" i="1"/>
  <c r="AT59" i="1" s="1"/>
  <c r="AS62" i="1"/>
  <c r="AT62" i="1" s="1"/>
  <c r="AS64" i="1"/>
  <c r="AT64" i="1" s="1"/>
  <c r="AS67" i="1"/>
  <c r="AS71" i="1"/>
  <c r="AQ72" i="1"/>
  <c r="AS6" i="1"/>
  <c r="AT6" i="1" s="1"/>
  <c r="AS14" i="1"/>
  <c r="AT14" i="1" s="1"/>
  <c r="AS22" i="1"/>
  <c r="AT22" i="1" s="1"/>
  <c r="AS27" i="1"/>
  <c r="AT27" i="1" s="1"/>
  <c r="AS32" i="1"/>
  <c r="AT32" i="1" s="1"/>
  <c r="AS38" i="1"/>
  <c r="AT38" i="1" s="1"/>
  <c r="AS44" i="1"/>
  <c r="AT44" i="1" s="1"/>
  <c r="AS49" i="1"/>
  <c r="AT49" i="1" s="1"/>
  <c r="AS56" i="1"/>
  <c r="AT56" i="1" s="1"/>
  <c r="AS60" i="1"/>
  <c r="AT60" i="1" s="1"/>
  <c r="AS66" i="1"/>
  <c r="AT66" i="1" s="1"/>
  <c r="AR72" i="1"/>
  <c r="AT10" i="1"/>
  <c r="AT18" i="1"/>
  <c r="AT25" i="1"/>
  <c r="AT30" i="1"/>
  <c r="AT34" i="1"/>
  <c r="AT40" i="1"/>
  <c r="AT47" i="1"/>
  <c r="AT53" i="1"/>
  <c r="AT58" i="1"/>
  <c r="AT69" i="1"/>
  <c r="AS63" i="1"/>
  <c r="AT63" i="1" s="1"/>
  <c r="AS51" i="1"/>
  <c r="AT51" i="1" s="1"/>
  <c r="AT8" i="1"/>
  <c r="AT23" i="1"/>
  <c r="AT26" i="1"/>
  <c r="AT33" i="1"/>
  <c r="AT46" i="1"/>
  <c r="AT48" i="1"/>
  <c r="AT57" i="1"/>
  <c r="AT67" i="1"/>
  <c r="AT71" i="1"/>
  <c r="AS4" i="1"/>
  <c r="AT4" i="1" l="1"/>
  <c r="AS72" i="1"/>
  <c r="AT72" i="1" s="1"/>
</calcChain>
</file>

<file path=xl/sharedStrings.xml><?xml version="1.0" encoding="utf-8"?>
<sst xmlns="http://schemas.openxmlformats.org/spreadsheetml/2006/main" count="1199" uniqueCount="144">
  <si>
    <t>MATRIZ PERSONA - COMPETENCIA</t>
  </si>
  <si>
    <t>Experiencia</t>
  </si>
  <si>
    <t>Nivel Educacional</t>
  </si>
  <si>
    <t>Formación</t>
  </si>
  <si>
    <t>Habilidad</t>
  </si>
  <si>
    <t>AREA O DEPTO.</t>
  </si>
  <si>
    <t>Ingeniería Civil</t>
  </si>
  <si>
    <t>Ingeniería Civil Eléctrico</t>
  </si>
  <si>
    <t>Constructor Civil</t>
  </si>
  <si>
    <t>Ingeniero de (E)/Técnico en Construcción</t>
  </si>
  <si>
    <t>Ingeniero Civil Industrial</t>
  </si>
  <si>
    <t>Ingeniería Comercial</t>
  </si>
  <si>
    <t>Experto profesional Prevención Riesgo/Técnico</t>
  </si>
  <si>
    <t>Experto en Medio Ambiente</t>
  </si>
  <si>
    <t>Topografo</t>
  </si>
  <si>
    <t>Contador General/Tecnico Adm. Empresas</t>
  </si>
  <si>
    <t>Secretaria Ejecutiva</t>
  </si>
  <si>
    <t>Enseñanza Media</t>
  </si>
  <si>
    <t>MBA</t>
  </si>
  <si>
    <t>Formación Gerencial Basico</t>
  </si>
  <si>
    <t>Formacion Gerencial Avanzado</t>
  </si>
  <si>
    <t>Estrategia Competitva</t>
  </si>
  <si>
    <t>Dirección de Empresas</t>
  </si>
  <si>
    <t>Idioma Ingles</t>
  </si>
  <si>
    <t>ABC Costing</t>
  </si>
  <si>
    <t>Balanded Scorecard</t>
  </si>
  <si>
    <t>Evaluación de Proveedores</t>
  </si>
  <si>
    <t>Manejo de sistema BaaN</t>
  </si>
  <si>
    <t>Office Básico</t>
  </si>
  <si>
    <t>Excel Básico</t>
  </si>
  <si>
    <t>Excel Intermedio</t>
  </si>
  <si>
    <t>Microsoft Project</t>
  </si>
  <si>
    <t>Primavera Software</t>
  </si>
  <si>
    <t>Técnicas de Negociación y Manejo de Conflictos</t>
  </si>
  <si>
    <t>Control de Gestión</t>
  </si>
  <si>
    <t>Gestión de Calidad para una Empresa Competitiva</t>
  </si>
  <si>
    <t>Introducción a ISO 9000</t>
  </si>
  <si>
    <t>Auditor ISO 9000</t>
  </si>
  <si>
    <t>Inducción Empresa y Puesto Trabajo</t>
  </si>
  <si>
    <t>Curso Prevención de Riesgo Básico</t>
  </si>
  <si>
    <t>Legislación Laboral</t>
  </si>
  <si>
    <t>Interpretación de Planos</t>
  </si>
  <si>
    <t>Administración de Bodegas</t>
  </si>
  <si>
    <t>Programa Desarrollo Liderazgo</t>
  </si>
  <si>
    <t>Trabajo en Equipo</t>
  </si>
  <si>
    <t>APRUEBA</t>
  </si>
  <si>
    <t>BRECHA</t>
  </si>
  <si>
    <t>TOTAL COMPETENCIAS</t>
  </si>
  <si>
    <t>BRECHA: 100% - CUMPLIMIENTO</t>
  </si>
  <si>
    <t>GERENTE DE OBRAS</t>
  </si>
  <si>
    <t>COMPETENCIAS EXIGIDAS</t>
  </si>
  <si>
    <t>E</t>
  </si>
  <si>
    <t>AAAAA</t>
  </si>
  <si>
    <t>A</t>
  </si>
  <si>
    <t>B</t>
  </si>
  <si>
    <t>GERENTE COMERCIAL</t>
  </si>
  <si>
    <t>BBBB</t>
  </si>
  <si>
    <t>GERENTE DE ADM. Y GESTIÓN</t>
  </si>
  <si>
    <t>CCCC</t>
  </si>
  <si>
    <t>SUBGERENTE DE CONTROL Y GESTION</t>
  </si>
  <si>
    <t>DDDD</t>
  </si>
  <si>
    <t>SUBGERENTE DE OBRAS</t>
  </si>
  <si>
    <t>EEEE</t>
  </si>
  <si>
    <t>SECRETARIA GERENCIA OBRAS</t>
  </si>
  <si>
    <t>FFFF</t>
  </si>
  <si>
    <t>SECRETARIA GERENCIA COMERCIAL</t>
  </si>
  <si>
    <t>GGGGG</t>
  </si>
  <si>
    <t>ENCARGADO DE ESTUDIO DE PROPUESTAS</t>
  </si>
  <si>
    <t>HHHHH</t>
  </si>
  <si>
    <t>ENCARGADO DE CONTROL Y ANÁLISIS</t>
  </si>
  <si>
    <t>JJJJJ</t>
  </si>
  <si>
    <t>ADMINISTRADOR DE OBRAS</t>
  </si>
  <si>
    <t>KKKKK</t>
  </si>
  <si>
    <t>LLLLLL</t>
  </si>
  <si>
    <t>JEFE OF. TECNICA OBRAS</t>
  </si>
  <si>
    <t>MMMMM</t>
  </si>
  <si>
    <t>NNNNN</t>
  </si>
  <si>
    <t>ÑÑÑÑÑ</t>
  </si>
  <si>
    <t>INGENIERO ESTUDIOS OF. TECNICA</t>
  </si>
  <si>
    <t>OOOO</t>
  </si>
  <si>
    <t>PPPP</t>
  </si>
  <si>
    <t>QQQ</t>
  </si>
  <si>
    <t>RRRRR</t>
  </si>
  <si>
    <t>SSSSSS</t>
  </si>
  <si>
    <t>TTTTT</t>
  </si>
  <si>
    <t>JEFE DE FAENAS SS/EE</t>
  </si>
  <si>
    <t>VVVVV</t>
  </si>
  <si>
    <t>JEFE DE FAENAS LÍNEAS</t>
  </si>
  <si>
    <t>WWWWW</t>
  </si>
  <si>
    <t>XXXXX</t>
  </si>
  <si>
    <t>YYYYYY</t>
  </si>
  <si>
    <t>JEFE DE OBRAS CIVILES SS/EE</t>
  </si>
  <si>
    <t>ZZZZZZ</t>
  </si>
  <si>
    <t>JEFE MONTAJE ELECTRICO SS/EE</t>
  </si>
  <si>
    <t>ZBZBZB</t>
  </si>
  <si>
    <t>SUPERVISORES DE LINEAS</t>
  </si>
  <si>
    <t>XXAAA</t>
  </si>
  <si>
    <t>HHHKKKKK</t>
  </si>
  <si>
    <t>LLLLBBBBB</t>
  </si>
  <si>
    <t>UUUUGGGG</t>
  </si>
  <si>
    <t>SSSSHHHH</t>
  </si>
  <si>
    <t>KKKKÑÑÑÑÑ</t>
  </si>
  <si>
    <t>YYYYXXXXX</t>
  </si>
  <si>
    <t>SUPERVISOR DE OBRAS CIVILES</t>
  </si>
  <si>
    <t>FFFFOOO</t>
  </si>
  <si>
    <t>LLLLGGGG</t>
  </si>
  <si>
    <t>BODEGUERO</t>
  </si>
  <si>
    <t>BBBBSSSSS</t>
  </si>
  <si>
    <t>ÑÑÑÑÑHHHH</t>
  </si>
  <si>
    <t>JJJJFFF</t>
  </si>
  <si>
    <t>AAAKKKKK</t>
  </si>
  <si>
    <t>DDDDDWWW</t>
  </si>
  <si>
    <t>ADMINISTRATIVO DE OBRAS</t>
  </si>
  <si>
    <t>HHHHTTTT</t>
  </si>
  <si>
    <t>JJJJSSSS</t>
  </si>
  <si>
    <t>QQQQUUUU</t>
  </si>
  <si>
    <t>PREVENCIONISTA DE OBRAS</t>
  </si>
  <si>
    <t>DDDDOOOO</t>
  </si>
  <si>
    <t>UUUURRRR</t>
  </si>
  <si>
    <t>TOPOGRAFO/GEOMENSOR</t>
  </si>
  <si>
    <t>DDDDSSSS</t>
  </si>
  <si>
    <t>ASISTENTE DE ADM. ENCARGADO LOGISTICA</t>
  </si>
  <si>
    <t>OOOOPPPP</t>
  </si>
  <si>
    <t>Etiquetas de fila</t>
  </si>
  <si>
    <t>Total general</t>
  </si>
  <si>
    <t>Suma de APRUEBA</t>
  </si>
  <si>
    <t>Suma de BRECHA</t>
  </si>
  <si>
    <t>Suma de TOTAL COMPETENCIAS</t>
  </si>
  <si>
    <t>CARGO</t>
  </si>
  <si>
    <t>Campo calculado</t>
  </si>
  <si>
    <t>Orden de resolución</t>
  </si>
  <si>
    <t>Campo</t>
  </si>
  <si>
    <t>Fórmula</t>
  </si>
  <si>
    <t>Elemento calculado</t>
  </si>
  <si>
    <t>Elemento</t>
  </si>
  <si>
    <t>Notas:</t>
  </si>
  <si>
    <t>Cuando una celda se actualiza con más de una fórmula,</t>
  </si>
  <si>
    <t>el valor lo establece la fórmula con la última orden de resolución.</t>
  </si>
  <si>
    <t>Para cambiar el orden de resolución de varios elementos o campos calculados,</t>
  </si>
  <si>
    <t>en la ficha Opciones, dentro del grupo Cálculos, haga clic en Campos, elementos y conjuntos y luego haga clic en Orden de resolución.</t>
  </si>
  <si>
    <t>Suma de %</t>
  </si>
  <si>
    <t>(Varios elementos)</t>
  </si>
  <si>
    <t>Cálculo</t>
  </si>
  <si>
    <t>&lt;&lt;&lt;&lt;&lt;&lt;&lt;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</si>
</sst>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i/>
      <sz val="9"/>
      <color theme="1"/>
      <name val="Arial"/>
      <charset val="1"/>
    </font>
    <font>
      <sz val="9"/>
      <color theme="1"/>
      <name val="Arial"/>
      <charset val="1"/>
    </font>
    <font>
      <sz val="10"/>
      <color theme="1"/>
      <name val="Arial"/>
      <charset val="1"/>
    </font>
    <font>
      <sz val="9"/>
      <color rgb="FF333399"/>
      <name val="Arial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5">
    <xf numFmtId="0" fontId="0" fillId="0" borderId="0" xfId="0"/>
    <xf numFmtId="9" fontId="0" fillId="0" borderId="0" xfId="0" applyNumberFormat="1"/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 readingOrder="1"/>
    </xf>
    <xf numFmtId="9" fontId="0" fillId="0" borderId="1" xfId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4" fillId="5" borderId="1" xfId="0" applyFont="1" applyFill="1" applyBorder="1" applyAlignment="1">
      <alignment wrapText="1" readingOrder="1"/>
    </xf>
    <xf numFmtId="0" fontId="4" fillId="6" borderId="1" xfId="0" applyFont="1" applyFill="1" applyBorder="1" applyAlignment="1">
      <alignment wrapText="1" readingOrder="1"/>
    </xf>
    <xf numFmtId="0" fontId="4" fillId="0" borderId="1" xfId="0" applyFont="1" applyBorder="1" applyAlignment="1">
      <alignment vertical="center" wrapText="1" readingOrder="1"/>
    </xf>
    <xf numFmtId="0" fontId="8" fillId="2" borderId="1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9" fillId="0" borderId="0" xfId="0" applyFont="1"/>
    <xf numFmtId="0" fontId="6" fillId="0" borderId="3" xfId="0" applyFont="1" applyBorder="1"/>
    <xf numFmtId="0" fontId="4" fillId="0" borderId="4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6" borderId="4" xfId="0" applyFont="1" applyFill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0" fillId="0" borderId="4" xfId="0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9" fontId="0" fillId="0" borderId="4" xfId="1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 readingOrder="1"/>
    </xf>
    <xf numFmtId="0" fontId="0" fillId="0" borderId="0" xfId="0" applyBorder="1"/>
    <xf numFmtId="0" fontId="3" fillId="0" borderId="0" xfId="0" applyFont="1" applyBorder="1" applyAlignment="1">
      <alignment wrapText="1" readingOrder="1"/>
    </xf>
    <xf numFmtId="0" fontId="7" fillId="0" borderId="0" xfId="0" applyFont="1" applyBorder="1" applyAlignment="1">
      <alignment horizontal="center" vertical="center" wrapText="1" readingOrder="1"/>
    </xf>
    <xf numFmtId="9" fontId="6" fillId="0" borderId="0" xfId="1" applyFont="1" applyBorder="1" applyAlignment="1">
      <alignment horizontal="center" vertical="center"/>
    </xf>
    <xf numFmtId="0" fontId="12" fillId="3" borderId="1" xfId="0" applyFont="1" applyFill="1" applyBorder="1" applyAlignment="1">
      <alignment textRotation="90" wrapText="1" readingOrder="1"/>
    </xf>
    <xf numFmtId="0" fontId="14" fillId="4" borderId="1" xfId="0" applyFont="1" applyFill="1" applyBorder="1" applyAlignment="1">
      <alignment textRotation="90" wrapText="1" readingOrder="1"/>
    </xf>
    <xf numFmtId="0" fontId="14" fillId="5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wrapText="1" readingOrder="1"/>
    </xf>
    <xf numFmtId="0" fontId="11" fillId="7" borderId="1" xfId="0" applyFont="1" applyFill="1" applyBorder="1" applyAlignment="1">
      <alignment wrapText="1" readingOrder="1"/>
    </xf>
    <xf numFmtId="0" fontId="10" fillId="0" borderId="1" xfId="0" applyFont="1" applyBorder="1" applyAlignment="1">
      <alignment wrapText="1" readingOrder="1"/>
    </xf>
    <xf numFmtId="0" fontId="10" fillId="7" borderId="1" xfId="0" applyFont="1" applyFill="1" applyBorder="1" applyAlignment="1">
      <alignment wrapText="1" readingOrder="1"/>
    </xf>
    <xf numFmtId="0" fontId="10" fillId="0" borderId="4" xfId="0" applyFont="1" applyBorder="1" applyAlignment="1">
      <alignment wrapText="1" readingOrder="1"/>
    </xf>
    <xf numFmtId="0" fontId="10" fillId="7" borderId="4" xfId="0" applyFont="1" applyFill="1" applyBorder="1" applyAlignment="1">
      <alignment wrapText="1" readingOrder="1"/>
    </xf>
    <xf numFmtId="0" fontId="11" fillId="0" borderId="4" xfId="0" applyFont="1" applyBorder="1" applyAlignment="1">
      <alignment wrapText="1" readingOrder="1"/>
    </xf>
    <xf numFmtId="0" fontId="11" fillId="7" borderId="4" xfId="0" applyFont="1" applyFill="1" applyBorder="1" applyAlignment="1">
      <alignment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0" fontId="15" fillId="8" borderId="1" xfId="0" applyFont="1" applyFill="1" applyBorder="1" applyAlignment="1">
      <alignment wrapText="1" readingOrder="1"/>
    </xf>
  </cellXfs>
  <cellStyles count="2">
    <cellStyle name="Normal" xfId="0" builtinId="0"/>
    <cellStyle name="Porcentaje" xfId="1" builtinId="5"/>
  </cellStyles>
  <dxfs count="13"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3" formatCode="0%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1185333</xdr:colOff>
      <xdr:row>0</xdr:row>
      <xdr:rowOff>825500</xdr:rowOff>
    </xdr:from>
    <xdr:to>
      <xdr:col>1</xdr:col>
      <xdr:colOff>602191</xdr:colOff>
      <xdr:row>1</xdr:row>
      <xdr:rowOff>428625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333" y="825500"/>
          <a:ext cx="11525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Madrid Muñoz" refreshedDate="43270.541797569444" createdVersion="4" refreshedVersion="4" minRefreshableVersion="3" recordCount="69" xr:uid="{00000000-000A-0000-FFFF-FFFF04000000}">
  <cacheSource type="worksheet">
    <worksheetSource ref="B2:AT71" sheet="Hoja1"/>
  </cacheSource>
  <cacheFields count="45">
    <cacheField name="AREA O DEPTO." numFmtId="0">
      <sharedItems/>
    </cacheField>
    <cacheField name="Experiencia" numFmtId="0">
      <sharedItems containsString="0" containsBlank="1" containsNumber="1" containsInteger="1" minValue="1" maxValue="29"/>
    </cacheField>
    <cacheField name="Ingeniería Civil" numFmtId="0">
      <sharedItems containsBlank="1"/>
    </cacheField>
    <cacheField name="Ingeniería Civil Eléctrico" numFmtId="0">
      <sharedItems containsBlank="1"/>
    </cacheField>
    <cacheField name="Constructor Civil" numFmtId="0">
      <sharedItems containsBlank="1"/>
    </cacheField>
    <cacheField name="Ingeniero de (E)/Técnico en Construcción" numFmtId="0">
      <sharedItems containsBlank="1"/>
    </cacheField>
    <cacheField name="Ingeniero Civil Industrial" numFmtId="0">
      <sharedItems containsBlank="1"/>
    </cacheField>
    <cacheField name="Ingeniería Comercial" numFmtId="0">
      <sharedItems containsBlank="1"/>
    </cacheField>
    <cacheField name="Experto profesional Prevención Riesgo/Técnico" numFmtId="0">
      <sharedItems containsBlank="1"/>
    </cacheField>
    <cacheField name="Experto en Medio Ambiente" numFmtId="0">
      <sharedItems containsNonDate="0" containsString="0" containsBlank="1"/>
    </cacheField>
    <cacheField name="Topografo" numFmtId="0">
      <sharedItems containsBlank="1"/>
    </cacheField>
    <cacheField name="Contador General/Tecnico Adm. Empresas" numFmtId="0">
      <sharedItems containsBlank="1"/>
    </cacheField>
    <cacheField name="Secretaria Ejecutiva" numFmtId="0">
      <sharedItems containsBlank="1"/>
    </cacheField>
    <cacheField name="Enseñanza Media" numFmtId="0">
      <sharedItems containsBlank="1"/>
    </cacheField>
    <cacheField name="MBA" numFmtId="0">
      <sharedItems containsBlank="1"/>
    </cacheField>
    <cacheField name="Formación Gerencial Basico" numFmtId="0">
      <sharedItems containsBlank="1"/>
    </cacheField>
    <cacheField name="Formacion Gerencial Avanzado" numFmtId="0">
      <sharedItems containsBlank="1"/>
    </cacheField>
    <cacheField name="Estrategia Competitva" numFmtId="0">
      <sharedItems containsBlank="1"/>
    </cacheField>
    <cacheField name="Dirección de Empresas" numFmtId="0">
      <sharedItems containsBlank="1"/>
    </cacheField>
    <cacheField name="Idioma Ingles" numFmtId="0">
      <sharedItems containsBlank="1"/>
    </cacheField>
    <cacheField name="ABC Costing" numFmtId="0">
      <sharedItems containsBlank="1"/>
    </cacheField>
    <cacheField name="Balanded Scorecard" numFmtId="0">
      <sharedItems containsBlank="1"/>
    </cacheField>
    <cacheField name="Evaluación de Proveedores" numFmtId="0">
      <sharedItems containsBlank="1"/>
    </cacheField>
    <cacheField name="Manejo de sistema BaaN" numFmtId="0">
      <sharedItems containsBlank="1"/>
    </cacheField>
    <cacheField name="Office Básico" numFmtId="0">
      <sharedItems containsBlank="1"/>
    </cacheField>
    <cacheField name="Excel Básico" numFmtId="0">
      <sharedItems containsBlank="1"/>
    </cacheField>
    <cacheField name="Excel Intermedio" numFmtId="0">
      <sharedItems containsBlank="1"/>
    </cacheField>
    <cacheField name="Microsoft Project" numFmtId="0">
      <sharedItems containsBlank="1"/>
    </cacheField>
    <cacheField name="Primavera Software" numFmtId="0">
      <sharedItems containsBlank="1"/>
    </cacheField>
    <cacheField name="Técnicas de Negociación y Manejo de Conflictos" numFmtId="0">
      <sharedItems containsBlank="1"/>
    </cacheField>
    <cacheField name="Control de Gestión" numFmtId="0">
      <sharedItems containsBlank="1"/>
    </cacheField>
    <cacheField name="Gestión de Calidad para una Empresa Competitiva" numFmtId="0">
      <sharedItems containsBlank="1"/>
    </cacheField>
    <cacheField name="Introducción a ISO 9000" numFmtId="0">
      <sharedItems containsBlank="1"/>
    </cacheField>
    <cacheField name="Auditor ISO 9000" numFmtId="0">
      <sharedItems containsBlank="1"/>
    </cacheField>
    <cacheField name="Inducción Empresa y Puesto Trabajo" numFmtId="0">
      <sharedItems/>
    </cacheField>
    <cacheField name="Curso Prevención de Riesgo Básico" numFmtId="0">
      <sharedItems containsBlank="1"/>
    </cacheField>
    <cacheField name="Legislación Laboral" numFmtId="0">
      <sharedItems containsBlank="1"/>
    </cacheField>
    <cacheField name="Interpretación de Planos" numFmtId="0">
      <sharedItems containsBlank="1"/>
    </cacheField>
    <cacheField name="Administración de Bodegas" numFmtId="0">
      <sharedItems containsBlank="1"/>
    </cacheField>
    <cacheField name="Programa Desarrollo Liderazgo" numFmtId="0">
      <sharedItems containsBlank="1"/>
    </cacheField>
    <cacheField name="Trabajo en Equipo" numFmtId="0">
      <sharedItems containsBlank="1"/>
    </cacheField>
    <cacheField name="APRUEBA" numFmtId="0">
      <sharedItems containsString="0" containsBlank="1" containsNumber="1" containsInteger="1" minValue="3" maxValue="20" count="12">
        <m/>
        <n v="13"/>
        <n v="20"/>
        <n v="7"/>
        <n v="6"/>
        <n v="17"/>
        <n v="9"/>
        <n v="8"/>
        <n v="10"/>
        <n v="4"/>
        <n v="3"/>
        <n v="5"/>
      </sharedItems>
    </cacheField>
    <cacheField name="BRECHA" numFmtId="0">
      <sharedItems containsString="0" containsBlank="1" containsNumber="1" containsInteger="1" minValue="1" maxValue="10" count="11">
        <m/>
        <n v="7"/>
        <n v="2"/>
        <n v="3"/>
        <n v="4"/>
        <n v="1"/>
        <n v="8"/>
        <n v="9"/>
        <n v="10"/>
        <n v="6"/>
        <n v="5"/>
      </sharedItems>
    </cacheField>
    <cacheField name="TOTAL COMPETENCIAS" numFmtId="0">
      <sharedItems containsString="0" containsBlank="1" containsNumber="1" containsInteger="1" minValue="8" maxValue="22"/>
    </cacheField>
    <cacheField name="BRECHA: 100% - CUMPLIMIENTO" numFmtId="0">
      <sharedItems containsString="0" containsBlank="1" containsNumber="1" minValue="9.0909090909090912E-2" maxValue="0.7142857142857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Madrid Muñoz" refreshedDate="43270.551695949071" createdVersion="4" refreshedVersion="4" minRefreshableVersion="3" recordCount="69" xr:uid="{00000000-000A-0000-FFFF-FFFF1A000000}">
  <cacheSource type="worksheet">
    <worksheetSource ref="A2:AT71" sheet="Hoja1"/>
  </cacheSource>
  <cacheFields count="47">
    <cacheField name="CARGO" numFmtId="0">
      <sharedItems containsBlank="1" count="24">
        <s v="GERENTE DE OBRAS"/>
        <s v="GERENTE COMERCIAL"/>
        <s v="GERENTE DE ADM. Y GESTIÓN"/>
        <s v="SUBGERENTE DE CONTROL Y GESTION"/>
        <s v="SUBGERENTE DE OBRAS"/>
        <s v="SECRETARIA GERENCIA OBRAS"/>
        <s v="SECRETARIA GERENCIA COMERCIAL"/>
        <s v="ENCARGADO DE ESTUDIO DE PROPUESTAS"/>
        <s v="ENCARGADO DE CONTROL Y ANÁLISIS"/>
        <s v="ADMINISTRADOR DE OBRAS"/>
        <s v="JEFE OF. TECNICA OBRAS"/>
        <s v="INGENIERO ESTUDIOS OF. TECNICA"/>
        <s v="JEFE DE FAENAS SS/EE"/>
        <s v="JEFE DE FAENAS LÍNEAS"/>
        <s v="JEFE DE OBRAS CIVILES SS/EE"/>
        <s v="JEFE MONTAJE ELECTRICO SS/EE"/>
        <s v="SUPERVISORES DE LINEAS"/>
        <s v="SUPERVISOR DE OBRAS CIVILES"/>
        <s v="BODEGUERO"/>
        <s v="ADMINISTRATIVO DE OBRAS"/>
        <s v="PREVENCIONISTA DE OBRAS"/>
        <s v="TOPOGRAFO/GEOMENSOR"/>
        <s v="ASISTENTE DE ADM. ENCARGADO LOGISTICA"/>
        <m u="1"/>
      </sharedItems>
    </cacheField>
    <cacheField name="AREA O DEPTO." numFmtId="0">
      <sharedItems count="48">
        <s v="COMPETENCIAS EXIGIDAS"/>
        <s v="AAAAA"/>
        <s v="BBBB"/>
        <s v="CCCC"/>
        <s v="DDDD"/>
        <s v="EEEE"/>
        <s v="FFFF"/>
        <s v="GGGGG"/>
        <s v="HHHHH"/>
        <s v="JJJJJ"/>
        <s v="KKKKK"/>
        <s v="LLLLLL"/>
        <s v="MMMMM"/>
        <s v="NNNNN"/>
        <s v="ÑÑÑÑÑ"/>
        <s v="OOOO"/>
        <s v="PPPP"/>
        <s v="QQQ"/>
        <s v="RRRRR"/>
        <s v="SSSSSS"/>
        <s v="TTTTT"/>
        <s v="VVVVV"/>
        <s v="WWWWW"/>
        <s v="XXXXX"/>
        <s v="YYYYYY"/>
        <s v="ZZZZZZ"/>
        <s v="ZBZBZB"/>
        <s v="XXAAA"/>
        <s v="HHHKKKKK"/>
        <s v="LLLLBBBBB"/>
        <s v="UUUUGGGG"/>
        <s v="SSSSHHHH"/>
        <s v="KKKKÑÑÑÑÑ"/>
        <s v="YYYYXXXXX"/>
        <s v="FFFFOOO"/>
        <s v="LLLLGGGG"/>
        <s v="BBBBSSSSS"/>
        <s v="ÑÑÑÑÑHHHH"/>
        <s v="JJJJFFF"/>
        <s v="AAAKKKKK"/>
        <s v="DDDDDWWW"/>
        <s v="HHHHTTTT"/>
        <s v="JJJJSSSS"/>
        <s v="QQQQUUUU"/>
        <s v="DDDDOOOO"/>
        <s v="UUUURRRR"/>
        <s v="DDDDSSSS"/>
        <s v="OOOOPPPP"/>
      </sharedItems>
    </cacheField>
    <cacheField name="Experiencia" numFmtId="0">
      <sharedItems containsString="0" containsBlank="1" containsNumber="1" containsInteger="1" minValue="1" maxValue="29"/>
    </cacheField>
    <cacheField name="Ingeniería Civil" numFmtId="0">
      <sharedItems containsBlank="1"/>
    </cacheField>
    <cacheField name="Ingeniería Civil Eléctrico" numFmtId="0">
      <sharedItems containsBlank="1"/>
    </cacheField>
    <cacheField name="Constructor Civil" numFmtId="0">
      <sharedItems containsBlank="1"/>
    </cacheField>
    <cacheField name="Ingeniero de (E)/Técnico en Construcción" numFmtId="0">
      <sharedItems containsBlank="1"/>
    </cacheField>
    <cacheField name="Ingeniero Civil Industrial" numFmtId="0">
      <sharedItems containsBlank="1"/>
    </cacheField>
    <cacheField name="Ingeniería Comercial" numFmtId="0">
      <sharedItems containsBlank="1"/>
    </cacheField>
    <cacheField name="Experto profesional Prevención Riesgo/Técnico" numFmtId="0">
      <sharedItems containsBlank="1"/>
    </cacheField>
    <cacheField name="Experto en Medio Ambiente" numFmtId="0">
      <sharedItems containsNonDate="0" containsString="0" containsBlank="1"/>
    </cacheField>
    <cacheField name="Topografo" numFmtId="0">
      <sharedItems containsBlank="1"/>
    </cacheField>
    <cacheField name="Contador General/Tecnico Adm. Empresas" numFmtId="0">
      <sharedItems containsBlank="1"/>
    </cacheField>
    <cacheField name="Secretaria Ejecutiva" numFmtId="0">
      <sharedItems containsBlank="1"/>
    </cacheField>
    <cacheField name="Enseñanza Media" numFmtId="0">
      <sharedItems containsBlank="1"/>
    </cacheField>
    <cacheField name="MBA" numFmtId="0">
      <sharedItems containsBlank="1"/>
    </cacheField>
    <cacheField name="Formación Gerencial Basico" numFmtId="0">
      <sharedItems containsBlank="1"/>
    </cacheField>
    <cacheField name="Formacion Gerencial Avanzado" numFmtId="0">
      <sharedItems containsBlank="1"/>
    </cacheField>
    <cacheField name="Estrategia Competitva" numFmtId="0">
      <sharedItems containsBlank="1"/>
    </cacheField>
    <cacheField name="Dirección de Empresas" numFmtId="0">
      <sharedItems containsBlank="1"/>
    </cacheField>
    <cacheField name="Idioma Ingles" numFmtId="0">
      <sharedItems containsBlank="1"/>
    </cacheField>
    <cacheField name="ABC Costing" numFmtId="0">
      <sharedItems containsBlank="1"/>
    </cacheField>
    <cacheField name="Balanded Scorecard" numFmtId="0">
      <sharedItems containsBlank="1"/>
    </cacheField>
    <cacheField name="Evaluación de Proveedores" numFmtId="0">
      <sharedItems containsBlank="1"/>
    </cacheField>
    <cacheField name="Manejo de sistema BaaN" numFmtId="0">
      <sharedItems containsBlank="1"/>
    </cacheField>
    <cacheField name="Office Básico" numFmtId="0">
      <sharedItems containsBlank="1"/>
    </cacheField>
    <cacheField name="Excel Básico" numFmtId="0">
      <sharedItems containsBlank="1"/>
    </cacheField>
    <cacheField name="Excel Intermedio" numFmtId="0">
      <sharedItems containsBlank="1"/>
    </cacheField>
    <cacheField name="Microsoft Project" numFmtId="0">
      <sharedItems containsBlank="1"/>
    </cacheField>
    <cacheField name="Primavera Software" numFmtId="0">
      <sharedItems containsBlank="1"/>
    </cacheField>
    <cacheField name="Técnicas de Negociación y Manejo de Conflictos" numFmtId="0">
      <sharedItems containsBlank="1"/>
    </cacheField>
    <cacheField name="Control de Gestión" numFmtId="0">
      <sharedItems containsBlank="1"/>
    </cacheField>
    <cacheField name="Gestión de Calidad para una Empresa Competitiva" numFmtId="0">
      <sharedItems containsBlank="1"/>
    </cacheField>
    <cacheField name="Introducción a ISO 9000" numFmtId="0">
      <sharedItems containsBlank="1"/>
    </cacheField>
    <cacheField name="Auditor ISO 9000" numFmtId="0">
      <sharedItems containsBlank="1"/>
    </cacheField>
    <cacheField name="Inducción Empresa y Puesto Trabajo" numFmtId="0">
      <sharedItems/>
    </cacheField>
    <cacheField name="Curso Prevención de Riesgo Básico" numFmtId="0">
      <sharedItems containsBlank="1"/>
    </cacheField>
    <cacheField name="Legislación Laboral" numFmtId="0">
      <sharedItems containsBlank="1"/>
    </cacheField>
    <cacheField name="Interpretación de Planos" numFmtId="0">
      <sharedItems containsBlank="1"/>
    </cacheField>
    <cacheField name="Administración de Bodegas" numFmtId="0">
      <sharedItems containsBlank="1"/>
    </cacheField>
    <cacheField name="Programa Desarrollo Liderazgo" numFmtId="0">
      <sharedItems containsBlank="1"/>
    </cacheField>
    <cacheField name="Trabajo en Equipo" numFmtId="0">
      <sharedItems containsBlank="1"/>
    </cacheField>
    <cacheField name="APRUEBA" numFmtId="0">
      <sharedItems containsString="0" containsBlank="1" containsNumber="1" containsInteger="1" minValue="3" maxValue="20"/>
    </cacheField>
    <cacheField name="BRECHA" numFmtId="0">
      <sharedItems containsString="0" containsBlank="1" containsNumber="1" containsInteger="1" minValue="1" maxValue="10"/>
    </cacheField>
    <cacheField name="TOTAL COMPETENCIAS" numFmtId="0">
      <sharedItems containsString="0" containsBlank="1" containsNumber="1" containsInteger="1" minValue="8" maxValue="22"/>
    </cacheField>
    <cacheField name="BRECHA: 100% - CUMPLIMIENTO" numFmtId="0">
      <sharedItems containsString="0" containsBlank="1" containsNumber="1" minValue="9.0909090909090912E-2" maxValue="0.7142857142857143"/>
    </cacheField>
    <cacheField name="%" numFmtId="0" formula="(BRECHA/'TOTAL COMPETENCIAS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COMPETENCIAS EXIGIDAS"/>
    <n v="15"/>
    <s v="E"/>
    <m/>
    <m/>
    <m/>
    <s v="E"/>
    <m/>
    <m/>
    <m/>
    <m/>
    <m/>
    <m/>
    <m/>
    <s v="E"/>
    <s v="E"/>
    <s v="E"/>
    <m/>
    <s v="E"/>
    <s v="E"/>
    <s v="E"/>
    <s v="E"/>
    <m/>
    <m/>
    <s v="E"/>
    <m/>
    <s v="E"/>
    <s v="E"/>
    <s v="E"/>
    <s v="E"/>
    <s v="E"/>
    <s v="E"/>
    <s v="E"/>
    <m/>
    <s v="E"/>
    <s v="E"/>
    <s v="E"/>
    <m/>
    <m/>
    <s v="E"/>
    <m/>
    <x v="0"/>
    <x v="0"/>
    <m/>
    <m/>
  </r>
  <r>
    <s v="AAAAA"/>
    <n v="15"/>
    <s v="A"/>
    <m/>
    <m/>
    <m/>
    <m/>
    <m/>
    <m/>
    <m/>
    <m/>
    <m/>
    <m/>
    <m/>
    <s v="B"/>
    <s v="A"/>
    <s v="A"/>
    <m/>
    <s v="B"/>
    <s v="B"/>
    <s v="A"/>
    <s v="B"/>
    <m/>
    <m/>
    <s v="A"/>
    <m/>
    <s v="A"/>
    <s v="A"/>
    <s v="B"/>
    <s v="A"/>
    <s v="B"/>
    <s v="A"/>
    <s v="A"/>
    <m/>
    <s v="A"/>
    <s v="A"/>
    <s v="B"/>
    <m/>
    <m/>
    <s v="A"/>
    <m/>
    <x v="1"/>
    <x v="1"/>
    <n v="20"/>
    <n v="0.35"/>
  </r>
  <r>
    <s v="COMPETENCIAS EXIGIDAS"/>
    <n v="15"/>
    <s v="E"/>
    <m/>
    <m/>
    <m/>
    <m/>
    <s v="E"/>
    <m/>
    <m/>
    <m/>
    <m/>
    <m/>
    <m/>
    <m/>
    <s v="E"/>
    <s v="E"/>
    <s v="E"/>
    <s v="E"/>
    <s v="E"/>
    <s v="E"/>
    <s v="E"/>
    <s v="E"/>
    <s v="E"/>
    <s v="E"/>
    <s v="E"/>
    <s v="E"/>
    <m/>
    <s v="E"/>
    <m/>
    <s v="E"/>
    <s v="E"/>
    <m/>
    <m/>
    <s v="E"/>
    <s v="E"/>
    <s v="E"/>
    <m/>
    <m/>
    <s v="E"/>
    <s v="E"/>
    <x v="0"/>
    <x v="0"/>
    <m/>
    <m/>
  </r>
  <r>
    <s v="BBBB"/>
    <n v="15"/>
    <m/>
    <m/>
    <m/>
    <m/>
    <m/>
    <s v="A"/>
    <m/>
    <m/>
    <m/>
    <m/>
    <m/>
    <m/>
    <m/>
    <s v="A"/>
    <s v="A"/>
    <s v="A"/>
    <s v="A"/>
    <s v="A"/>
    <s v="A"/>
    <s v="A"/>
    <s v="B"/>
    <s v="A"/>
    <s v="A"/>
    <s v="A"/>
    <s v="A"/>
    <s v="A"/>
    <m/>
    <s v="A"/>
    <m/>
    <s v="A"/>
    <s v="A"/>
    <s v="A"/>
    <s v="A"/>
    <s v="A"/>
    <s v="B"/>
    <m/>
    <m/>
    <s v="A"/>
    <m/>
    <x v="2"/>
    <x v="2"/>
    <n v="22"/>
    <n v="9.0909090909090912E-2"/>
  </r>
  <r>
    <s v="COMPETENCIAS EXIGIDAS"/>
    <n v="15"/>
    <m/>
    <m/>
    <m/>
    <m/>
    <m/>
    <s v="E"/>
    <m/>
    <m/>
    <m/>
    <m/>
    <m/>
    <m/>
    <m/>
    <s v="E"/>
    <m/>
    <m/>
    <m/>
    <m/>
    <s v="E"/>
    <m/>
    <m/>
    <m/>
    <m/>
    <m/>
    <s v="E"/>
    <m/>
    <m/>
    <s v="E"/>
    <m/>
    <m/>
    <s v="E"/>
    <m/>
    <s v="E"/>
    <s v="E"/>
    <s v="E"/>
    <m/>
    <m/>
    <s v="E"/>
    <m/>
    <x v="0"/>
    <x v="0"/>
    <m/>
    <m/>
  </r>
  <r>
    <s v="CCCC"/>
    <n v="15"/>
    <m/>
    <m/>
    <m/>
    <m/>
    <m/>
    <s v="A"/>
    <m/>
    <m/>
    <m/>
    <m/>
    <m/>
    <m/>
    <m/>
    <s v="A"/>
    <m/>
    <m/>
    <m/>
    <m/>
    <s v="A"/>
    <m/>
    <m/>
    <m/>
    <m/>
    <m/>
    <s v="A"/>
    <m/>
    <m/>
    <s v="B"/>
    <m/>
    <m/>
    <s v="A"/>
    <m/>
    <s v="A"/>
    <s v="A"/>
    <s v="B"/>
    <m/>
    <m/>
    <s v="B"/>
    <m/>
    <x v="3"/>
    <x v="3"/>
    <n v="10"/>
    <n v="0.3"/>
  </r>
  <r>
    <s v="COMPETENCIAS EXIGIDAS"/>
    <n v="15"/>
    <m/>
    <m/>
    <m/>
    <m/>
    <m/>
    <s v="E"/>
    <m/>
    <m/>
    <m/>
    <m/>
    <m/>
    <m/>
    <m/>
    <s v="E"/>
    <m/>
    <m/>
    <m/>
    <m/>
    <s v="E"/>
    <s v="E"/>
    <m/>
    <m/>
    <m/>
    <m/>
    <m/>
    <m/>
    <m/>
    <s v="E"/>
    <m/>
    <m/>
    <s v="E"/>
    <m/>
    <s v="E"/>
    <s v="E"/>
    <s v="E"/>
    <m/>
    <m/>
    <s v="E"/>
    <m/>
    <x v="0"/>
    <x v="0"/>
    <m/>
    <m/>
  </r>
  <r>
    <s v="DDDD"/>
    <m/>
    <m/>
    <m/>
    <m/>
    <m/>
    <m/>
    <s v="A"/>
    <m/>
    <m/>
    <m/>
    <m/>
    <m/>
    <m/>
    <m/>
    <s v="B"/>
    <m/>
    <m/>
    <m/>
    <m/>
    <s v="A"/>
    <s v="A"/>
    <m/>
    <m/>
    <m/>
    <m/>
    <m/>
    <m/>
    <m/>
    <s v="A"/>
    <m/>
    <m/>
    <s v="B"/>
    <m/>
    <s v="A"/>
    <s v="A"/>
    <s v="B"/>
    <m/>
    <m/>
    <s v="B"/>
    <m/>
    <x v="4"/>
    <x v="4"/>
    <n v="10"/>
    <n v="0.4"/>
  </r>
  <r>
    <s v="COMPETENCIAS EXIGIDAS"/>
    <n v="10"/>
    <s v="E"/>
    <m/>
    <m/>
    <m/>
    <m/>
    <m/>
    <m/>
    <m/>
    <m/>
    <m/>
    <m/>
    <m/>
    <s v="E"/>
    <s v="E"/>
    <s v="E"/>
    <m/>
    <m/>
    <s v="E"/>
    <s v="E"/>
    <s v="E"/>
    <s v="E"/>
    <s v="E"/>
    <m/>
    <m/>
    <s v="E"/>
    <s v="E"/>
    <s v="E"/>
    <s v="E"/>
    <s v="E"/>
    <s v="E"/>
    <s v="E"/>
    <m/>
    <s v="E"/>
    <s v="E"/>
    <s v="E"/>
    <m/>
    <m/>
    <s v="E"/>
    <m/>
    <x v="0"/>
    <x v="0"/>
    <m/>
    <m/>
  </r>
  <r>
    <s v="EEEE"/>
    <n v="10"/>
    <s v="A"/>
    <m/>
    <m/>
    <m/>
    <m/>
    <m/>
    <m/>
    <m/>
    <m/>
    <m/>
    <m/>
    <m/>
    <s v="A"/>
    <s v="A"/>
    <s v="A"/>
    <m/>
    <m/>
    <s v="B"/>
    <s v="A"/>
    <s v="A"/>
    <s v="B"/>
    <s v="B"/>
    <m/>
    <m/>
    <s v="A"/>
    <s v="A"/>
    <s v="A"/>
    <s v="A"/>
    <s v="A"/>
    <s v="A"/>
    <s v="A"/>
    <m/>
    <s v="A"/>
    <s v="A"/>
    <s v="A"/>
    <m/>
    <m/>
    <s v="A"/>
    <m/>
    <x v="5"/>
    <x v="3"/>
    <n v="20"/>
    <n v="0.15"/>
  </r>
  <r>
    <s v="COMPETENCIAS EXIGIDAS"/>
    <n v="4"/>
    <m/>
    <m/>
    <m/>
    <m/>
    <m/>
    <m/>
    <m/>
    <m/>
    <m/>
    <m/>
    <s v="E"/>
    <m/>
    <m/>
    <m/>
    <m/>
    <m/>
    <m/>
    <s v="E"/>
    <m/>
    <m/>
    <m/>
    <s v="E"/>
    <s v="E"/>
    <s v="E"/>
    <s v="E"/>
    <m/>
    <m/>
    <s v="E"/>
    <m/>
    <s v="E"/>
    <s v="E"/>
    <m/>
    <s v="E"/>
    <m/>
    <m/>
    <m/>
    <m/>
    <m/>
    <s v="E"/>
    <x v="0"/>
    <x v="0"/>
    <m/>
    <m/>
  </r>
  <r>
    <s v="FFFF"/>
    <n v="6"/>
    <m/>
    <m/>
    <m/>
    <m/>
    <m/>
    <m/>
    <m/>
    <m/>
    <m/>
    <m/>
    <s v="A"/>
    <m/>
    <m/>
    <m/>
    <m/>
    <m/>
    <m/>
    <s v="B"/>
    <m/>
    <m/>
    <m/>
    <s v="A"/>
    <s v="A"/>
    <s v="A"/>
    <s v="B"/>
    <m/>
    <m/>
    <s v="B"/>
    <m/>
    <s v="A"/>
    <s v="A"/>
    <m/>
    <s v="A"/>
    <m/>
    <m/>
    <m/>
    <m/>
    <m/>
    <s v="A"/>
    <x v="3"/>
    <x v="3"/>
    <n v="10"/>
    <n v="0.3"/>
  </r>
  <r>
    <s v="COMPETENCIAS EXIGIDAS"/>
    <n v="4"/>
    <m/>
    <m/>
    <m/>
    <m/>
    <m/>
    <m/>
    <m/>
    <m/>
    <m/>
    <m/>
    <s v="E"/>
    <m/>
    <m/>
    <m/>
    <m/>
    <m/>
    <m/>
    <s v="E"/>
    <m/>
    <m/>
    <m/>
    <s v="E"/>
    <s v="E"/>
    <s v="E"/>
    <s v="E"/>
    <m/>
    <m/>
    <s v="E"/>
    <m/>
    <s v="E"/>
    <s v="E"/>
    <m/>
    <s v="E"/>
    <m/>
    <m/>
    <m/>
    <m/>
    <m/>
    <s v="E"/>
    <x v="0"/>
    <x v="0"/>
    <m/>
    <m/>
  </r>
  <r>
    <s v="GGGGG"/>
    <n v="6"/>
    <m/>
    <m/>
    <m/>
    <m/>
    <m/>
    <m/>
    <m/>
    <m/>
    <m/>
    <m/>
    <s v="A"/>
    <m/>
    <m/>
    <m/>
    <m/>
    <m/>
    <m/>
    <s v="A"/>
    <m/>
    <m/>
    <m/>
    <s v="A"/>
    <s v="A"/>
    <s v="A"/>
    <s v="A"/>
    <m/>
    <m/>
    <s v="B"/>
    <m/>
    <s v="A"/>
    <s v="A"/>
    <m/>
    <s v="A"/>
    <m/>
    <m/>
    <m/>
    <m/>
    <m/>
    <s v="A"/>
    <x v="6"/>
    <x v="5"/>
    <n v="10"/>
    <n v="0.1"/>
  </r>
  <r>
    <s v="COMPETENCIAS EXIGIDAS"/>
    <m/>
    <m/>
    <m/>
    <m/>
    <s v="E"/>
    <m/>
    <m/>
    <m/>
    <m/>
    <m/>
    <m/>
    <m/>
    <m/>
    <m/>
    <m/>
    <m/>
    <m/>
    <m/>
    <m/>
    <s v="E"/>
    <s v="E"/>
    <s v="E"/>
    <s v="E"/>
    <s v="E"/>
    <s v="E"/>
    <s v="E"/>
    <s v="E"/>
    <s v="E"/>
    <m/>
    <s v="E"/>
    <s v="E"/>
    <s v="E"/>
    <s v="E"/>
    <s v="E"/>
    <m/>
    <m/>
    <s v="E"/>
    <m/>
    <m/>
    <s v="E"/>
    <x v="0"/>
    <x v="0"/>
    <m/>
    <m/>
  </r>
  <r>
    <s v="HHHHH"/>
    <n v="1"/>
    <m/>
    <m/>
    <m/>
    <s v="A"/>
    <m/>
    <m/>
    <m/>
    <m/>
    <m/>
    <m/>
    <m/>
    <m/>
    <m/>
    <m/>
    <m/>
    <m/>
    <m/>
    <m/>
    <s v="A"/>
    <s v="B"/>
    <s v="B"/>
    <s v="A"/>
    <s v="A"/>
    <s v="A"/>
    <s v="A"/>
    <s v="A"/>
    <s v="A"/>
    <m/>
    <s v="B"/>
    <s v="A"/>
    <s v="A"/>
    <s v="A"/>
    <s v="A"/>
    <m/>
    <m/>
    <s v="A"/>
    <m/>
    <m/>
    <s v="B"/>
    <x v="1"/>
    <x v="4"/>
    <n v="17"/>
    <n v="0.23529411764705882"/>
  </r>
  <r>
    <s v="COMPETENCIAS EXIGIDAS"/>
    <n v="2"/>
    <m/>
    <m/>
    <m/>
    <s v="E"/>
    <m/>
    <m/>
    <m/>
    <m/>
    <m/>
    <m/>
    <m/>
    <m/>
    <m/>
    <m/>
    <m/>
    <m/>
    <m/>
    <m/>
    <s v="E"/>
    <s v="E"/>
    <s v="E"/>
    <s v="E"/>
    <s v="E"/>
    <s v="E"/>
    <s v="E"/>
    <s v="E"/>
    <s v="E"/>
    <m/>
    <s v="E"/>
    <s v="E"/>
    <s v="E"/>
    <m/>
    <s v="E"/>
    <m/>
    <m/>
    <s v="E"/>
    <m/>
    <m/>
    <s v="E"/>
    <x v="0"/>
    <x v="0"/>
    <m/>
    <m/>
  </r>
  <r>
    <s v="JJJJJ"/>
    <n v="7"/>
    <s v="A"/>
    <m/>
    <m/>
    <m/>
    <m/>
    <m/>
    <m/>
    <m/>
    <m/>
    <m/>
    <m/>
    <m/>
    <m/>
    <m/>
    <m/>
    <m/>
    <m/>
    <m/>
    <s v="A"/>
    <s v="A"/>
    <s v="B"/>
    <s v="A"/>
    <s v="A"/>
    <s v="A"/>
    <s v="A"/>
    <s v="A"/>
    <s v="A"/>
    <m/>
    <s v="B"/>
    <s v="A"/>
    <s v="A"/>
    <m/>
    <s v="A"/>
    <m/>
    <m/>
    <s v="A"/>
    <m/>
    <m/>
    <s v="B"/>
    <x v="1"/>
    <x v="3"/>
    <n v="16"/>
    <n v="0.1875"/>
  </r>
  <r>
    <s v="COMPETENCIAS EXIGIDAS"/>
    <n v="10"/>
    <s v="E"/>
    <s v="E"/>
    <s v="E"/>
    <m/>
    <s v="E"/>
    <m/>
    <m/>
    <m/>
    <m/>
    <m/>
    <m/>
    <m/>
    <m/>
    <m/>
    <m/>
    <s v="E"/>
    <m/>
    <s v="E"/>
    <s v="E"/>
    <s v="E"/>
    <m/>
    <m/>
    <s v="E"/>
    <m/>
    <s v="E"/>
    <s v="E"/>
    <s v="E"/>
    <s v="E"/>
    <s v="E"/>
    <m/>
    <s v="E"/>
    <m/>
    <s v="E"/>
    <s v="E"/>
    <s v="E"/>
    <m/>
    <m/>
    <s v="E"/>
    <m/>
    <x v="0"/>
    <x v="0"/>
    <m/>
    <m/>
  </r>
  <r>
    <s v="KKKKK"/>
    <n v="10"/>
    <m/>
    <m/>
    <s v="A"/>
    <m/>
    <m/>
    <m/>
    <m/>
    <m/>
    <m/>
    <m/>
    <m/>
    <m/>
    <m/>
    <m/>
    <m/>
    <s v="B"/>
    <m/>
    <s v="B"/>
    <s v="B"/>
    <s v="B"/>
    <m/>
    <m/>
    <s v="A"/>
    <m/>
    <s v="A"/>
    <s v="A"/>
    <s v="A"/>
    <s v="B"/>
    <s v="B"/>
    <m/>
    <s v="A"/>
    <m/>
    <s v="A"/>
    <s v="A"/>
    <s v="B"/>
    <m/>
    <m/>
    <s v="B"/>
    <m/>
    <x v="7"/>
    <x v="6"/>
    <n v="16"/>
    <n v="0.5"/>
  </r>
  <r>
    <s v="LLLLLL"/>
    <n v="7"/>
    <m/>
    <m/>
    <m/>
    <s v="A"/>
    <m/>
    <m/>
    <m/>
    <m/>
    <m/>
    <m/>
    <m/>
    <m/>
    <m/>
    <m/>
    <m/>
    <s v="B"/>
    <m/>
    <s v="B"/>
    <s v="B"/>
    <s v="B"/>
    <m/>
    <m/>
    <s v="A"/>
    <m/>
    <s v="A"/>
    <s v="A"/>
    <s v="A"/>
    <s v="B"/>
    <s v="B"/>
    <m/>
    <s v="A"/>
    <m/>
    <s v="A"/>
    <s v="A"/>
    <s v="B"/>
    <m/>
    <m/>
    <s v="B"/>
    <m/>
    <x v="7"/>
    <x v="6"/>
    <n v="16"/>
    <n v="0.5"/>
  </r>
  <r>
    <s v="COMPETENCIAS EXIGIDAS"/>
    <n v="10"/>
    <s v="E"/>
    <s v="E"/>
    <s v="E"/>
    <s v="E"/>
    <m/>
    <m/>
    <m/>
    <m/>
    <m/>
    <m/>
    <m/>
    <m/>
    <m/>
    <m/>
    <m/>
    <s v="E"/>
    <m/>
    <m/>
    <s v="E"/>
    <s v="E"/>
    <s v="E"/>
    <m/>
    <s v="E"/>
    <m/>
    <s v="E"/>
    <s v="E"/>
    <s v="E"/>
    <s v="E"/>
    <s v="E"/>
    <m/>
    <s v="E"/>
    <s v="E"/>
    <s v="E"/>
    <s v="E"/>
    <s v="E"/>
    <s v="E"/>
    <m/>
    <s v="E"/>
    <m/>
    <x v="0"/>
    <x v="0"/>
    <m/>
    <m/>
  </r>
  <r>
    <s v="MMMMM"/>
    <n v="4"/>
    <s v="A"/>
    <m/>
    <m/>
    <m/>
    <m/>
    <m/>
    <m/>
    <m/>
    <m/>
    <m/>
    <m/>
    <m/>
    <m/>
    <m/>
    <m/>
    <s v="B"/>
    <m/>
    <m/>
    <s v="B"/>
    <s v="B"/>
    <s v="B"/>
    <m/>
    <s v="A"/>
    <m/>
    <s v="A"/>
    <s v="A"/>
    <s v="A"/>
    <s v="B"/>
    <s v="B"/>
    <m/>
    <s v="A"/>
    <s v="B"/>
    <s v="A"/>
    <s v="A"/>
    <s v="B"/>
    <s v="A"/>
    <m/>
    <s v="B"/>
    <m/>
    <x v="6"/>
    <x v="7"/>
    <n v="18"/>
    <n v="0.5"/>
  </r>
  <r>
    <s v="NNNNN"/>
    <n v="8"/>
    <m/>
    <m/>
    <m/>
    <s v="A"/>
    <m/>
    <m/>
    <m/>
    <m/>
    <m/>
    <m/>
    <m/>
    <m/>
    <m/>
    <m/>
    <m/>
    <s v="B"/>
    <m/>
    <m/>
    <s v="B"/>
    <s v="B"/>
    <s v="B"/>
    <m/>
    <s v="A"/>
    <m/>
    <s v="A"/>
    <s v="A"/>
    <s v="A"/>
    <s v="B"/>
    <s v="B"/>
    <m/>
    <s v="A"/>
    <s v="B"/>
    <s v="A"/>
    <s v="A"/>
    <s v="B"/>
    <s v="A"/>
    <m/>
    <s v="B"/>
    <m/>
    <x v="6"/>
    <x v="7"/>
    <n v="18"/>
    <n v="0.5"/>
  </r>
  <r>
    <s v="ÑÑÑÑÑ"/>
    <n v="6"/>
    <s v="A"/>
    <m/>
    <m/>
    <m/>
    <m/>
    <m/>
    <m/>
    <m/>
    <m/>
    <m/>
    <m/>
    <m/>
    <m/>
    <m/>
    <m/>
    <s v="B"/>
    <m/>
    <m/>
    <s v="B"/>
    <s v="B"/>
    <s v="B"/>
    <m/>
    <s v="A"/>
    <m/>
    <s v="A"/>
    <s v="B"/>
    <s v="A"/>
    <s v="B"/>
    <s v="B"/>
    <m/>
    <s v="A"/>
    <s v="B"/>
    <s v="A"/>
    <s v="A"/>
    <s v="B"/>
    <s v="A"/>
    <m/>
    <s v="B"/>
    <m/>
    <x v="7"/>
    <x v="8"/>
    <n v="18"/>
    <n v="0.55555555555555558"/>
  </r>
  <r>
    <s v="COMPETENCIAS EXIGIDAS"/>
    <m/>
    <s v="E"/>
    <s v="E"/>
    <s v="E"/>
    <s v="E"/>
    <m/>
    <m/>
    <m/>
    <m/>
    <m/>
    <m/>
    <m/>
    <m/>
    <m/>
    <m/>
    <m/>
    <m/>
    <m/>
    <m/>
    <s v="E"/>
    <s v="E"/>
    <s v="E"/>
    <m/>
    <s v="E"/>
    <s v="E"/>
    <s v="E"/>
    <s v="E"/>
    <s v="E"/>
    <s v="E"/>
    <s v="E"/>
    <s v="E"/>
    <s v="E"/>
    <s v="E"/>
    <s v="E"/>
    <s v="E"/>
    <m/>
    <s v="E"/>
    <m/>
    <s v="E"/>
    <m/>
    <x v="0"/>
    <x v="0"/>
    <m/>
    <m/>
  </r>
  <r>
    <s v="OOOO"/>
    <n v="3"/>
    <m/>
    <m/>
    <m/>
    <s v="A"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x v="6"/>
    <x v="9"/>
    <n v="15"/>
    <n v="0.4"/>
  </r>
  <r>
    <s v="PPPP"/>
    <n v="3"/>
    <m/>
    <m/>
    <s v="A"/>
    <m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x v="6"/>
    <x v="9"/>
    <n v="15"/>
    <n v="0.4"/>
  </r>
  <r>
    <s v="QQQ"/>
    <n v="4"/>
    <s v="A"/>
    <m/>
    <m/>
    <m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x v="6"/>
    <x v="9"/>
    <n v="15"/>
    <n v="0.4"/>
  </r>
  <r>
    <s v="RRRRR"/>
    <n v="2"/>
    <s v="A"/>
    <m/>
    <m/>
    <m/>
    <m/>
    <m/>
    <m/>
    <m/>
    <m/>
    <m/>
    <m/>
    <m/>
    <m/>
    <m/>
    <m/>
    <m/>
    <m/>
    <m/>
    <s v="A"/>
    <s v="B"/>
    <s v="B"/>
    <m/>
    <s v="A"/>
    <m/>
    <s v="A"/>
    <s v="B"/>
    <s v="A"/>
    <s v="B"/>
    <m/>
    <m/>
    <s v="A"/>
    <s v="B"/>
    <s v="A"/>
    <s v="A"/>
    <m/>
    <s v="A"/>
    <m/>
    <s v="B"/>
    <m/>
    <x v="6"/>
    <x v="9"/>
    <n v="15"/>
    <n v="0.4"/>
  </r>
  <r>
    <s v="SSSSSS"/>
    <n v="1"/>
    <m/>
    <m/>
    <m/>
    <s v="A"/>
    <m/>
    <m/>
    <m/>
    <m/>
    <m/>
    <m/>
    <m/>
    <m/>
    <m/>
    <m/>
    <m/>
    <m/>
    <m/>
    <m/>
    <s v="A"/>
    <s v="B"/>
    <s v="B"/>
    <m/>
    <s v="A"/>
    <m/>
    <s v="A"/>
    <s v="A"/>
    <s v="B"/>
    <s v="B"/>
    <m/>
    <m/>
    <s v="A"/>
    <s v="A"/>
    <s v="A"/>
    <s v="A"/>
    <m/>
    <s v="A"/>
    <m/>
    <s v="B"/>
    <m/>
    <x v="8"/>
    <x v="10"/>
    <n v="15"/>
    <n v="0.33333333333333331"/>
  </r>
  <r>
    <s v="TTTTT"/>
    <n v="1"/>
    <m/>
    <m/>
    <s v="A"/>
    <m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x v="6"/>
    <x v="9"/>
    <n v="15"/>
    <n v="0.4"/>
  </r>
  <r>
    <s v="COMPETENCIAS EXIGIDAS"/>
    <m/>
    <s v="E"/>
    <s v="E"/>
    <m/>
    <s v="E"/>
    <m/>
    <m/>
    <m/>
    <m/>
    <m/>
    <m/>
    <m/>
    <m/>
    <m/>
    <m/>
    <m/>
    <m/>
    <m/>
    <m/>
    <m/>
    <m/>
    <m/>
    <m/>
    <s v="E"/>
    <m/>
    <s v="E"/>
    <s v="E"/>
    <s v="E"/>
    <s v="E"/>
    <m/>
    <s v="E"/>
    <s v="E"/>
    <m/>
    <s v="E"/>
    <s v="E"/>
    <s v="E"/>
    <s v="E"/>
    <m/>
    <s v="E"/>
    <m/>
    <x v="0"/>
    <x v="0"/>
    <m/>
    <m/>
  </r>
  <r>
    <s v="VVVVV"/>
    <n v="10"/>
    <m/>
    <m/>
    <m/>
    <s v="A"/>
    <m/>
    <m/>
    <m/>
    <m/>
    <m/>
    <m/>
    <m/>
    <m/>
    <m/>
    <m/>
    <m/>
    <m/>
    <m/>
    <m/>
    <m/>
    <m/>
    <m/>
    <m/>
    <s v="A"/>
    <m/>
    <s v="B"/>
    <s v="A"/>
    <s v="B"/>
    <s v="B"/>
    <m/>
    <s v="A"/>
    <s v="A"/>
    <m/>
    <s v="A"/>
    <s v="A"/>
    <s v="B"/>
    <s v="A"/>
    <m/>
    <s v="B"/>
    <m/>
    <x v="7"/>
    <x v="10"/>
    <n v="13"/>
    <n v="0.38461538461538464"/>
  </r>
  <r>
    <s v="COMPETENCIAS EXIGIDAS"/>
    <n v="5"/>
    <s v="E"/>
    <s v="E"/>
    <m/>
    <s v="E"/>
    <m/>
    <m/>
    <m/>
    <m/>
    <m/>
    <m/>
    <m/>
    <m/>
    <m/>
    <m/>
    <m/>
    <m/>
    <m/>
    <m/>
    <m/>
    <m/>
    <m/>
    <m/>
    <s v="E"/>
    <m/>
    <s v="E"/>
    <s v="E"/>
    <s v="E"/>
    <s v="E"/>
    <s v="E"/>
    <s v="E"/>
    <s v="E"/>
    <s v="E"/>
    <s v="E"/>
    <s v="E"/>
    <s v="E"/>
    <s v="E"/>
    <m/>
    <s v="E"/>
    <m/>
    <x v="0"/>
    <x v="0"/>
    <m/>
    <m/>
  </r>
  <r>
    <s v="WWWWW"/>
    <n v="5"/>
    <m/>
    <m/>
    <m/>
    <m/>
    <m/>
    <m/>
    <m/>
    <m/>
    <m/>
    <m/>
    <m/>
    <m/>
    <m/>
    <m/>
    <m/>
    <m/>
    <m/>
    <m/>
    <m/>
    <m/>
    <m/>
    <m/>
    <s v="A"/>
    <m/>
    <s v="A"/>
    <s v="A"/>
    <s v="A"/>
    <s v="B"/>
    <s v="B"/>
    <m/>
    <s v="A"/>
    <s v="B"/>
    <s v="A"/>
    <s v="A"/>
    <s v="B"/>
    <s v="A"/>
    <m/>
    <s v="B"/>
    <m/>
    <x v="7"/>
    <x v="10"/>
    <n v="13"/>
    <n v="0.38461538461538464"/>
  </r>
  <r>
    <s v="XXXXX"/>
    <n v="5"/>
    <s v="A"/>
    <m/>
    <m/>
    <m/>
    <m/>
    <m/>
    <m/>
    <m/>
    <m/>
    <m/>
    <m/>
    <m/>
    <m/>
    <m/>
    <m/>
    <m/>
    <m/>
    <m/>
    <m/>
    <m/>
    <m/>
    <m/>
    <s v="A"/>
    <m/>
    <s v="A"/>
    <s v="A"/>
    <s v="A"/>
    <s v="B"/>
    <s v="B"/>
    <s v="A"/>
    <s v="A"/>
    <s v="B"/>
    <s v="A"/>
    <s v="A"/>
    <s v="B"/>
    <s v="A"/>
    <m/>
    <s v="B"/>
    <m/>
    <x v="8"/>
    <x v="10"/>
    <n v="15"/>
    <n v="0.33333333333333331"/>
  </r>
  <r>
    <s v="YYYYYY"/>
    <n v="14"/>
    <m/>
    <m/>
    <m/>
    <s v="A"/>
    <m/>
    <m/>
    <m/>
    <m/>
    <m/>
    <m/>
    <m/>
    <m/>
    <m/>
    <m/>
    <m/>
    <m/>
    <m/>
    <m/>
    <m/>
    <m/>
    <m/>
    <m/>
    <s v="A"/>
    <m/>
    <s v="A"/>
    <s v="A"/>
    <s v="A"/>
    <s v="B"/>
    <s v="B"/>
    <s v="A"/>
    <s v="A"/>
    <s v="B"/>
    <s v="A"/>
    <s v="A"/>
    <s v="B"/>
    <s v="A"/>
    <m/>
    <s v="B"/>
    <m/>
    <x v="8"/>
    <x v="10"/>
    <n v="15"/>
    <n v="0.33333333333333331"/>
  </r>
  <r>
    <s v="COMPETENCIAS EXIGIDAS"/>
    <n v="5"/>
    <m/>
    <m/>
    <s v="E"/>
    <s v="E"/>
    <m/>
    <m/>
    <m/>
    <m/>
    <m/>
    <m/>
    <m/>
    <m/>
    <m/>
    <m/>
    <m/>
    <m/>
    <m/>
    <m/>
    <m/>
    <m/>
    <m/>
    <m/>
    <s v="E"/>
    <m/>
    <s v="E"/>
    <s v="E"/>
    <s v="E"/>
    <s v="E"/>
    <s v="E"/>
    <m/>
    <s v="E"/>
    <m/>
    <s v="E"/>
    <s v="E"/>
    <s v="E"/>
    <s v="E"/>
    <m/>
    <s v="E"/>
    <m/>
    <x v="0"/>
    <x v="0"/>
    <m/>
    <m/>
  </r>
  <r>
    <s v="ZZZZZZ"/>
    <n v="21"/>
    <m/>
    <m/>
    <m/>
    <s v="A"/>
    <m/>
    <m/>
    <m/>
    <m/>
    <m/>
    <m/>
    <m/>
    <m/>
    <m/>
    <m/>
    <m/>
    <m/>
    <m/>
    <m/>
    <m/>
    <m/>
    <m/>
    <m/>
    <s v="A"/>
    <m/>
    <s v="B"/>
    <s v="B"/>
    <s v="B"/>
    <s v="B"/>
    <s v="B"/>
    <m/>
    <s v="A"/>
    <m/>
    <s v="A"/>
    <s v="A"/>
    <s v="B"/>
    <s v="A"/>
    <m/>
    <s v="B"/>
    <m/>
    <x v="4"/>
    <x v="1"/>
    <n v="13"/>
    <n v="0.53846153846153844"/>
  </r>
  <r>
    <s v="COMPETENCIAS EXIGIDAS"/>
    <n v="5"/>
    <m/>
    <m/>
    <m/>
    <s v="E"/>
    <m/>
    <m/>
    <m/>
    <m/>
    <m/>
    <m/>
    <m/>
    <m/>
    <m/>
    <m/>
    <m/>
    <m/>
    <m/>
    <m/>
    <m/>
    <m/>
    <m/>
    <m/>
    <s v="E"/>
    <m/>
    <s v="E"/>
    <s v="E"/>
    <s v="E"/>
    <s v="E"/>
    <s v="E"/>
    <m/>
    <s v="E"/>
    <m/>
    <s v="E"/>
    <s v="E"/>
    <s v="E"/>
    <s v="E"/>
    <m/>
    <s v="E"/>
    <m/>
    <x v="0"/>
    <x v="0"/>
    <m/>
    <m/>
  </r>
  <r>
    <s v="ZBZBZB"/>
    <n v="2"/>
    <s v="A"/>
    <m/>
    <m/>
    <m/>
    <m/>
    <m/>
    <m/>
    <m/>
    <m/>
    <m/>
    <m/>
    <m/>
    <m/>
    <m/>
    <m/>
    <m/>
    <m/>
    <m/>
    <m/>
    <m/>
    <m/>
    <m/>
    <s v="A"/>
    <m/>
    <s v="A"/>
    <s v="A"/>
    <s v="A"/>
    <s v="B"/>
    <s v="B"/>
    <m/>
    <s v="A"/>
    <m/>
    <s v="A"/>
    <s v="A"/>
    <s v="B"/>
    <s v="A"/>
    <m/>
    <s v="B"/>
    <m/>
    <x v="6"/>
    <x v="4"/>
    <n v="13"/>
    <n v="0.30769230769230771"/>
  </r>
  <r>
    <s v="XXAAA"/>
    <n v="5"/>
    <m/>
    <m/>
    <m/>
    <m/>
    <m/>
    <m/>
    <m/>
    <m/>
    <m/>
    <m/>
    <m/>
    <s v="E"/>
    <m/>
    <m/>
    <m/>
    <m/>
    <m/>
    <m/>
    <m/>
    <m/>
    <m/>
    <m/>
    <s v="E"/>
    <m/>
    <m/>
    <m/>
    <m/>
    <s v="E"/>
    <m/>
    <m/>
    <s v="E"/>
    <m/>
    <s v="E"/>
    <s v="E"/>
    <s v="E"/>
    <s v="E"/>
    <m/>
    <s v="E"/>
    <m/>
    <x v="0"/>
    <x v="0"/>
    <m/>
    <m/>
  </r>
  <r>
    <s v="HHHKKKKK"/>
    <n v="29"/>
    <m/>
    <m/>
    <m/>
    <m/>
    <m/>
    <m/>
    <m/>
    <m/>
    <m/>
    <m/>
    <m/>
    <s v="A"/>
    <m/>
    <m/>
    <m/>
    <m/>
    <m/>
    <m/>
    <m/>
    <m/>
    <m/>
    <m/>
    <s v="B"/>
    <m/>
    <m/>
    <m/>
    <m/>
    <s v="B"/>
    <m/>
    <m/>
    <s v="B"/>
    <m/>
    <s v="A"/>
    <s v="A"/>
    <s v="B"/>
    <s v="A"/>
    <m/>
    <s v="B"/>
    <m/>
    <x v="9"/>
    <x v="10"/>
    <n v="9"/>
    <n v="0.55555555555555558"/>
  </r>
  <r>
    <s v="LLLLBBBBB"/>
    <n v="4"/>
    <m/>
    <m/>
    <m/>
    <m/>
    <m/>
    <m/>
    <m/>
    <m/>
    <m/>
    <m/>
    <m/>
    <s v="B"/>
    <m/>
    <m/>
    <m/>
    <m/>
    <m/>
    <m/>
    <m/>
    <m/>
    <m/>
    <m/>
    <s v="B"/>
    <m/>
    <m/>
    <m/>
    <m/>
    <s v="B"/>
    <m/>
    <m/>
    <s v="A"/>
    <m/>
    <s v="A"/>
    <s v="A"/>
    <s v="B"/>
    <s v="A"/>
    <m/>
    <s v="B"/>
    <m/>
    <x v="9"/>
    <x v="10"/>
    <n v="9"/>
    <n v="0.55555555555555558"/>
  </r>
  <r>
    <s v="UUUUGGGG"/>
    <n v="10"/>
    <m/>
    <m/>
    <m/>
    <m/>
    <m/>
    <m/>
    <m/>
    <m/>
    <m/>
    <m/>
    <m/>
    <s v="B"/>
    <m/>
    <m/>
    <m/>
    <m/>
    <m/>
    <m/>
    <m/>
    <m/>
    <m/>
    <m/>
    <s v="B"/>
    <m/>
    <m/>
    <m/>
    <m/>
    <s v="B"/>
    <m/>
    <m/>
    <s v="B"/>
    <m/>
    <s v="A"/>
    <s v="A"/>
    <s v="B"/>
    <s v="A"/>
    <m/>
    <s v="B"/>
    <m/>
    <x v="10"/>
    <x v="9"/>
    <n v="9"/>
    <n v="0.66666666666666663"/>
  </r>
  <r>
    <s v="SSSSHHHH"/>
    <n v="15"/>
    <m/>
    <m/>
    <m/>
    <m/>
    <m/>
    <m/>
    <m/>
    <m/>
    <m/>
    <m/>
    <m/>
    <s v="A"/>
    <m/>
    <m/>
    <m/>
    <m/>
    <m/>
    <m/>
    <m/>
    <m/>
    <m/>
    <m/>
    <s v="B"/>
    <m/>
    <m/>
    <m/>
    <m/>
    <s v="B"/>
    <m/>
    <m/>
    <s v="A"/>
    <m/>
    <s v="A"/>
    <s v="A"/>
    <s v="B"/>
    <s v="A"/>
    <m/>
    <s v="B"/>
    <m/>
    <x v="11"/>
    <x v="4"/>
    <n v="9"/>
    <n v="0.44444444444444442"/>
  </r>
  <r>
    <s v="KKKKÑÑÑÑÑ"/>
    <n v="15"/>
    <m/>
    <m/>
    <m/>
    <m/>
    <m/>
    <m/>
    <m/>
    <m/>
    <m/>
    <m/>
    <m/>
    <s v="B"/>
    <m/>
    <m/>
    <m/>
    <m/>
    <m/>
    <m/>
    <m/>
    <m/>
    <m/>
    <m/>
    <s v="B"/>
    <m/>
    <m/>
    <m/>
    <m/>
    <s v="B"/>
    <m/>
    <m/>
    <s v="B"/>
    <m/>
    <s v="A"/>
    <s v="A"/>
    <s v="B"/>
    <s v="A"/>
    <m/>
    <s v="B"/>
    <m/>
    <x v="10"/>
    <x v="9"/>
    <n v="9"/>
    <n v="0.66666666666666663"/>
  </r>
  <r>
    <s v="YYYYXXXXX"/>
    <n v="24"/>
    <m/>
    <m/>
    <m/>
    <s v="A"/>
    <m/>
    <m/>
    <m/>
    <m/>
    <m/>
    <m/>
    <m/>
    <m/>
    <m/>
    <m/>
    <m/>
    <m/>
    <m/>
    <m/>
    <m/>
    <m/>
    <m/>
    <m/>
    <s v="A"/>
    <m/>
    <m/>
    <m/>
    <m/>
    <s v="B"/>
    <m/>
    <s v="A"/>
    <s v="A"/>
    <m/>
    <s v="A"/>
    <s v="A"/>
    <s v="B"/>
    <s v="A"/>
    <m/>
    <s v="A"/>
    <m/>
    <x v="7"/>
    <x v="2"/>
    <n v="10"/>
    <n v="0.2"/>
  </r>
  <r>
    <s v="COMPETENCIAS EXIGIDAS"/>
    <n v="4"/>
    <m/>
    <m/>
    <m/>
    <s v="E"/>
    <m/>
    <m/>
    <m/>
    <m/>
    <m/>
    <m/>
    <m/>
    <m/>
    <m/>
    <m/>
    <m/>
    <m/>
    <m/>
    <m/>
    <m/>
    <m/>
    <m/>
    <m/>
    <s v="E"/>
    <m/>
    <m/>
    <m/>
    <s v="E"/>
    <s v="E"/>
    <s v="E"/>
    <m/>
    <s v="E"/>
    <m/>
    <s v="E"/>
    <s v="E"/>
    <s v="E"/>
    <s v="E"/>
    <m/>
    <s v="E"/>
    <m/>
    <x v="0"/>
    <x v="0"/>
    <m/>
    <m/>
  </r>
  <r>
    <s v="FFFFOOO"/>
    <n v="19"/>
    <m/>
    <m/>
    <m/>
    <m/>
    <m/>
    <m/>
    <m/>
    <m/>
    <m/>
    <m/>
    <m/>
    <s v="A"/>
    <m/>
    <m/>
    <m/>
    <m/>
    <m/>
    <m/>
    <m/>
    <m/>
    <m/>
    <m/>
    <s v="A"/>
    <m/>
    <m/>
    <m/>
    <s v="B"/>
    <s v="B"/>
    <s v="B"/>
    <m/>
    <s v="B"/>
    <m/>
    <s v="A"/>
    <s v="A"/>
    <s v="B"/>
    <s v="A"/>
    <m/>
    <s v="A"/>
    <m/>
    <x v="4"/>
    <x v="10"/>
    <n v="11"/>
    <n v="0.45454545454545453"/>
  </r>
  <r>
    <s v="LLLLGGGG"/>
    <n v="16"/>
    <m/>
    <m/>
    <m/>
    <s v="A"/>
    <m/>
    <m/>
    <m/>
    <m/>
    <m/>
    <m/>
    <m/>
    <m/>
    <m/>
    <m/>
    <m/>
    <m/>
    <m/>
    <m/>
    <m/>
    <m/>
    <m/>
    <m/>
    <s v="A"/>
    <m/>
    <m/>
    <m/>
    <s v="B"/>
    <s v="B"/>
    <s v="B"/>
    <m/>
    <s v="B"/>
    <m/>
    <s v="A"/>
    <s v="A"/>
    <s v="B"/>
    <s v="A"/>
    <m/>
    <s v="B"/>
    <m/>
    <x v="11"/>
    <x v="9"/>
    <n v="11"/>
    <n v="0.54545454545454541"/>
  </r>
  <r>
    <s v="COMPETENCIAS EXIGIDAS"/>
    <n v="2"/>
    <m/>
    <m/>
    <m/>
    <m/>
    <m/>
    <m/>
    <m/>
    <m/>
    <m/>
    <m/>
    <m/>
    <s v="E"/>
    <m/>
    <m/>
    <m/>
    <m/>
    <m/>
    <m/>
    <m/>
    <m/>
    <m/>
    <m/>
    <s v="E"/>
    <s v="E"/>
    <m/>
    <m/>
    <m/>
    <m/>
    <m/>
    <m/>
    <s v="E"/>
    <m/>
    <s v="E"/>
    <s v="E"/>
    <m/>
    <s v="E"/>
    <s v="E"/>
    <m/>
    <m/>
    <x v="0"/>
    <x v="0"/>
    <m/>
    <m/>
  </r>
  <r>
    <s v="BBBBSSSSS"/>
    <n v="2"/>
    <m/>
    <m/>
    <m/>
    <m/>
    <m/>
    <m/>
    <m/>
    <m/>
    <m/>
    <m/>
    <m/>
    <s v="B"/>
    <m/>
    <m/>
    <m/>
    <m/>
    <m/>
    <m/>
    <m/>
    <m/>
    <m/>
    <m/>
    <s v="A"/>
    <s v="A"/>
    <m/>
    <m/>
    <m/>
    <m/>
    <m/>
    <m/>
    <s v="A"/>
    <m/>
    <s v="A"/>
    <s v="A"/>
    <m/>
    <s v="B"/>
    <s v="A"/>
    <m/>
    <m/>
    <x v="4"/>
    <x v="2"/>
    <n v="8"/>
    <n v="0.25"/>
  </r>
  <r>
    <s v="ÑÑÑÑÑHHHH"/>
    <n v="11"/>
    <m/>
    <m/>
    <m/>
    <m/>
    <m/>
    <m/>
    <m/>
    <m/>
    <m/>
    <m/>
    <m/>
    <s v="A"/>
    <m/>
    <m/>
    <m/>
    <m/>
    <m/>
    <m/>
    <m/>
    <m/>
    <m/>
    <m/>
    <s v="B"/>
    <s v="B"/>
    <m/>
    <m/>
    <m/>
    <m/>
    <m/>
    <m/>
    <s v="B"/>
    <m/>
    <s v="A"/>
    <s v="A"/>
    <m/>
    <s v="B"/>
    <s v="B"/>
    <m/>
    <m/>
    <x v="10"/>
    <x v="10"/>
    <n v="8"/>
    <n v="0.625"/>
  </r>
  <r>
    <s v="JJJJFFF"/>
    <n v="2"/>
    <m/>
    <m/>
    <m/>
    <m/>
    <m/>
    <m/>
    <m/>
    <m/>
    <m/>
    <m/>
    <m/>
    <s v="A"/>
    <m/>
    <m/>
    <m/>
    <m/>
    <m/>
    <m/>
    <m/>
    <m/>
    <m/>
    <m/>
    <s v="B"/>
    <s v="B"/>
    <m/>
    <m/>
    <m/>
    <m/>
    <m/>
    <m/>
    <s v="B"/>
    <m/>
    <s v="A"/>
    <s v="A"/>
    <m/>
    <s v="B"/>
    <s v="B"/>
    <m/>
    <m/>
    <x v="10"/>
    <x v="10"/>
    <n v="8"/>
    <n v="0.625"/>
  </r>
  <r>
    <s v="AAAKKKKK"/>
    <n v="2"/>
    <m/>
    <m/>
    <m/>
    <m/>
    <m/>
    <m/>
    <m/>
    <m/>
    <m/>
    <m/>
    <m/>
    <s v="A"/>
    <m/>
    <m/>
    <m/>
    <m/>
    <m/>
    <m/>
    <m/>
    <m/>
    <m/>
    <m/>
    <s v="A"/>
    <s v="A"/>
    <m/>
    <m/>
    <m/>
    <m/>
    <m/>
    <m/>
    <s v="A"/>
    <m/>
    <s v="A"/>
    <s v="A"/>
    <m/>
    <s v="B"/>
    <s v="A"/>
    <m/>
    <m/>
    <x v="3"/>
    <x v="5"/>
    <n v="8"/>
    <n v="0.125"/>
  </r>
  <r>
    <s v="DDDDDWWW"/>
    <n v="9"/>
    <m/>
    <m/>
    <m/>
    <m/>
    <m/>
    <m/>
    <m/>
    <m/>
    <m/>
    <m/>
    <m/>
    <s v="A"/>
    <m/>
    <m/>
    <m/>
    <m/>
    <m/>
    <m/>
    <m/>
    <m/>
    <m/>
    <m/>
    <s v="B"/>
    <s v="B"/>
    <m/>
    <m/>
    <m/>
    <m/>
    <m/>
    <m/>
    <s v="A"/>
    <m/>
    <s v="A"/>
    <s v="A"/>
    <m/>
    <s v="B"/>
    <s v="B"/>
    <m/>
    <m/>
    <x v="9"/>
    <x v="4"/>
    <n v="8"/>
    <n v="0.5"/>
  </r>
  <r>
    <s v="COMPETENCIAS EXIGIDAS"/>
    <n v="3"/>
    <m/>
    <m/>
    <m/>
    <m/>
    <m/>
    <m/>
    <m/>
    <m/>
    <m/>
    <s v="E"/>
    <m/>
    <m/>
    <m/>
    <m/>
    <m/>
    <m/>
    <m/>
    <m/>
    <s v="E"/>
    <s v="E"/>
    <m/>
    <m/>
    <s v="E"/>
    <s v="E"/>
    <m/>
    <m/>
    <s v="E"/>
    <s v="E"/>
    <s v="E"/>
    <s v="E"/>
    <s v="E"/>
    <m/>
    <s v="E"/>
    <s v="E"/>
    <s v="E"/>
    <m/>
    <m/>
    <m/>
    <s v="E"/>
    <x v="0"/>
    <x v="0"/>
    <m/>
    <m/>
  </r>
  <r>
    <s v="HHHHTTTT"/>
    <n v="3"/>
    <m/>
    <m/>
    <m/>
    <m/>
    <m/>
    <m/>
    <m/>
    <m/>
    <m/>
    <s v="A"/>
    <m/>
    <m/>
    <m/>
    <m/>
    <m/>
    <m/>
    <m/>
    <m/>
    <s v="B"/>
    <s v="B"/>
    <m/>
    <m/>
    <s v="A"/>
    <s v="A"/>
    <m/>
    <m/>
    <m/>
    <s v="B"/>
    <m/>
    <m/>
    <s v="A"/>
    <m/>
    <s v="A"/>
    <s v="A"/>
    <s v="B"/>
    <m/>
    <m/>
    <m/>
    <s v="B"/>
    <x v="4"/>
    <x v="10"/>
    <n v="11"/>
    <n v="0.45454545454545453"/>
  </r>
  <r>
    <s v="JJJJSSSS"/>
    <n v="3"/>
    <m/>
    <m/>
    <m/>
    <m/>
    <m/>
    <m/>
    <m/>
    <m/>
    <m/>
    <s v="A"/>
    <m/>
    <m/>
    <m/>
    <m/>
    <m/>
    <m/>
    <m/>
    <m/>
    <s v="B"/>
    <s v="B"/>
    <m/>
    <m/>
    <s v="A"/>
    <s v="A"/>
    <m/>
    <m/>
    <m/>
    <s v="B"/>
    <m/>
    <m/>
    <s v="B"/>
    <m/>
    <s v="A"/>
    <s v="A"/>
    <s v="B"/>
    <m/>
    <m/>
    <m/>
    <s v="B"/>
    <x v="11"/>
    <x v="9"/>
    <n v="11"/>
    <n v="0.54545454545454541"/>
  </r>
  <r>
    <s v="QQQQUUUU"/>
    <n v="11"/>
    <m/>
    <m/>
    <m/>
    <m/>
    <m/>
    <m/>
    <m/>
    <m/>
    <m/>
    <m/>
    <m/>
    <s v="A"/>
    <m/>
    <m/>
    <m/>
    <m/>
    <m/>
    <m/>
    <s v="B"/>
    <s v="B"/>
    <m/>
    <m/>
    <s v="A"/>
    <s v="A"/>
    <m/>
    <m/>
    <m/>
    <s v="B"/>
    <m/>
    <m/>
    <s v="A"/>
    <m/>
    <s v="A"/>
    <s v="A"/>
    <s v="A"/>
    <m/>
    <m/>
    <m/>
    <s v="B"/>
    <x v="3"/>
    <x v="4"/>
    <n v="11"/>
    <n v="0.36363636363636365"/>
  </r>
  <r>
    <s v="COMPETENCIAS EXIGIDAS"/>
    <n v="3"/>
    <m/>
    <m/>
    <m/>
    <m/>
    <m/>
    <m/>
    <s v="E"/>
    <m/>
    <m/>
    <m/>
    <m/>
    <m/>
    <m/>
    <m/>
    <m/>
    <m/>
    <m/>
    <m/>
    <s v="E"/>
    <s v="E"/>
    <m/>
    <m/>
    <s v="E"/>
    <s v="E"/>
    <s v="E"/>
    <s v="E"/>
    <s v="E"/>
    <s v="E"/>
    <m/>
    <m/>
    <s v="E"/>
    <m/>
    <s v="E"/>
    <s v="E"/>
    <s v="E"/>
    <m/>
    <m/>
    <s v="E"/>
    <m/>
    <x v="0"/>
    <x v="0"/>
    <m/>
    <m/>
  </r>
  <r>
    <s v="DDDDOOOO"/>
    <n v="3"/>
    <m/>
    <m/>
    <m/>
    <m/>
    <m/>
    <m/>
    <s v="A"/>
    <m/>
    <m/>
    <m/>
    <m/>
    <m/>
    <m/>
    <m/>
    <m/>
    <m/>
    <m/>
    <m/>
    <s v="B"/>
    <s v="B"/>
    <m/>
    <m/>
    <s v="B"/>
    <s v="B"/>
    <s v="B"/>
    <s v="B"/>
    <s v="B"/>
    <s v="B"/>
    <m/>
    <m/>
    <s v="A"/>
    <m/>
    <s v="A"/>
    <s v="A"/>
    <s v="B"/>
    <m/>
    <m/>
    <s v="B"/>
    <m/>
    <x v="9"/>
    <x v="8"/>
    <n v="14"/>
    <n v="0.7142857142857143"/>
  </r>
  <r>
    <s v="UUUURRRR"/>
    <n v="5"/>
    <m/>
    <m/>
    <m/>
    <m/>
    <m/>
    <m/>
    <s v="A"/>
    <m/>
    <m/>
    <m/>
    <m/>
    <m/>
    <m/>
    <m/>
    <m/>
    <m/>
    <m/>
    <m/>
    <s v="B"/>
    <s v="B"/>
    <m/>
    <m/>
    <s v="A"/>
    <s v="B"/>
    <s v="B"/>
    <s v="B"/>
    <s v="B"/>
    <s v="B"/>
    <m/>
    <m/>
    <s v="A"/>
    <m/>
    <s v="A"/>
    <s v="A"/>
    <s v="B"/>
    <m/>
    <m/>
    <s v="B"/>
    <m/>
    <x v="11"/>
    <x v="7"/>
    <n v="14"/>
    <n v="0.6428571428571429"/>
  </r>
  <r>
    <s v="COMPETENCIAS EXIGIDAS"/>
    <n v="5"/>
    <m/>
    <m/>
    <m/>
    <m/>
    <m/>
    <m/>
    <m/>
    <m/>
    <s v="E"/>
    <m/>
    <m/>
    <m/>
    <m/>
    <m/>
    <m/>
    <m/>
    <m/>
    <m/>
    <m/>
    <m/>
    <m/>
    <m/>
    <s v="E"/>
    <s v="E"/>
    <m/>
    <m/>
    <s v="E"/>
    <s v="E"/>
    <m/>
    <m/>
    <s v="E"/>
    <m/>
    <s v="E"/>
    <s v="E"/>
    <m/>
    <s v="E"/>
    <m/>
    <m/>
    <s v="E"/>
    <x v="0"/>
    <x v="0"/>
    <m/>
    <m/>
  </r>
  <r>
    <s v="DDDDSSSS"/>
    <n v="18"/>
    <m/>
    <m/>
    <m/>
    <m/>
    <m/>
    <m/>
    <m/>
    <m/>
    <s v="A"/>
    <m/>
    <m/>
    <m/>
    <m/>
    <m/>
    <m/>
    <m/>
    <m/>
    <m/>
    <m/>
    <m/>
    <m/>
    <m/>
    <s v="A"/>
    <s v="A"/>
    <m/>
    <m/>
    <s v="B"/>
    <s v="B"/>
    <m/>
    <m/>
    <s v="A"/>
    <m/>
    <s v="A"/>
    <s v="A"/>
    <m/>
    <s v="A"/>
    <m/>
    <m/>
    <s v="B"/>
    <x v="3"/>
    <x v="3"/>
    <n v="10"/>
    <n v="0.3"/>
  </r>
  <r>
    <s v="COMPETENCIAS EXIGIDAS"/>
    <m/>
    <m/>
    <m/>
    <m/>
    <m/>
    <m/>
    <m/>
    <m/>
    <m/>
    <m/>
    <s v="E"/>
    <m/>
    <m/>
    <m/>
    <m/>
    <m/>
    <m/>
    <m/>
    <m/>
    <m/>
    <m/>
    <m/>
    <m/>
    <s v="E"/>
    <s v="E"/>
    <m/>
    <m/>
    <m/>
    <s v="E"/>
    <m/>
    <m/>
    <s v="E"/>
    <m/>
    <s v="E"/>
    <s v="E"/>
    <s v="E"/>
    <m/>
    <m/>
    <m/>
    <s v="E"/>
    <x v="0"/>
    <x v="0"/>
    <m/>
    <m/>
  </r>
  <r>
    <s v="OOOOPPPP"/>
    <n v="3"/>
    <m/>
    <m/>
    <m/>
    <m/>
    <m/>
    <m/>
    <m/>
    <m/>
    <m/>
    <s v="A"/>
    <m/>
    <m/>
    <m/>
    <m/>
    <m/>
    <m/>
    <m/>
    <m/>
    <m/>
    <m/>
    <m/>
    <m/>
    <s v="A"/>
    <s v="A"/>
    <m/>
    <m/>
    <m/>
    <s v="B"/>
    <m/>
    <m/>
    <s v="A"/>
    <m/>
    <s v="A"/>
    <s v="A"/>
    <s v="B"/>
    <m/>
    <m/>
    <m/>
    <s v="B"/>
    <x v="4"/>
    <x v="3"/>
    <n v="9"/>
    <n v="0.333333333333333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x v="0"/>
    <n v="15"/>
    <s v="E"/>
    <m/>
    <m/>
    <m/>
    <s v="E"/>
    <m/>
    <m/>
    <m/>
    <m/>
    <m/>
    <m/>
    <m/>
    <s v="E"/>
    <s v="E"/>
    <s v="E"/>
    <m/>
    <s v="E"/>
    <s v="E"/>
    <s v="E"/>
    <s v="E"/>
    <m/>
    <m/>
    <s v="E"/>
    <m/>
    <s v="E"/>
    <s v="E"/>
    <s v="E"/>
    <s v="E"/>
    <s v="E"/>
    <s v="E"/>
    <s v="E"/>
    <m/>
    <s v="E"/>
    <s v="E"/>
    <s v="E"/>
    <m/>
    <m/>
    <s v="E"/>
    <m/>
    <m/>
    <m/>
    <m/>
    <m/>
  </r>
  <r>
    <x v="0"/>
    <x v="1"/>
    <n v="15"/>
    <s v="A"/>
    <m/>
    <m/>
    <m/>
    <m/>
    <m/>
    <m/>
    <m/>
    <m/>
    <m/>
    <m/>
    <m/>
    <s v="B"/>
    <s v="A"/>
    <s v="A"/>
    <m/>
    <s v="B"/>
    <s v="B"/>
    <s v="A"/>
    <s v="B"/>
    <m/>
    <m/>
    <s v="A"/>
    <m/>
    <s v="A"/>
    <s v="A"/>
    <s v="B"/>
    <s v="A"/>
    <s v="B"/>
    <s v="A"/>
    <s v="A"/>
    <m/>
    <s v="A"/>
    <s v="A"/>
    <s v="B"/>
    <m/>
    <m/>
    <s v="A"/>
    <m/>
    <n v="13"/>
    <n v="7"/>
    <n v="20"/>
    <n v="0.35"/>
  </r>
  <r>
    <x v="1"/>
    <x v="0"/>
    <n v="15"/>
    <s v="E"/>
    <m/>
    <m/>
    <m/>
    <m/>
    <s v="E"/>
    <m/>
    <m/>
    <m/>
    <m/>
    <m/>
    <m/>
    <m/>
    <s v="E"/>
    <s v="E"/>
    <s v="E"/>
    <s v="E"/>
    <s v="E"/>
    <s v="E"/>
    <s v="E"/>
    <s v="E"/>
    <s v="E"/>
    <s v="E"/>
    <s v="E"/>
    <s v="E"/>
    <m/>
    <s v="E"/>
    <m/>
    <s v="E"/>
    <s v="E"/>
    <m/>
    <m/>
    <s v="E"/>
    <s v="E"/>
    <s v="E"/>
    <m/>
    <m/>
    <s v="E"/>
    <s v="E"/>
    <m/>
    <m/>
    <m/>
    <m/>
  </r>
  <r>
    <x v="1"/>
    <x v="2"/>
    <n v="15"/>
    <m/>
    <m/>
    <m/>
    <m/>
    <m/>
    <s v="A"/>
    <m/>
    <m/>
    <m/>
    <m/>
    <m/>
    <m/>
    <m/>
    <s v="A"/>
    <s v="A"/>
    <s v="A"/>
    <s v="A"/>
    <s v="A"/>
    <s v="A"/>
    <s v="A"/>
    <s v="B"/>
    <s v="A"/>
    <s v="A"/>
    <s v="A"/>
    <s v="A"/>
    <s v="A"/>
    <m/>
    <s v="A"/>
    <m/>
    <s v="A"/>
    <s v="A"/>
    <s v="A"/>
    <s v="A"/>
    <s v="A"/>
    <s v="B"/>
    <m/>
    <m/>
    <s v="A"/>
    <m/>
    <n v="20"/>
    <n v="2"/>
    <n v="22"/>
    <n v="9.0909090909090912E-2"/>
  </r>
  <r>
    <x v="2"/>
    <x v="0"/>
    <n v="15"/>
    <m/>
    <m/>
    <m/>
    <m/>
    <m/>
    <s v="E"/>
    <m/>
    <m/>
    <m/>
    <m/>
    <m/>
    <m/>
    <m/>
    <s v="E"/>
    <m/>
    <m/>
    <m/>
    <m/>
    <s v="E"/>
    <m/>
    <m/>
    <m/>
    <m/>
    <m/>
    <s v="E"/>
    <m/>
    <m/>
    <s v="E"/>
    <m/>
    <m/>
    <s v="E"/>
    <m/>
    <s v="E"/>
    <s v="E"/>
    <s v="E"/>
    <m/>
    <m/>
    <s v="E"/>
    <m/>
    <m/>
    <m/>
    <m/>
    <m/>
  </r>
  <r>
    <x v="2"/>
    <x v="3"/>
    <n v="15"/>
    <m/>
    <m/>
    <m/>
    <m/>
    <m/>
    <s v="A"/>
    <m/>
    <m/>
    <m/>
    <m/>
    <m/>
    <m/>
    <m/>
    <s v="A"/>
    <m/>
    <m/>
    <m/>
    <m/>
    <s v="A"/>
    <m/>
    <m/>
    <m/>
    <m/>
    <m/>
    <s v="A"/>
    <m/>
    <m/>
    <s v="B"/>
    <m/>
    <m/>
    <s v="A"/>
    <m/>
    <s v="A"/>
    <s v="A"/>
    <s v="B"/>
    <m/>
    <m/>
    <s v="B"/>
    <m/>
    <n v="7"/>
    <n v="3"/>
    <n v="10"/>
    <n v="0.3"/>
  </r>
  <r>
    <x v="3"/>
    <x v="0"/>
    <n v="15"/>
    <m/>
    <m/>
    <m/>
    <m/>
    <m/>
    <s v="E"/>
    <m/>
    <m/>
    <m/>
    <m/>
    <m/>
    <m/>
    <m/>
    <s v="E"/>
    <m/>
    <m/>
    <m/>
    <m/>
    <s v="E"/>
    <s v="E"/>
    <m/>
    <m/>
    <m/>
    <m/>
    <m/>
    <m/>
    <m/>
    <s v="E"/>
    <m/>
    <m/>
    <s v="E"/>
    <m/>
    <s v="E"/>
    <s v="E"/>
    <s v="E"/>
    <m/>
    <m/>
    <s v="E"/>
    <m/>
    <m/>
    <m/>
    <m/>
    <m/>
  </r>
  <r>
    <x v="3"/>
    <x v="4"/>
    <m/>
    <m/>
    <m/>
    <m/>
    <m/>
    <m/>
    <s v="A"/>
    <m/>
    <m/>
    <m/>
    <m/>
    <m/>
    <m/>
    <m/>
    <s v="B"/>
    <m/>
    <m/>
    <m/>
    <m/>
    <s v="A"/>
    <s v="A"/>
    <m/>
    <m/>
    <m/>
    <m/>
    <m/>
    <m/>
    <m/>
    <s v="A"/>
    <m/>
    <m/>
    <s v="B"/>
    <m/>
    <s v="A"/>
    <s v="A"/>
    <s v="B"/>
    <m/>
    <m/>
    <s v="B"/>
    <m/>
    <n v="6"/>
    <n v="4"/>
    <n v="10"/>
    <n v="0.4"/>
  </r>
  <r>
    <x v="4"/>
    <x v="0"/>
    <n v="10"/>
    <s v="E"/>
    <m/>
    <m/>
    <m/>
    <m/>
    <m/>
    <m/>
    <m/>
    <m/>
    <m/>
    <m/>
    <m/>
    <s v="E"/>
    <s v="E"/>
    <s v="E"/>
    <m/>
    <m/>
    <s v="E"/>
    <s v="E"/>
    <s v="E"/>
    <s v="E"/>
    <s v="E"/>
    <m/>
    <m/>
    <s v="E"/>
    <s v="E"/>
    <s v="E"/>
    <s v="E"/>
    <s v="E"/>
    <s v="E"/>
    <s v="E"/>
    <m/>
    <s v="E"/>
    <s v="E"/>
    <s v="E"/>
    <m/>
    <m/>
    <s v="E"/>
    <m/>
    <m/>
    <m/>
    <m/>
    <m/>
  </r>
  <r>
    <x v="4"/>
    <x v="5"/>
    <n v="10"/>
    <s v="A"/>
    <m/>
    <m/>
    <m/>
    <m/>
    <m/>
    <m/>
    <m/>
    <m/>
    <m/>
    <m/>
    <m/>
    <s v="A"/>
    <s v="A"/>
    <s v="A"/>
    <m/>
    <m/>
    <s v="B"/>
    <s v="A"/>
    <s v="A"/>
    <s v="B"/>
    <s v="B"/>
    <m/>
    <m/>
    <s v="A"/>
    <s v="A"/>
    <s v="A"/>
    <s v="A"/>
    <s v="A"/>
    <s v="A"/>
    <s v="A"/>
    <m/>
    <s v="A"/>
    <s v="A"/>
    <s v="A"/>
    <m/>
    <m/>
    <s v="A"/>
    <m/>
    <n v="17"/>
    <n v="3"/>
    <n v="20"/>
    <n v="0.15"/>
  </r>
  <r>
    <x v="5"/>
    <x v="0"/>
    <n v="4"/>
    <m/>
    <m/>
    <m/>
    <m/>
    <m/>
    <m/>
    <m/>
    <m/>
    <m/>
    <m/>
    <s v="E"/>
    <m/>
    <m/>
    <m/>
    <m/>
    <m/>
    <m/>
    <s v="E"/>
    <m/>
    <m/>
    <m/>
    <s v="E"/>
    <s v="E"/>
    <s v="E"/>
    <s v="E"/>
    <m/>
    <m/>
    <s v="E"/>
    <m/>
    <s v="E"/>
    <s v="E"/>
    <m/>
    <s v="E"/>
    <m/>
    <m/>
    <m/>
    <m/>
    <m/>
    <s v="E"/>
    <m/>
    <m/>
    <m/>
    <m/>
  </r>
  <r>
    <x v="5"/>
    <x v="6"/>
    <n v="6"/>
    <m/>
    <m/>
    <m/>
    <m/>
    <m/>
    <m/>
    <m/>
    <m/>
    <m/>
    <m/>
    <s v="A"/>
    <m/>
    <m/>
    <m/>
    <m/>
    <m/>
    <m/>
    <s v="B"/>
    <m/>
    <m/>
    <m/>
    <s v="A"/>
    <s v="A"/>
    <s v="A"/>
    <s v="B"/>
    <m/>
    <m/>
    <s v="B"/>
    <m/>
    <s v="A"/>
    <s v="A"/>
    <m/>
    <s v="A"/>
    <m/>
    <m/>
    <m/>
    <m/>
    <m/>
    <s v="A"/>
    <n v="7"/>
    <n v="3"/>
    <n v="10"/>
    <n v="0.3"/>
  </r>
  <r>
    <x v="6"/>
    <x v="0"/>
    <n v="4"/>
    <m/>
    <m/>
    <m/>
    <m/>
    <m/>
    <m/>
    <m/>
    <m/>
    <m/>
    <m/>
    <s v="E"/>
    <m/>
    <m/>
    <m/>
    <m/>
    <m/>
    <m/>
    <s v="E"/>
    <m/>
    <m/>
    <m/>
    <s v="E"/>
    <s v="E"/>
    <s v="E"/>
    <s v="E"/>
    <m/>
    <m/>
    <s v="E"/>
    <m/>
    <s v="E"/>
    <s v="E"/>
    <m/>
    <s v="E"/>
    <m/>
    <m/>
    <m/>
    <m/>
    <m/>
    <s v="E"/>
    <m/>
    <m/>
    <m/>
    <m/>
  </r>
  <r>
    <x v="6"/>
    <x v="7"/>
    <n v="6"/>
    <m/>
    <m/>
    <m/>
    <m/>
    <m/>
    <m/>
    <m/>
    <m/>
    <m/>
    <m/>
    <s v="A"/>
    <m/>
    <m/>
    <m/>
    <m/>
    <m/>
    <m/>
    <s v="A"/>
    <m/>
    <m/>
    <m/>
    <s v="A"/>
    <s v="A"/>
    <s v="A"/>
    <s v="A"/>
    <m/>
    <m/>
    <s v="B"/>
    <m/>
    <s v="A"/>
    <s v="A"/>
    <m/>
    <s v="A"/>
    <m/>
    <m/>
    <m/>
    <m/>
    <m/>
    <s v="A"/>
    <n v="9"/>
    <n v="1"/>
    <n v="10"/>
    <n v="0.1"/>
  </r>
  <r>
    <x v="7"/>
    <x v="0"/>
    <m/>
    <m/>
    <m/>
    <m/>
    <s v="E"/>
    <m/>
    <m/>
    <m/>
    <m/>
    <m/>
    <m/>
    <m/>
    <m/>
    <m/>
    <m/>
    <m/>
    <m/>
    <m/>
    <m/>
    <s v="E"/>
    <s v="E"/>
    <s v="E"/>
    <s v="E"/>
    <s v="E"/>
    <s v="E"/>
    <s v="E"/>
    <s v="E"/>
    <s v="E"/>
    <m/>
    <s v="E"/>
    <s v="E"/>
    <s v="E"/>
    <s v="E"/>
    <s v="E"/>
    <m/>
    <m/>
    <s v="E"/>
    <m/>
    <m/>
    <s v="E"/>
    <m/>
    <m/>
    <m/>
    <m/>
  </r>
  <r>
    <x v="7"/>
    <x v="8"/>
    <n v="1"/>
    <m/>
    <m/>
    <m/>
    <s v="A"/>
    <m/>
    <m/>
    <m/>
    <m/>
    <m/>
    <m/>
    <m/>
    <m/>
    <m/>
    <m/>
    <m/>
    <m/>
    <m/>
    <m/>
    <s v="A"/>
    <s v="B"/>
    <s v="B"/>
    <s v="A"/>
    <s v="A"/>
    <s v="A"/>
    <s v="A"/>
    <s v="A"/>
    <s v="A"/>
    <m/>
    <s v="B"/>
    <s v="A"/>
    <s v="A"/>
    <s v="A"/>
    <s v="A"/>
    <m/>
    <m/>
    <s v="A"/>
    <m/>
    <m/>
    <s v="B"/>
    <n v="13"/>
    <n v="4"/>
    <n v="17"/>
    <n v="0.23529411764705882"/>
  </r>
  <r>
    <x v="8"/>
    <x v="0"/>
    <n v="2"/>
    <m/>
    <m/>
    <m/>
    <s v="E"/>
    <m/>
    <m/>
    <m/>
    <m/>
    <m/>
    <m/>
    <m/>
    <m/>
    <m/>
    <m/>
    <m/>
    <m/>
    <m/>
    <m/>
    <s v="E"/>
    <s v="E"/>
    <s v="E"/>
    <s v="E"/>
    <s v="E"/>
    <s v="E"/>
    <s v="E"/>
    <s v="E"/>
    <s v="E"/>
    <m/>
    <s v="E"/>
    <s v="E"/>
    <s v="E"/>
    <m/>
    <s v="E"/>
    <m/>
    <m/>
    <s v="E"/>
    <m/>
    <m/>
    <s v="E"/>
    <m/>
    <m/>
    <m/>
    <m/>
  </r>
  <r>
    <x v="8"/>
    <x v="9"/>
    <n v="7"/>
    <s v="A"/>
    <m/>
    <m/>
    <m/>
    <m/>
    <m/>
    <m/>
    <m/>
    <m/>
    <m/>
    <m/>
    <m/>
    <m/>
    <m/>
    <m/>
    <m/>
    <m/>
    <m/>
    <s v="A"/>
    <s v="A"/>
    <s v="B"/>
    <s v="A"/>
    <s v="A"/>
    <s v="A"/>
    <s v="A"/>
    <s v="A"/>
    <s v="A"/>
    <m/>
    <s v="B"/>
    <s v="A"/>
    <s v="A"/>
    <m/>
    <s v="A"/>
    <m/>
    <m/>
    <s v="A"/>
    <m/>
    <m/>
    <s v="B"/>
    <n v="13"/>
    <n v="3"/>
    <n v="16"/>
    <n v="0.1875"/>
  </r>
  <r>
    <x v="9"/>
    <x v="0"/>
    <n v="10"/>
    <s v="E"/>
    <s v="E"/>
    <s v="E"/>
    <m/>
    <s v="E"/>
    <m/>
    <m/>
    <m/>
    <m/>
    <m/>
    <m/>
    <m/>
    <m/>
    <m/>
    <m/>
    <s v="E"/>
    <m/>
    <s v="E"/>
    <s v="E"/>
    <s v="E"/>
    <m/>
    <m/>
    <s v="E"/>
    <m/>
    <s v="E"/>
    <s v="E"/>
    <s v="E"/>
    <s v="E"/>
    <s v="E"/>
    <m/>
    <s v="E"/>
    <m/>
    <s v="E"/>
    <s v="E"/>
    <s v="E"/>
    <m/>
    <m/>
    <s v="E"/>
    <m/>
    <m/>
    <m/>
    <m/>
    <m/>
  </r>
  <r>
    <x v="9"/>
    <x v="10"/>
    <n v="10"/>
    <m/>
    <m/>
    <s v="A"/>
    <m/>
    <m/>
    <m/>
    <m/>
    <m/>
    <m/>
    <m/>
    <m/>
    <m/>
    <m/>
    <m/>
    <m/>
    <s v="B"/>
    <m/>
    <s v="B"/>
    <s v="B"/>
    <s v="B"/>
    <m/>
    <m/>
    <s v="A"/>
    <m/>
    <s v="A"/>
    <s v="A"/>
    <s v="A"/>
    <s v="B"/>
    <s v="B"/>
    <m/>
    <s v="A"/>
    <m/>
    <s v="A"/>
    <s v="A"/>
    <s v="B"/>
    <m/>
    <m/>
    <s v="B"/>
    <m/>
    <n v="8"/>
    <n v="8"/>
    <n v="16"/>
    <n v="0.5"/>
  </r>
  <r>
    <x v="9"/>
    <x v="11"/>
    <n v="7"/>
    <m/>
    <m/>
    <m/>
    <s v="A"/>
    <m/>
    <m/>
    <m/>
    <m/>
    <m/>
    <m/>
    <m/>
    <m/>
    <m/>
    <m/>
    <m/>
    <s v="B"/>
    <m/>
    <s v="B"/>
    <s v="B"/>
    <s v="B"/>
    <m/>
    <m/>
    <s v="A"/>
    <m/>
    <s v="A"/>
    <s v="A"/>
    <s v="A"/>
    <s v="B"/>
    <s v="B"/>
    <m/>
    <s v="A"/>
    <m/>
    <s v="A"/>
    <s v="A"/>
    <s v="B"/>
    <m/>
    <m/>
    <s v="B"/>
    <m/>
    <n v="8"/>
    <n v="8"/>
    <n v="16"/>
    <n v="0.5"/>
  </r>
  <r>
    <x v="10"/>
    <x v="0"/>
    <n v="10"/>
    <s v="E"/>
    <s v="E"/>
    <s v="E"/>
    <s v="E"/>
    <m/>
    <m/>
    <m/>
    <m/>
    <m/>
    <m/>
    <m/>
    <m/>
    <m/>
    <m/>
    <m/>
    <s v="E"/>
    <m/>
    <m/>
    <s v="E"/>
    <s v="E"/>
    <s v="E"/>
    <m/>
    <s v="E"/>
    <m/>
    <s v="E"/>
    <s v="E"/>
    <s v="E"/>
    <s v="E"/>
    <s v="E"/>
    <m/>
    <s v="E"/>
    <s v="E"/>
    <s v="E"/>
    <s v="E"/>
    <s v="E"/>
    <s v="E"/>
    <m/>
    <s v="E"/>
    <m/>
    <m/>
    <m/>
    <m/>
    <m/>
  </r>
  <r>
    <x v="10"/>
    <x v="12"/>
    <n v="4"/>
    <s v="A"/>
    <m/>
    <m/>
    <m/>
    <m/>
    <m/>
    <m/>
    <m/>
    <m/>
    <m/>
    <m/>
    <m/>
    <m/>
    <m/>
    <m/>
    <s v="B"/>
    <m/>
    <m/>
    <s v="B"/>
    <s v="B"/>
    <s v="B"/>
    <m/>
    <s v="A"/>
    <m/>
    <s v="A"/>
    <s v="A"/>
    <s v="A"/>
    <s v="B"/>
    <s v="B"/>
    <m/>
    <s v="A"/>
    <s v="B"/>
    <s v="A"/>
    <s v="A"/>
    <s v="B"/>
    <s v="A"/>
    <m/>
    <s v="B"/>
    <m/>
    <n v="9"/>
    <n v="9"/>
    <n v="18"/>
    <n v="0.5"/>
  </r>
  <r>
    <x v="10"/>
    <x v="13"/>
    <n v="8"/>
    <m/>
    <m/>
    <m/>
    <s v="A"/>
    <m/>
    <m/>
    <m/>
    <m/>
    <m/>
    <m/>
    <m/>
    <m/>
    <m/>
    <m/>
    <m/>
    <s v="B"/>
    <m/>
    <m/>
    <s v="B"/>
    <s v="B"/>
    <s v="B"/>
    <m/>
    <s v="A"/>
    <m/>
    <s v="A"/>
    <s v="A"/>
    <s v="A"/>
    <s v="B"/>
    <s v="B"/>
    <m/>
    <s v="A"/>
    <s v="B"/>
    <s v="A"/>
    <s v="A"/>
    <s v="B"/>
    <s v="A"/>
    <m/>
    <s v="B"/>
    <m/>
    <n v="9"/>
    <n v="9"/>
    <n v="18"/>
    <n v="0.5"/>
  </r>
  <r>
    <x v="10"/>
    <x v="14"/>
    <n v="6"/>
    <s v="A"/>
    <m/>
    <m/>
    <m/>
    <m/>
    <m/>
    <m/>
    <m/>
    <m/>
    <m/>
    <m/>
    <m/>
    <m/>
    <m/>
    <m/>
    <s v="B"/>
    <m/>
    <m/>
    <s v="B"/>
    <s v="B"/>
    <s v="B"/>
    <m/>
    <s v="A"/>
    <m/>
    <s v="A"/>
    <s v="B"/>
    <s v="A"/>
    <s v="B"/>
    <s v="B"/>
    <m/>
    <s v="A"/>
    <s v="B"/>
    <s v="A"/>
    <s v="A"/>
    <s v="B"/>
    <s v="A"/>
    <m/>
    <s v="B"/>
    <m/>
    <n v="8"/>
    <n v="10"/>
    <n v="18"/>
    <n v="0.55555555555555558"/>
  </r>
  <r>
    <x v="11"/>
    <x v="0"/>
    <m/>
    <s v="E"/>
    <s v="E"/>
    <s v="E"/>
    <s v="E"/>
    <m/>
    <m/>
    <m/>
    <m/>
    <m/>
    <m/>
    <m/>
    <m/>
    <m/>
    <m/>
    <m/>
    <m/>
    <m/>
    <m/>
    <s v="E"/>
    <s v="E"/>
    <s v="E"/>
    <m/>
    <s v="E"/>
    <s v="E"/>
    <s v="E"/>
    <s v="E"/>
    <s v="E"/>
    <s v="E"/>
    <s v="E"/>
    <s v="E"/>
    <s v="E"/>
    <s v="E"/>
    <s v="E"/>
    <s v="E"/>
    <m/>
    <s v="E"/>
    <m/>
    <s v="E"/>
    <m/>
    <m/>
    <m/>
    <m/>
    <m/>
  </r>
  <r>
    <x v="11"/>
    <x v="15"/>
    <n v="3"/>
    <m/>
    <m/>
    <m/>
    <s v="A"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n v="9"/>
    <n v="6"/>
    <n v="15"/>
    <n v="0.4"/>
  </r>
  <r>
    <x v="11"/>
    <x v="16"/>
    <n v="3"/>
    <m/>
    <m/>
    <s v="A"/>
    <m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n v="9"/>
    <n v="6"/>
    <n v="15"/>
    <n v="0.4"/>
  </r>
  <r>
    <x v="11"/>
    <x v="17"/>
    <n v="4"/>
    <s v="A"/>
    <m/>
    <m/>
    <m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n v="9"/>
    <n v="6"/>
    <n v="15"/>
    <n v="0.4"/>
  </r>
  <r>
    <x v="11"/>
    <x v="18"/>
    <n v="2"/>
    <s v="A"/>
    <m/>
    <m/>
    <m/>
    <m/>
    <m/>
    <m/>
    <m/>
    <m/>
    <m/>
    <m/>
    <m/>
    <m/>
    <m/>
    <m/>
    <m/>
    <m/>
    <m/>
    <s v="A"/>
    <s v="B"/>
    <s v="B"/>
    <m/>
    <s v="A"/>
    <m/>
    <s v="A"/>
    <s v="B"/>
    <s v="A"/>
    <s v="B"/>
    <m/>
    <m/>
    <s v="A"/>
    <s v="B"/>
    <s v="A"/>
    <s v="A"/>
    <m/>
    <s v="A"/>
    <m/>
    <s v="B"/>
    <m/>
    <n v="9"/>
    <n v="6"/>
    <n v="15"/>
    <n v="0.4"/>
  </r>
  <r>
    <x v="11"/>
    <x v="19"/>
    <n v="1"/>
    <m/>
    <m/>
    <m/>
    <s v="A"/>
    <m/>
    <m/>
    <m/>
    <m/>
    <m/>
    <m/>
    <m/>
    <m/>
    <m/>
    <m/>
    <m/>
    <m/>
    <m/>
    <m/>
    <s v="A"/>
    <s v="B"/>
    <s v="B"/>
    <m/>
    <s v="A"/>
    <m/>
    <s v="A"/>
    <s v="A"/>
    <s v="B"/>
    <s v="B"/>
    <m/>
    <m/>
    <s v="A"/>
    <s v="A"/>
    <s v="A"/>
    <s v="A"/>
    <m/>
    <s v="A"/>
    <m/>
    <s v="B"/>
    <m/>
    <n v="10"/>
    <n v="5"/>
    <n v="15"/>
    <n v="0.33333333333333331"/>
  </r>
  <r>
    <x v="11"/>
    <x v="20"/>
    <n v="1"/>
    <m/>
    <m/>
    <s v="A"/>
    <m/>
    <m/>
    <m/>
    <m/>
    <m/>
    <m/>
    <m/>
    <m/>
    <m/>
    <m/>
    <m/>
    <m/>
    <m/>
    <m/>
    <m/>
    <s v="B"/>
    <s v="B"/>
    <s v="B"/>
    <m/>
    <s v="A"/>
    <m/>
    <s v="A"/>
    <s v="A"/>
    <s v="A"/>
    <s v="B"/>
    <m/>
    <m/>
    <s v="A"/>
    <s v="B"/>
    <s v="A"/>
    <s v="A"/>
    <m/>
    <s v="A"/>
    <m/>
    <s v="B"/>
    <m/>
    <n v="9"/>
    <n v="6"/>
    <n v="15"/>
    <n v="0.4"/>
  </r>
  <r>
    <x v="12"/>
    <x v="0"/>
    <m/>
    <s v="E"/>
    <s v="E"/>
    <m/>
    <s v="E"/>
    <m/>
    <m/>
    <m/>
    <m/>
    <m/>
    <m/>
    <m/>
    <m/>
    <m/>
    <m/>
    <m/>
    <m/>
    <m/>
    <m/>
    <m/>
    <m/>
    <m/>
    <m/>
    <s v="E"/>
    <m/>
    <s v="E"/>
    <s v="E"/>
    <s v="E"/>
    <s v="E"/>
    <m/>
    <s v="E"/>
    <s v="E"/>
    <m/>
    <s v="E"/>
    <s v="E"/>
    <s v="E"/>
    <s v="E"/>
    <m/>
    <s v="E"/>
    <m/>
    <m/>
    <m/>
    <m/>
    <m/>
  </r>
  <r>
    <x v="12"/>
    <x v="21"/>
    <n v="10"/>
    <m/>
    <m/>
    <m/>
    <s v="A"/>
    <m/>
    <m/>
    <m/>
    <m/>
    <m/>
    <m/>
    <m/>
    <m/>
    <m/>
    <m/>
    <m/>
    <m/>
    <m/>
    <m/>
    <m/>
    <m/>
    <m/>
    <m/>
    <s v="A"/>
    <m/>
    <s v="B"/>
    <s v="A"/>
    <s v="B"/>
    <s v="B"/>
    <m/>
    <s v="A"/>
    <s v="A"/>
    <m/>
    <s v="A"/>
    <s v="A"/>
    <s v="B"/>
    <s v="A"/>
    <m/>
    <s v="B"/>
    <m/>
    <n v="8"/>
    <n v="5"/>
    <n v="13"/>
    <n v="0.38461538461538464"/>
  </r>
  <r>
    <x v="13"/>
    <x v="0"/>
    <n v="5"/>
    <s v="E"/>
    <s v="E"/>
    <m/>
    <s v="E"/>
    <m/>
    <m/>
    <m/>
    <m/>
    <m/>
    <m/>
    <m/>
    <m/>
    <m/>
    <m/>
    <m/>
    <m/>
    <m/>
    <m/>
    <m/>
    <m/>
    <m/>
    <m/>
    <s v="E"/>
    <m/>
    <s v="E"/>
    <s v="E"/>
    <s v="E"/>
    <s v="E"/>
    <s v="E"/>
    <s v="E"/>
    <s v="E"/>
    <s v="E"/>
    <s v="E"/>
    <s v="E"/>
    <s v="E"/>
    <s v="E"/>
    <m/>
    <s v="E"/>
    <m/>
    <m/>
    <m/>
    <m/>
    <m/>
  </r>
  <r>
    <x v="13"/>
    <x v="22"/>
    <n v="5"/>
    <m/>
    <m/>
    <m/>
    <m/>
    <m/>
    <m/>
    <m/>
    <m/>
    <m/>
    <m/>
    <m/>
    <m/>
    <m/>
    <m/>
    <m/>
    <m/>
    <m/>
    <m/>
    <m/>
    <m/>
    <m/>
    <m/>
    <s v="A"/>
    <m/>
    <s v="A"/>
    <s v="A"/>
    <s v="A"/>
    <s v="B"/>
    <s v="B"/>
    <m/>
    <s v="A"/>
    <s v="B"/>
    <s v="A"/>
    <s v="A"/>
    <s v="B"/>
    <s v="A"/>
    <m/>
    <s v="B"/>
    <m/>
    <n v="8"/>
    <n v="5"/>
    <n v="13"/>
    <n v="0.38461538461538464"/>
  </r>
  <r>
    <x v="13"/>
    <x v="23"/>
    <n v="5"/>
    <s v="A"/>
    <m/>
    <m/>
    <m/>
    <m/>
    <m/>
    <m/>
    <m/>
    <m/>
    <m/>
    <m/>
    <m/>
    <m/>
    <m/>
    <m/>
    <m/>
    <m/>
    <m/>
    <m/>
    <m/>
    <m/>
    <m/>
    <s v="A"/>
    <m/>
    <s v="A"/>
    <s v="A"/>
    <s v="A"/>
    <s v="B"/>
    <s v="B"/>
    <s v="A"/>
    <s v="A"/>
    <s v="B"/>
    <s v="A"/>
    <s v="A"/>
    <s v="B"/>
    <s v="A"/>
    <m/>
    <s v="B"/>
    <m/>
    <n v="10"/>
    <n v="5"/>
    <n v="15"/>
    <n v="0.33333333333333331"/>
  </r>
  <r>
    <x v="13"/>
    <x v="24"/>
    <n v="14"/>
    <m/>
    <m/>
    <m/>
    <s v="A"/>
    <m/>
    <m/>
    <m/>
    <m/>
    <m/>
    <m/>
    <m/>
    <m/>
    <m/>
    <m/>
    <m/>
    <m/>
    <m/>
    <m/>
    <m/>
    <m/>
    <m/>
    <m/>
    <s v="A"/>
    <m/>
    <s v="A"/>
    <s v="A"/>
    <s v="A"/>
    <s v="B"/>
    <s v="B"/>
    <s v="A"/>
    <s v="A"/>
    <s v="B"/>
    <s v="A"/>
    <s v="A"/>
    <s v="B"/>
    <s v="A"/>
    <m/>
    <s v="B"/>
    <m/>
    <n v="10"/>
    <n v="5"/>
    <n v="15"/>
    <n v="0.33333333333333331"/>
  </r>
  <r>
    <x v="14"/>
    <x v="0"/>
    <n v="5"/>
    <m/>
    <m/>
    <s v="E"/>
    <s v="E"/>
    <m/>
    <m/>
    <m/>
    <m/>
    <m/>
    <m/>
    <m/>
    <m/>
    <m/>
    <m/>
    <m/>
    <m/>
    <m/>
    <m/>
    <m/>
    <m/>
    <m/>
    <m/>
    <s v="E"/>
    <m/>
    <s v="E"/>
    <s v="E"/>
    <s v="E"/>
    <s v="E"/>
    <s v="E"/>
    <m/>
    <s v="E"/>
    <m/>
    <s v="E"/>
    <s v="E"/>
    <s v="E"/>
    <s v="E"/>
    <m/>
    <s v="E"/>
    <m/>
    <m/>
    <m/>
    <m/>
    <m/>
  </r>
  <r>
    <x v="14"/>
    <x v="25"/>
    <n v="21"/>
    <m/>
    <m/>
    <m/>
    <s v="A"/>
    <m/>
    <m/>
    <m/>
    <m/>
    <m/>
    <m/>
    <m/>
    <m/>
    <m/>
    <m/>
    <m/>
    <m/>
    <m/>
    <m/>
    <m/>
    <m/>
    <m/>
    <m/>
    <s v="A"/>
    <m/>
    <s v="B"/>
    <s v="B"/>
    <s v="B"/>
    <s v="B"/>
    <s v="B"/>
    <m/>
    <s v="A"/>
    <m/>
    <s v="A"/>
    <s v="A"/>
    <s v="B"/>
    <s v="A"/>
    <m/>
    <s v="B"/>
    <m/>
    <n v="6"/>
    <n v="7"/>
    <n v="13"/>
    <n v="0.53846153846153844"/>
  </r>
  <r>
    <x v="15"/>
    <x v="0"/>
    <n v="5"/>
    <m/>
    <m/>
    <m/>
    <s v="E"/>
    <m/>
    <m/>
    <m/>
    <m/>
    <m/>
    <m/>
    <m/>
    <m/>
    <m/>
    <m/>
    <m/>
    <m/>
    <m/>
    <m/>
    <m/>
    <m/>
    <m/>
    <m/>
    <s v="E"/>
    <m/>
    <s v="E"/>
    <s v="E"/>
    <s v="E"/>
    <s v="E"/>
    <s v="E"/>
    <m/>
    <s v="E"/>
    <m/>
    <s v="E"/>
    <s v="E"/>
    <s v="E"/>
    <s v="E"/>
    <m/>
    <s v="E"/>
    <m/>
    <m/>
    <m/>
    <m/>
    <m/>
  </r>
  <r>
    <x v="15"/>
    <x v="26"/>
    <n v="2"/>
    <s v="A"/>
    <m/>
    <m/>
    <m/>
    <m/>
    <m/>
    <m/>
    <m/>
    <m/>
    <m/>
    <m/>
    <m/>
    <m/>
    <m/>
    <m/>
    <m/>
    <m/>
    <m/>
    <m/>
    <m/>
    <m/>
    <m/>
    <s v="A"/>
    <m/>
    <s v="A"/>
    <s v="A"/>
    <s v="A"/>
    <s v="B"/>
    <s v="B"/>
    <m/>
    <s v="A"/>
    <m/>
    <s v="A"/>
    <s v="A"/>
    <s v="B"/>
    <s v="A"/>
    <m/>
    <s v="B"/>
    <m/>
    <n v="9"/>
    <n v="4"/>
    <n v="13"/>
    <n v="0.30769230769230771"/>
  </r>
  <r>
    <x v="16"/>
    <x v="27"/>
    <n v="5"/>
    <m/>
    <m/>
    <m/>
    <m/>
    <m/>
    <m/>
    <m/>
    <m/>
    <m/>
    <m/>
    <m/>
    <s v="E"/>
    <m/>
    <m/>
    <m/>
    <m/>
    <m/>
    <m/>
    <m/>
    <m/>
    <m/>
    <m/>
    <s v="E"/>
    <m/>
    <m/>
    <m/>
    <m/>
    <s v="E"/>
    <m/>
    <m/>
    <s v="E"/>
    <m/>
    <s v="E"/>
    <s v="E"/>
    <s v="E"/>
    <s v="E"/>
    <m/>
    <s v="E"/>
    <m/>
    <m/>
    <m/>
    <m/>
    <m/>
  </r>
  <r>
    <x v="16"/>
    <x v="28"/>
    <n v="29"/>
    <m/>
    <m/>
    <m/>
    <m/>
    <m/>
    <m/>
    <m/>
    <m/>
    <m/>
    <m/>
    <m/>
    <s v="A"/>
    <m/>
    <m/>
    <m/>
    <m/>
    <m/>
    <m/>
    <m/>
    <m/>
    <m/>
    <m/>
    <s v="B"/>
    <m/>
    <m/>
    <m/>
    <m/>
    <s v="B"/>
    <m/>
    <m/>
    <s v="B"/>
    <m/>
    <s v="A"/>
    <s v="A"/>
    <s v="B"/>
    <s v="A"/>
    <m/>
    <s v="B"/>
    <m/>
    <n v="4"/>
    <n v="5"/>
    <n v="9"/>
    <n v="0.55555555555555558"/>
  </r>
  <r>
    <x v="16"/>
    <x v="29"/>
    <n v="4"/>
    <m/>
    <m/>
    <m/>
    <m/>
    <m/>
    <m/>
    <m/>
    <m/>
    <m/>
    <m/>
    <m/>
    <s v="B"/>
    <m/>
    <m/>
    <m/>
    <m/>
    <m/>
    <m/>
    <m/>
    <m/>
    <m/>
    <m/>
    <s v="B"/>
    <m/>
    <m/>
    <m/>
    <m/>
    <s v="B"/>
    <m/>
    <m/>
    <s v="A"/>
    <m/>
    <s v="A"/>
    <s v="A"/>
    <s v="B"/>
    <s v="A"/>
    <m/>
    <s v="B"/>
    <m/>
    <n v="4"/>
    <n v="5"/>
    <n v="9"/>
    <n v="0.55555555555555558"/>
  </r>
  <r>
    <x v="16"/>
    <x v="30"/>
    <n v="10"/>
    <m/>
    <m/>
    <m/>
    <m/>
    <m/>
    <m/>
    <m/>
    <m/>
    <m/>
    <m/>
    <m/>
    <s v="B"/>
    <m/>
    <m/>
    <m/>
    <m/>
    <m/>
    <m/>
    <m/>
    <m/>
    <m/>
    <m/>
    <s v="B"/>
    <m/>
    <m/>
    <m/>
    <m/>
    <s v="B"/>
    <m/>
    <m/>
    <s v="B"/>
    <m/>
    <s v="A"/>
    <s v="A"/>
    <s v="B"/>
    <s v="A"/>
    <m/>
    <s v="B"/>
    <m/>
    <n v="3"/>
    <n v="6"/>
    <n v="9"/>
    <n v="0.66666666666666663"/>
  </r>
  <r>
    <x v="16"/>
    <x v="31"/>
    <n v="15"/>
    <m/>
    <m/>
    <m/>
    <m/>
    <m/>
    <m/>
    <m/>
    <m/>
    <m/>
    <m/>
    <m/>
    <s v="A"/>
    <m/>
    <m/>
    <m/>
    <m/>
    <m/>
    <m/>
    <m/>
    <m/>
    <m/>
    <m/>
    <s v="B"/>
    <m/>
    <m/>
    <m/>
    <m/>
    <s v="B"/>
    <m/>
    <m/>
    <s v="A"/>
    <m/>
    <s v="A"/>
    <s v="A"/>
    <s v="B"/>
    <s v="A"/>
    <m/>
    <s v="B"/>
    <m/>
    <n v="5"/>
    <n v="4"/>
    <n v="9"/>
    <n v="0.44444444444444442"/>
  </r>
  <r>
    <x v="16"/>
    <x v="32"/>
    <n v="15"/>
    <m/>
    <m/>
    <m/>
    <m/>
    <m/>
    <m/>
    <m/>
    <m/>
    <m/>
    <m/>
    <m/>
    <s v="B"/>
    <m/>
    <m/>
    <m/>
    <m/>
    <m/>
    <m/>
    <m/>
    <m/>
    <m/>
    <m/>
    <s v="B"/>
    <m/>
    <m/>
    <m/>
    <m/>
    <s v="B"/>
    <m/>
    <m/>
    <s v="B"/>
    <m/>
    <s v="A"/>
    <s v="A"/>
    <s v="B"/>
    <s v="A"/>
    <m/>
    <s v="B"/>
    <m/>
    <n v="3"/>
    <n v="6"/>
    <n v="9"/>
    <n v="0.66666666666666663"/>
  </r>
  <r>
    <x v="16"/>
    <x v="33"/>
    <n v="24"/>
    <m/>
    <m/>
    <m/>
    <s v="A"/>
    <m/>
    <m/>
    <m/>
    <m/>
    <m/>
    <m/>
    <m/>
    <m/>
    <m/>
    <m/>
    <m/>
    <m/>
    <m/>
    <m/>
    <m/>
    <m/>
    <m/>
    <m/>
    <s v="A"/>
    <m/>
    <m/>
    <m/>
    <m/>
    <s v="B"/>
    <m/>
    <s v="A"/>
    <s v="A"/>
    <m/>
    <s v="A"/>
    <s v="A"/>
    <s v="B"/>
    <s v="A"/>
    <m/>
    <s v="A"/>
    <m/>
    <n v="8"/>
    <n v="2"/>
    <n v="10"/>
    <n v="0.2"/>
  </r>
  <r>
    <x v="17"/>
    <x v="0"/>
    <n v="4"/>
    <m/>
    <m/>
    <m/>
    <s v="E"/>
    <m/>
    <m/>
    <m/>
    <m/>
    <m/>
    <m/>
    <m/>
    <m/>
    <m/>
    <m/>
    <m/>
    <m/>
    <m/>
    <m/>
    <m/>
    <m/>
    <m/>
    <m/>
    <s v="E"/>
    <m/>
    <m/>
    <m/>
    <s v="E"/>
    <s v="E"/>
    <s v="E"/>
    <m/>
    <s v="E"/>
    <m/>
    <s v="E"/>
    <s v="E"/>
    <s v="E"/>
    <s v="E"/>
    <m/>
    <s v="E"/>
    <m/>
    <m/>
    <m/>
    <m/>
    <m/>
  </r>
  <r>
    <x v="17"/>
    <x v="34"/>
    <n v="19"/>
    <m/>
    <m/>
    <m/>
    <m/>
    <m/>
    <m/>
    <m/>
    <m/>
    <m/>
    <m/>
    <m/>
    <s v="A"/>
    <m/>
    <m/>
    <m/>
    <m/>
    <m/>
    <m/>
    <m/>
    <m/>
    <m/>
    <m/>
    <s v="A"/>
    <m/>
    <m/>
    <m/>
    <s v="B"/>
    <s v="B"/>
    <s v="B"/>
    <m/>
    <s v="B"/>
    <m/>
    <s v="A"/>
    <s v="A"/>
    <s v="B"/>
    <s v="A"/>
    <m/>
    <s v="A"/>
    <m/>
    <n v="6"/>
    <n v="5"/>
    <n v="11"/>
    <n v="0.45454545454545453"/>
  </r>
  <r>
    <x v="17"/>
    <x v="35"/>
    <n v="16"/>
    <m/>
    <m/>
    <m/>
    <s v="A"/>
    <m/>
    <m/>
    <m/>
    <m/>
    <m/>
    <m/>
    <m/>
    <m/>
    <m/>
    <m/>
    <m/>
    <m/>
    <m/>
    <m/>
    <m/>
    <m/>
    <m/>
    <m/>
    <s v="A"/>
    <m/>
    <m/>
    <m/>
    <s v="B"/>
    <s v="B"/>
    <s v="B"/>
    <m/>
    <s v="B"/>
    <m/>
    <s v="A"/>
    <s v="A"/>
    <s v="B"/>
    <s v="A"/>
    <m/>
    <s v="B"/>
    <m/>
    <n v="5"/>
    <n v="6"/>
    <n v="11"/>
    <n v="0.54545454545454541"/>
  </r>
  <r>
    <x v="18"/>
    <x v="0"/>
    <n v="2"/>
    <m/>
    <m/>
    <m/>
    <m/>
    <m/>
    <m/>
    <m/>
    <m/>
    <m/>
    <m/>
    <m/>
    <s v="E"/>
    <m/>
    <m/>
    <m/>
    <m/>
    <m/>
    <m/>
    <m/>
    <m/>
    <m/>
    <m/>
    <s v="E"/>
    <s v="E"/>
    <m/>
    <m/>
    <m/>
    <m/>
    <m/>
    <m/>
    <s v="E"/>
    <m/>
    <s v="E"/>
    <s v="E"/>
    <m/>
    <s v="E"/>
    <s v="E"/>
    <m/>
    <m/>
    <m/>
    <m/>
    <m/>
    <m/>
  </r>
  <r>
    <x v="18"/>
    <x v="36"/>
    <n v="2"/>
    <m/>
    <m/>
    <m/>
    <m/>
    <m/>
    <m/>
    <m/>
    <m/>
    <m/>
    <m/>
    <m/>
    <s v="B"/>
    <m/>
    <m/>
    <m/>
    <m/>
    <m/>
    <m/>
    <m/>
    <m/>
    <m/>
    <m/>
    <s v="A"/>
    <s v="A"/>
    <m/>
    <m/>
    <m/>
    <m/>
    <m/>
    <m/>
    <s v="A"/>
    <m/>
    <s v="A"/>
    <s v="A"/>
    <m/>
    <s v="B"/>
    <s v="A"/>
    <m/>
    <m/>
    <n v="6"/>
    <n v="2"/>
    <n v="8"/>
    <n v="0.25"/>
  </r>
  <r>
    <x v="18"/>
    <x v="37"/>
    <n v="11"/>
    <m/>
    <m/>
    <m/>
    <m/>
    <m/>
    <m/>
    <m/>
    <m/>
    <m/>
    <m/>
    <m/>
    <s v="A"/>
    <m/>
    <m/>
    <m/>
    <m/>
    <m/>
    <m/>
    <m/>
    <m/>
    <m/>
    <m/>
    <s v="B"/>
    <s v="B"/>
    <m/>
    <m/>
    <m/>
    <m/>
    <m/>
    <m/>
    <s v="B"/>
    <m/>
    <s v="A"/>
    <s v="A"/>
    <m/>
    <s v="B"/>
    <s v="B"/>
    <m/>
    <m/>
    <n v="3"/>
    <n v="5"/>
    <n v="8"/>
    <n v="0.625"/>
  </r>
  <r>
    <x v="18"/>
    <x v="38"/>
    <n v="2"/>
    <m/>
    <m/>
    <m/>
    <m/>
    <m/>
    <m/>
    <m/>
    <m/>
    <m/>
    <m/>
    <m/>
    <s v="A"/>
    <m/>
    <m/>
    <m/>
    <m/>
    <m/>
    <m/>
    <m/>
    <m/>
    <m/>
    <m/>
    <s v="B"/>
    <s v="B"/>
    <m/>
    <m/>
    <m/>
    <m/>
    <m/>
    <m/>
    <s v="B"/>
    <m/>
    <s v="A"/>
    <s v="A"/>
    <m/>
    <s v="B"/>
    <s v="B"/>
    <m/>
    <m/>
    <n v="3"/>
    <n v="5"/>
    <n v="8"/>
    <n v="0.625"/>
  </r>
  <r>
    <x v="18"/>
    <x v="39"/>
    <n v="2"/>
    <m/>
    <m/>
    <m/>
    <m/>
    <m/>
    <m/>
    <m/>
    <m/>
    <m/>
    <m/>
    <m/>
    <s v="A"/>
    <m/>
    <m/>
    <m/>
    <m/>
    <m/>
    <m/>
    <m/>
    <m/>
    <m/>
    <m/>
    <s v="A"/>
    <s v="A"/>
    <m/>
    <m/>
    <m/>
    <m/>
    <m/>
    <m/>
    <s v="A"/>
    <m/>
    <s v="A"/>
    <s v="A"/>
    <m/>
    <s v="B"/>
    <s v="A"/>
    <m/>
    <m/>
    <n v="7"/>
    <n v="1"/>
    <n v="8"/>
    <n v="0.125"/>
  </r>
  <r>
    <x v="18"/>
    <x v="40"/>
    <n v="9"/>
    <m/>
    <m/>
    <m/>
    <m/>
    <m/>
    <m/>
    <m/>
    <m/>
    <m/>
    <m/>
    <m/>
    <s v="A"/>
    <m/>
    <m/>
    <m/>
    <m/>
    <m/>
    <m/>
    <m/>
    <m/>
    <m/>
    <m/>
    <s v="B"/>
    <s v="B"/>
    <m/>
    <m/>
    <m/>
    <m/>
    <m/>
    <m/>
    <s v="A"/>
    <m/>
    <s v="A"/>
    <s v="A"/>
    <m/>
    <s v="B"/>
    <s v="B"/>
    <m/>
    <m/>
    <n v="4"/>
    <n v="4"/>
    <n v="8"/>
    <n v="0.5"/>
  </r>
  <r>
    <x v="19"/>
    <x v="0"/>
    <n v="3"/>
    <m/>
    <m/>
    <m/>
    <m/>
    <m/>
    <m/>
    <m/>
    <m/>
    <m/>
    <s v="E"/>
    <m/>
    <m/>
    <m/>
    <m/>
    <m/>
    <m/>
    <m/>
    <m/>
    <s v="E"/>
    <s v="E"/>
    <m/>
    <m/>
    <s v="E"/>
    <s v="E"/>
    <m/>
    <m/>
    <s v="E"/>
    <s v="E"/>
    <s v="E"/>
    <s v="E"/>
    <s v="E"/>
    <m/>
    <s v="E"/>
    <s v="E"/>
    <s v="E"/>
    <m/>
    <m/>
    <m/>
    <s v="E"/>
    <m/>
    <m/>
    <m/>
    <m/>
  </r>
  <r>
    <x v="19"/>
    <x v="41"/>
    <n v="3"/>
    <m/>
    <m/>
    <m/>
    <m/>
    <m/>
    <m/>
    <m/>
    <m/>
    <m/>
    <s v="A"/>
    <m/>
    <m/>
    <m/>
    <m/>
    <m/>
    <m/>
    <m/>
    <m/>
    <s v="B"/>
    <s v="B"/>
    <m/>
    <m/>
    <s v="A"/>
    <s v="A"/>
    <m/>
    <m/>
    <m/>
    <s v="B"/>
    <m/>
    <m/>
    <s v="A"/>
    <m/>
    <s v="A"/>
    <s v="A"/>
    <s v="B"/>
    <m/>
    <m/>
    <m/>
    <s v="B"/>
    <n v="6"/>
    <n v="5"/>
    <n v="11"/>
    <n v="0.45454545454545453"/>
  </r>
  <r>
    <x v="19"/>
    <x v="42"/>
    <n v="3"/>
    <m/>
    <m/>
    <m/>
    <m/>
    <m/>
    <m/>
    <m/>
    <m/>
    <m/>
    <s v="A"/>
    <m/>
    <m/>
    <m/>
    <m/>
    <m/>
    <m/>
    <m/>
    <m/>
    <s v="B"/>
    <s v="B"/>
    <m/>
    <m/>
    <s v="A"/>
    <s v="A"/>
    <m/>
    <m/>
    <m/>
    <s v="B"/>
    <m/>
    <m/>
    <s v="B"/>
    <m/>
    <s v="A"/>
    <s v="A"/>
    <s v="B"/>
    <m/>
    <m/>
    <m/>
    <s v="B"/>
    <n v="5"/>
    <n v="6"/>
    <n v="11"/>
    <n v="0.54545454545454541"/>
  </r>
  <r>
    <x v="19"/>
    <x v="43"/>
    <n v="11"/>
    <m/>
    <m/>
    <m/>
    <m/>
    <m/>
    <m/>
    <m/>
    <m/>
    <m/>
    <m/>
    <m/>
    <s v="A"/>
    <m/>
    <m/>
    <m/>
    <m/>
    <m/>
    <m/>
    <s v="B"/>
    <s v="B"/>
    <m/>
    <m/>
    <s v="A"/>
    <s v="A"/>
    <m/>
    <m/>
    <m/>
    <s v="B"/>
    <m/>
    <m/>
    <s v="A"/>
    <m/>
    <s v="A"/>
    <s v="A"/>
    <s v="A"/>
    <m/>
    <m/>
    <m/>
    <s v="B"/>
    <n v="7"/>
    <n v="4"/>
    <n v="11"/>
    <n v="0.36363636363636365"/>
  </r>
  <r>
    <x v="20"/>
    <x v="0"/>
    <n v="3"/>
    <m/>
    <m/>
    <m/>
    <m/>
    <m/>
    <m/>
    <s v="E"/>
    <m/>
    <m/>
    <m/>
    <m/>
    <m/>
    <m/>
    <m/>
    <m/>
    <m/>
    <m/>
    <m/>
    <s v="E"/>
    <s v="E"/>
    <m/>
    <m/>
    <s v="E"/>
    <s v="E"/>
    <s v="E"/>
    <s v="E"/>
    <s v="E"/>
    <s v="E"/>
    <m/>
    <m/>
    <s v="E"/>
    <m/>
    <s v="E"/>
    <s v="E"/>
    <s v="E"/>
    <m/>
    <m/>
    <s v="E"/>
    <m/>
    <m/>
    <m/>
    <m/>
    <m/>
  </r>
  <r>
    <x v="20"/>
    <x v="44"/>
    <n v="3"/>
    <m/>
    <m/>
    <m/>
    <m/>
    <m/>
    <m/>
    <s v="A"/>
    <m/>
    <m/>
    <m/>
    <m/>
    <m/>
    <m/>
    <m/>
    <m/>
    <m/>
    <m/>
    <m/>
    <s v="B"/>
    <s v="B"/>
    <m/>
    <m/>
    <s v="B"/>
    <s v="B"/>
    <s v="B"/>
    <s v="B"/>
    <s v="B"/>
    <s v="B"/>
    <m/>
    <m/>
    <s v="A"/>
    <m/>
    <s v="A"/>
    <s v="A"/>
    <s v="B"/>
    <m/>
    <m/>
    <s v="B"/>
    <m/>
    <n v="4"/>
    <n v="10"/>
    <n v="14"/>
    <n v="0.7142857142857143"/>
  </r>
  <r>
    <x v="20"/>
    <x v="45"/>
    <n v="5"/>
    <m/>
    <m/>
    <m/>
    <m/>
    <m/>
    <m/>
    <s v="A"/>
    <m/>
    <m/>
    <m/>
    <m/>
    <m/>
    <m/>
    <m/>
    <m/>
    <m/>
    <m/>
    <m/>
    <s v="B"/>
    <s v="B"/>
    <m/>
    <m/>
    <s v="A"/>
    <s v="B"/>
    <s v="B"/>
    <s v="B"/>
    <s v="B"/>
    <s v="B"/>
    <m/>
    <m/>
    <s v="A"/>
    <m/>
    <s v="A"/>
    <s v="A"/>
    <s v="B"/>
    <m/>
    <m/>
    <s v="B"/>
    <m/>
    <n v="5"/>
    <n v="9"/>
    <n v="14"/>
    <n v="0.6428571428571429"/>
  </r>
  <r>
    <x v="21"/>
    <x v="0"/>
    <n v="5"/>
    <m/>
    <m/>
    <m/>
    <m/>
    <m/>
    <m/>
    <m/>
    <m/>
    <s v="E"/>
    <m/>
    <m/>
    <m/>
    <m/>
    <m/>
    <m/>
    <m/>
    <m/>
    <m/>
    <m/>
    <m/>
    <m/>
    <m/>
    <s v="E"/>
    <s v="E"/>
    <m/>
    <m/>
    <s v="E"/>
    <s v="E"/>
    <m/>
    <m/>
    <s v="E"/>
    <m/>
    <s v="E"/>
    <s v="E"/>
    <m/>
    <s v="E"/>
    <m/>
    <m/>
    <s v="E"/>
    <m/>
    <m/>
    <m/>
    <m/>
  </r>
  <r>
    <x v="21"/>
    <x v="46"/>
    <n v="18"/>
    <m/>
    <m/>
    <m/>
    <m/>
    <m/>
    <m/>
    <m/>
    <m/>
    <s v="A"/>
    <m/>
    <m/>
    <m/>
    <m/>
    <m/>
    <m/>
    <m/>
    <m/>
    <m/>
    <m/>
    <m/>
    <m/>
    <m/>
    <s v="A"/>
    <s v="A"/>
    <m/>
    <m/>
    <s v="B"/>
    <s v="B"/>
    <m/>
    <m/>
    <s v="A"/>
    <m/>
    <s v="A"/>
    <s v="A"/>
    <m/>
    <s v="A"/>
    <m/>
    <m/>
    <s v="B"/>
    <n v="7"/>
    <n v="3"/>
    <n v="10"/>
    <n v="0.3"/>
  </r>
  <r>
    <x v="22"/>
    <x v="0"/>
    <m/>
    <m/>
    <m/>
    <m/>
    <m/>
    <m/>
    <m/>
    <m/>
    <m/>
    <m/>
    <s v="E"/>
    <m/>
    <m/>
    <m/>
    <m/>
    <m/>
    <m/>
    <m/>
    <m/>
    <m/>
    <m/>
    <m/>
    <m/>
    <s v="E"/>
    <s v="E"/>
    <m/>
    <m/>
    <m/>
    <s v="E"/>
    <m/>
    <m/>
    <s v="E"/>
    <m/>
    <s v="E"/>
    <s v="E"/>
    <s v="E"/>
    <m/>
    <m/>
    <m/>
    <s v="E"/>
    <m/>
    <m/>
    <m/>
    <m/>
  </r>
  <r>
    <x v="22"/>
    <x v="47"/>
    <n v="3"/>
    <m/>
    <m/>
    <m/>
    <m/>
    <m/>
    <m/>
    <m/>
    <m/>
    <m/>
    <s v="A"/>
    <m/>
    <m/>
    <m/>
    <m/>
    <m/>
    <m/>
    <m/>
    <m/>
    <m/>
    <m/>
    <m/>
    <m/>
    <s v="A"/>
    <s v="A"/>
    <m/>
    <m/>
    <m/>
    <s v="B"/>
    <m/>
    <m/>
    <s v="A"/>
    <m/>
    <s v="A"/>
    <s v="A"/>
    <s v="B"/>
    <m/>
    <m/>
    <m/>
    <s v="B"/>
    <n v="6"/>
    <n v="3"/>
    <n v="9"/>
    <n v="0.33333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B4:D5" firstHeaderRow="0" firstDataRow="1" firstDataCol="0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">
        <item x="10"/>
        <item x="9"/>
        <item x="11"/>
        <item x="4"/>
        <item x="3"/>
        <item x="7"/>
        <item x="6"/>
        <item x="8"/>
        <item x="1"/>
        <item x="5"/>
        <item x="2"/>
        <item x="0"/>
        <item t="default"/>
      </items>
    </pivotField>
    <pivotField dataField="1" showAll="0">
      <items count="12">
        <item x="5"/>
        <item x="2"/>
        <item x="3"/>
        <item x="4"/>
        <item x="10"/>
        <item x="9"/>
        <item x="1"/>
        <item x="6"/>
        <item x="7"/>
        <item x="8"/>
        <item x="0"/>
        <item t="default"/>
      </items>
    </pivotField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APRUEBA" fld="41" baseField="0" baseItem="4518056"/>
    <dataField name="Suma de BRECHA" fld="42" baseField="0" baseItem="1"/>
    <dataField name="Suma de TOTAL COMPETENCIAS" fld="43" baseField="0" baseItem="1"/>
  </dataFields>
  <formats count="4">
    <format dxfId="3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 dinámica2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B9:F33" firstHeaderRow="0" firstDataRow="1" firstDataCol="1" rowPageCount="1" colPageCount="1"/>
  <pivotFields count="47">
    <pivotField axis="axisRow" showAll="0" sortType="descending">
      <items count="25">
        <item x="9"/>
        <item x="19"/>
        <item x="22"/>
        <item x="18"/>
        <item x="8"/>
        <item x="7"/>
        <item x="1"/>
        <item x="2"/>
        <item x="0"/>
        <item x="11"/>
        <item x="13"/>
        <item x="12"/>
        <item x="14"/>
        <item x="15"/>
        <item x="10"/>
        <item x="20"/>
        <item x="6"/>
        <item x="5"/>
        <item x="3"/>
        <item x="4"/>
        <item x="17"/>
        <item x="16"/>
        <item x="21"/>
        <item m="1" x="2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axis="axisPage" multipleItemSelectionAllowed="1" showAll="0">
      <items count="49">
        <item x="1"/>
        <item x="39"/>
        <item x="2"/>
        <item x="36"/>
        <item x="3"/>
        <item h="1" x="0"/>
        <item x="4"/>
        <item x="40"/>
        <item x="44"/>
        <item x="46"/>
        <item x="5"/>
        <item x="6"/>
        <item x="34"/>
        <item x="7"/>
        <item x="8"/>
        <item x="41"/>
        <item x="28"/>
        <item x="38"/>
        <item x="9"/>
        <item x="42"/>
        <item x="10"/>
        <item x="32"/>
        <item x="29"/>
        <item x="35"/>
        <item x="11"/>
        <item x="12"/>
        <item x="13"/>
        <item x="14"/>
        <item x="37"/>
        <item x="15"/>
        <item x="47"/>
        <item x="16"/>
        <item x="17"/>
        <item x="43"/>
        <item x="18"/>
        <item x="31"/>
        <item x="19"/>
        <item x="20"/>
        <item x="30"/>
        <item x="45"/>
        <item x="21"/>
        <item x="22"/>
        <item x="27"/>
        <item x="23"/>
        <item x="33"/>
        <item x="24"/>
        <item x="26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dragToRow="0" dragToCol="0" dragToPage="0" showAll="0" defaultSubtotal="0"/>
  </pivotFields>
  <rowFields count="1">
    <field x="0"/>
  </rowFields>
  <rowItems count="24">
    <i>
      <x v="15"/>
    </i>
    <i>
      <x v="12"/>
    </i>
    <i>
      <x v="14"/>
    </i>
    <i>
      <x v="21"/>
    </i>
    <i>
      <x v="20"/>
    </i>
    <i>
      <x/>
    </i>
    <i>
      <x v="1"/>
    </i>
    <i>
      <x v="3"/>
    </i>
    <i>
      <x v="18"/>
    </i>
    <i>
      <x v="9"/>
    </i>
    <i>
      <x v="11"/>
    </i>
    <i>
      <x v="8"/>
    </i>
    <i>
      <x v="10"/>
    </i>
    <i>
      <x v="2"/>
    </i>
    <i>
      <x v="13"/>
    </i>
    <i>
      <x v="17"/>
    </i>
    <i>
      <x v="22"/>
    </i>
    <i>
      <x v="7"/>
    </i>
    <i>
      <x v="5"/>
    </i>
    <i>
      <x v="4"/>
    </i>
    <i>
      <x v="19"/>
    </i>
    <i>
      <x v="16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de APRUEBA" fld="42" baseField="0" baseItem="2"/>
    <dataField name="Suma de BRECHA" fld="43" baseField="0" baseItem="2"/>
    <dataField name="Suma de TOTAL COMPETENCIAS" fld="44" baseField="0" baseItem="2"/>
    <dataField name="Suma de %" fld="46" baseField="0" baseItem="0" numFmtId="9"/>
  </dataFields>
  <formats count="7">
    <format dxfId="10">
      <pivotArea outline="0" collapsedLevelsAreSubtotals="1" fieldPosition="0"/>
    </format>
    <format dxfId="9">
      <pivotArea dataOnly="0" labelOnly="1" outline="0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2"/>
  <sheetViews>
    <sheetView showGridLines="0" tabSelected="1" topLeftCell="A15" zoomScale="108" zoomScaleNormal="90" workbookViewId="0">
      <selection activeCell="X31" sqref="X31"/>
    </sheetView>
  </sheetViews>
  <sheetFormatPr baseColWidth="10" defaultRowHeight="15" x14ac:dyDescent="0.25"/>
  <cols>
    <col min="1" max="1" width="26" style="13" customWidth="1"/>
    <col min="2" max="2" width="22.85546875" bestFit="1" customWidth="1"/>
    <col min="3" max="6" width="3.7109375" customWidth="1"/>
    <col min="7" max="7" width="5.140625" customWidth="1"/>
    <col min="8" max="9" width="3.7109375" customWidth="1"/>
    <col min="10" max="10" width="6.42578125" customWidth="1"/>
    <col min="11" max="11" width="5" customWidth="1"/>
    <col min="12" max="42" width="3.7109375" customWidth="1"/>
    <col min="43" max="46" width="9.5703125" style="8" customWidth="1"/>
  </cols>
  <sheetData>
    <row r="1" spans="1:52" ht="80.25" customHeight="1" x14ac:dyDescent="0.25">
      <c r="A1" s="14" t="s">
        <v>0</v>
      </c>
      <c r="B1" s="15"/>
      <c r="C1" s="40" t="s">
        <v>1</v>
      </c>
      <c r="D1" s="40" t="s">
        <v>2</v>
      </c>
      <c r="E1" s="40" t="s">
        <v>2</v>
      </c>
      <c r="F1" s="40" t="s">
        <v>2</v>
      </c>
      <c r="G1" s="40" t="s">
        <v>2</v>
      </c>
      <c r="H1" s="40" t="s">
        <v>2</v>
      </c>
      <c r="I1" s="40" t="s">
        <v>2</v>
      </c>
      <c r="J1" s="40" t="s">
        <v>2</v>
      </c>
      <c r="K1" s="40" t="s">
        <v>2</v>
      </c>
      <c r="L1" s="40" t="s">
        <v>2</v>
      </c>
      <c r="M1" s="40" t="s">
        <v>2</v>
      </c>
      <c r="N1" s="40" t="s">
        <v>2</v>
      </c>
      <c r="O1" s="40" t="s">
        <v>3</v>
      </c>
      <c r="P1" s="40" t="s">
        <v>3</v>
      </c>
      <c r="Q1" s="40" t="s">
        <v>3</v>
      </c>
      <c r="R1" s="40" t="s">
        <v>3</v>
      </c>
      <c r="S1" s="40" t="s">
        <v>3</v>
      </c>
      <c r="T1" s="40" t="s">
        <v>3</v>
      </c>
      <c r="U1" s="40" t="s">
        <v>3</v>
      </c>
      <c r="V1" s="40" t="s">
        <v>3</v>
      </c>
      <c r="W1" s="40" t="s">
        <v>3</v>
      </c>
      <c r="X1" s="40" t="s">
        <v>3</v>
      </c>
      <c r="Y1" s="40" t="s">
        <v>3</v>
      </c>
      <c r="Z1" s="40" t="s">
        <v>3</v>
      </c>
      <c r="AA1" s="40" t="s">
        <v>3</v>
      </c>
      <c r="AB1" s="40" t="s">
        <v>3</v>
      </c>
      <c r="AC1" s="40" t="s">
        <v>3</v>
      </c>
      <c r="AD1" s="40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  <c r="AJ1" s="40" t="s">
        <v>3</v>
      </c>
      <c r="AK1" s="40" t="s">
        <v>3</v>
      </c>
      <c r="AL1" s="40" t="s">
        <v>3</v>
      </c>
      <c r="AM1" s="40" t="s">
        <v>3</v>
      </c>
      <c r="AN1" s="40" t="s">
        <v>4</v>
      </c>
      <c r="AO1" s="40" t="s">
        <v>4</v>
      </c>
      <c r="AP1" s="40" t="s">
        <v>4</v>
      </c>
      <c r="AQ1" s="51" t="s">
        <v>142</v>
      </c>
      <c r="AR1" s="52"/>
      <c r="AS1" s="52"/>
      <c r="AT1" s="53"/>
    </row>
    <row r="2" spans="1:52" ht="117" customHeight="1" x14ac:dyDescent="0.25">
      <c r="A2" s="19" t="s">
        <v>128</v>
      </c>
      <c r="B2" s="20" t="s">
        <v>5</v>
      </c>
      <c r="C2" s="41" t="s">
        <v>1</v>
      </c>
      <c r="D2" s="41" t="s">
        <v>6</v>
      </c>
      <c r="E2" s="41" t="s">
        <v>7</v>
      </c>
      <c r="F2" s="41" t="s">
        <v>8</v>
      </c>
      <c r="G2" s="41" t="s">
        <v>9</v>
      </c>
      <c r="H2" s="41" t="s">
        <v>10</v>
      </c>
      <c r="I2" s="41" t="s">
        <v>11</v>
      </c>
      <c r="J2" s="41" t="s">
        <v>12</v>
      </c>
      <c r="K2" s="41" t="s">
        <v>13</v>
      </c>
      <c r="L2" s="41" t="s">
        <v>14</v>
      </c>
      <c r="M2" s="41" t="s">
        <v>15</v>
      </c>
      <c r="N2" s="41" t="s">
        <v>16</v>
      </c>
      <c r="O2" s="41" t="s">
        <v>17</v>
      </c>
      <c r="P2" s="41" t="s">
        <v>18</v>
      </c>
      <c r="Q2" s="41" t="s">
        <v>19</v>
      </c>
      <c r="R2" s="41" t="s">
        <v>20</v>
      </c>
      <c r="S2" s="41" t="s">
        <v>21</v>
      </c>
      <c r="T2" s="41" t="s">
        <v>22</v>
      </c>
      <c r="U2" s="41" t="s">
        <v>23</v>
      </c>
      <c r="V2" s="41" t="s">
        <v>24</v>
      </c>
      <c r="W2" s="41" t="s">
        <v>25</v>
      </c>
      <c r="X2" s="41" t="s">
        <v>26</v>
      </c>
      <c r="Y2" s="41" t="s">
        <v>27</v>
      </c>
      <c r="Z2" s="41" t="s">
        <v>28</v>
      </c>
      <c r="AA2" s="41" t="s">
        <v>29</v>
      </c>
      <c r="AB2" s="41" t="s">
        <v>30</v>
      </c>
      <c r="AC2" s="41" t="s">
        <v>31</v>
      </c>
      <c r="AD2" s="41" t="s">
        <v>32</v>
      </c>
      <c r="AE2" s="41" t="s">
        <v>33</v>
      </c>
      <c r="AF2" s="41" t="s">
        <v>34</v>
      </c>
      <c r="AG2" s="41" t="s">
        <v>35</v>
      </c>
      <c r="AH2" s="41" t="s">
        <v>36</v>
      </c>
      <c r="AI2" s="41" t="s">
        <v>37</v>
      </c>
      <c r="AJ2" s="41" t="s">
        <v>38</v>
      </c>
      <c r="AK2" s="41" t="s">
        <v>39</v>
      </c>
      <c r="AL2" s="41" t="s">
        <v>40</v>
      </c>
      <c r="AM2" s="41" t="s">
        <v>41</v>
      </c>
      <c r="AN2" s="41" t="s">
        <v>42</v>
      </c>
      <c r="AO2" s="41" t="s">
        <v>43</v>
      </c>
      <c r="AP2" s="41" t="s">
        <v>44</v>
      </c>
      <c r="AQ2" s="42" t="s">
        <v>45</v>
      </c>
      <c r="AR2" s="42" t="s">
        <v>46</v>
      </c>
      <c r="AS2" s="42" t="s">
        <v>47</v>
      </c>
      <c r="AT2" s="42" t="s">
        <v>48</v>
      </c>
    </row>
    <row r="3" spans="1:52" x14ac:dyDescent="0.25">
      <c r="A3" s="23" t="s">
        <v>49</v>
      </c>
      <c r="B3" s="16" t="s">
        <v>50</v>
      </c>
      <c r="C3" s="3">
        <v>15</v>
      </c>
      <c r="D3" s="43" t="s">
        <v>51</v>
      </c>
      <c r="E3" s="43"/>
      <c r="F3" s="43"/>
      <c r="G3" s="43"/>
      <c r="H3" s="43" t="s">
        <v>51</v>
      </c>
      <c r="I3" s="43"/>
      <c r="J3" s="43"/>
      <c r="K3" s="43"/>
      <c r="L3" s="43"/>
      <c r="M3" s="43"/>
      <c r="N3" s="43"/>
      <c r="O3" s="43"/>
      <c r="P3" s="43" t="s">
        <v>51</v>
      </c>
      <c r="Q3" s="43" t="s">
        <v>51</v>
      </c>
      <c r="R3" s="43" t="s">
        <v>51</v>
      </c>
      <c r="S3" s="43"/>
      <c r="T3" s="43" t="s">
        <v>51</v>
      </c>
      <c r="U3" s="43" t="s">
        <v>51</v>
      </c>
      <c r="V3" s="43" t="s">
        <v>51</v>
      </c>
      <c r="W3" s="43" t="s">
        <v>51</v>
      </c>
      <c r="X3" s="43"/>
      <c r="Y3" s="43"/>
      <c r="Z3" s="43" t="s">
        <v>51</v>
      </c>
      <c r="AA3" s="43"/>
      <c r="AB3" s="43" t="s">
        <v>51</v>
      </c>
      <c r="AC3" s="43" t="s">
        <v>51</v>
      </c>
      <c r="AD3" s="43" t="s">
        <v>51</v>
      </c>
      <c r="AE3" s="43" t="s">
        <v>51</v>
      </c>
      <c r="AF3" s="43" t="s">
        <v>51</v>
      </c>
      <c r="AG3" s="43" t="s">
        <v>51</v>
      </c>
      <c r="AH3" s="43" t="s">
        <v>51</v>
      </c>
      <c r="AI3" s="43"/>
      <c r="AJ3" s="43" t="s">
        <v>51</v>
      </c>
      <c r="AK3" s="43" t="s">
        <v>51</v>
      </c>
      <c r="AL3" s="43" t="s">
        <v>51</v>
      </c>
      <c r="AM3" s="43"/>
      <c r="AN3" s="43"/>
      <c r="AO3" s="43" t="s">
        <v>51</v>
      </c>
      <c r="AP3" s="43"/>
      <c r="AQ3" s="5"/>
      <c r="AR3" s="5"/>
      <c r="AS3" s="5"/>
      <c r="AT3" s="6"/>
    </row>
    <row r="4" spans="1:52" x14ac:dyDescent="0.25">
      <c r="A4" s="24" t="s">
        <v>49</v>
      </c>
      <c r="B4" s="17" t="s">
        <v>52</v>
      </c>
      <c r="C4" s="54">
        <v>15</v>
      </c>
      <c r="D4" s="44" t="s">
        <v>53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 t="s">
        <v>54</v>
      </c>
      <c r="Q4" s="44" t="s">
        <v>53</v>
      </c>
      <c r="R4" s="44" t="s">
        <v>53</v>
      </c>
      <c r="S4" s="43"/>
      <c r="T4" s="43" t="s">
        <v>54</v>
      </c>
      <c r="U4" s="43" t="s">
        <v>54</v>
      </c>
      <c r="V4" s="44" t="s">
        <v>53</v>
      </c>
      <c r="W4" s="43" t="s">
        <v>54</v>
      </c>
      <c r="X4" s="43"/>
      <c r="Y4" s="43"/>
      <c r="Z4" s="44" t="s">
        <v>53</v>
      </c>
      <c r="AA4" s="43"/>
      <c r="AB4" s="44" t="s">
        <v>53</v>
      </c>
      <c r="AC4" s="44" t="s">
        <v>53</v>
      </c>
      <c r="AD4" s="43" t="s">
        <v>54</v>
      </c>
      <c r="AE4" s="44" t="s">
        <v>53</v>
      </c>
      <c r="AF4" s="43" t="s">
        <v>54</v>
      </c>
      <c r="AG4" s="44" t="s">
        <v>53</v>
      </c>
      <c r="AH4" s="44" t="s">
        <v>53</v>
      </c>
      <c r="AI4" s="43"/>
      <c r="AJ4" s="44" t="s">
        <v>53</v>
      </c>
      <c r="AK4" s="44" t="s">
        <v>53</v>
      </c>
      <c r="AL4" s="43" t="s">
        <v>54</v>
      </c>
      <c r="AM4" s="43"/>
      <c r="AN4" s="43"/>
      <c r="AO4" s="44" t="s">
        <v>53</v>
      </c>
      <c r="AP4" s="43"/>
      <c r="AQ4" s="7">
        <f>+COUNTIF(D4:AO4,"a")</f>
        <v>13</v>
      </c>
      <c r="AR4" s="7">
        <f>+COUNTIF(E4:AP4,"b")</f>
        <v>7</v>
      </c>
      <c r="AS4" s="5">
        <f>+AQ4+AR4</f>
        <v>20</v>
      </c>
      <c r="AT4" s="9">
        <f>+AR4/AS4</f>
        <v>0.35</v>
      </c>
      <c r="AZ4" t="s">
        <v>143</v>
      </c>
    </row>
    <row r="5" spans="1:52" x14ac:dyDescent="0.25">
      <c r="A5" s="23" t="s">
        <v>55</v>
      </c>
      <c r="B5" s="16" t="s">
        <v>50</v>
      </c>
      <c r="C5" s="3">
        <v>15</v>
      </c>
      <c r="D5" s="43" t="s">
        <v>51</v>
      </c>
      <c r="E5" s="43"/>
      <c r="F5" s="43"/>
      <c r="G5" s="43"/>
      <c r="H5" s="43"/>
      <c r="I5" s="43" t="s">
        <v>51</v>
      </c>
      <c r="J5" s="43"/>
      <c r="K5" s="43"/>
      <c r="L5" s="43"/>
      <c r="M5" s="43"/>
      <c r="N5" s="43"/>
      <c r="O5" s="43"/>
      <c r="P5" s="43"/>
      <c r="Q5" s="43" t="s">
        <v>51</v>
      </c>
      <c r="R5" s="43" t="s">
        <v>51</v>
      </c>
      <c r="S5" s="43" t="s">
        <v>51</v>
      </c>
      <c r="T5" s="43" t="s">
        <v>51</v>
      </c>
      <c r="U5" s="43" t="s">
        <v>51</v>
      </c>
      <c r="V5" s="43" t="s">
        <v>51</v>
      </c>
      <c r="W5" s="43" t="s">
        <v>51</v>
      </c>
      <c r="X5" s="43" t="s">
        <v>51</v>
      </c>
      <c r="Y5" s="43" t="s">
        <v>51</v>
      </c>
      <c r="Z5" s="43" t="s">
        <v>51</v>
      </c>
      <c r="AA5" s="43" t="s">
        <v>51</v>
      </c>
      <c r="AB5" s="43" t="s">
        <v>51</v>
      </c>
      <c r="AC5" s="43"/>
      <c r="AD5" s="43" t="s">
        <v>51</v>
      </c>
      <c r="AE5" s="43"/>
      <c r="AF5" s="43" t="s">
        <v>51</v>
      </c>
      <c r="AG5" s="43" t="s">
        <v>51</v>
      </c>
      <c r="AH5" s="43"/>
      <c r="AI5" s="43"/>
      <c r="AJ5" s="43" t="s">
        <v>51</v>
      </c>
      <c r="AK5" s="43" t="s">
        <v>51</v>
      </c>
      <c r="AL5" s="43" t="s">
        <v>51</v>
      </c>
      <c r="AM5" s="43"/>
      <c r="AN5" s="43"/>
      <c r="AO5" s="43" t="s">
        <v>51</v>
      </c>
      <c r="AP5" s="43" t="s">
        <v>51</v>
      </c>
      <c r="AQ5" s="5"/>
      <c r="AR5" s="5"/>
      <c r="AS5" s="5"/>
      <c r="AT5" s="6"/>
    </row>
    <row r="6" spans="1:52" x14ac:dyDescent="0.25">
      <c r="A6" s="24" t="s">
        <v>55</v>
      </c>
      <c r="B6" s="17" t="s">
        <v>56</v>
      </c>
      <c r="C6" s="3">
        <v>15</v>
      </c>
      <c r="D6" s="43"/>
      <c r="E6" s="43"/>
      <c r="F6" s="43"/>
      <c r="G6" s="43"/>
      <c r="H6" s="43"/>
      <c r="I6" s="44" t="s">
        <v>53</v>
      </c>
      <c r="J6" s="43"/>
      <c r="K6" s="43"/>
      <c r="L6" s="43"/>
      <c r="M6" s="43"/>
      <c r="N6" s="43"/>
      <c r="O6" s="43"/>
      <c r="P6" s="43"/>
      <c r="Q6" s="44" t="s">
        <v>53</v>
      </c>
      <c r="R6" s="44" t="s">
        <v>53</v>
      </c>
      <c r="S6" s="44" t="s">
        <v>53</v>
      </c>
      <c r="T6" s="44" t="s">
        <v>53</v>
      </c>
      <c r="U6" s="44" t="s">
        <v>53</v>
      </c>
      <c r="V6" s="44" t="s">
        <v>53</v>
      </c>
      <c r="W6" s="44" t="s">
        <v>53</v>
      </c>
      <c r="X6" s="43" t="s">
        <v>54</v>
      </c>
      <c r="Y6" s="44" t="s">
        <v>53</v>
      </c>
      <c r="Z6" s="44" t="s">
        <v>53</v>
      </c>
      <c r="AA6" s="44" t="s">
        <v>53</v>
      </c>
      <c r="AB6" s="44" t="s">
        <v>53</v>
      </c>
      <c r="AC6" s="44" t="s">
        <v>53</v>
      </c>
      <c r="AD6" s="43"/>
      <c r="AE6" s="44" t="s">
        <v>53</v>
      </c>
      <c r="AF6" s="43"/>
      <c r="AG6" s="44" t="s">
        <v>53</v>
      </c>
      <c r="AH6" s="44" t="s">
        <v>53</v>
      </c>
      <c r="AI6" s="44" t="s">
        <v>53</v>
      </c>
      <c r="AJ6" s="44" t="s">
        <v>53</v>
      </c>
      <c r="AK6" s="44" t="s">
        <v>53</v>
      </c>
      <c r="AL6" s="43" t="s">
        <v>54</v>
      </c>
      <c r="AM6" s="43"/>
      <c r="AN6" s="43"/>
      <c r="AO6" s="44" t="s">
        <v>53</v>
      </c>
      <c r="AP6" s="43"/>
      <c r="AQ6" s="7">
        <f>+COUNTIF(D6:AO6,"a")</f>
        <v>20</v>
      </c>
      <c r="AR6" s="7">
        <f>+COUNTIF(E6:AP6,"b")</f>
        <v>2</v>
      </c>
      <c r="AS6" s="5">
        <f>+AQ6+AR6</f>
        <v>22</v>
      </c>
      <c r="AT6" s="9">
        <f>+AR6/AS6</f>
        <v>9.0909090909090912E-2</v>
      </c>
    </row>
    <row r="7" spans="1:52" ht="15" customHeight="1" x14ac:dyDescent="0.25">
      <c r="A7" s="23" t="s">
        <v>57</v>
      </c>
      <c r="B7" s="16" t="s">
        <v>50</v>
      </c>
      <c r="C7" s="3">
        <v>15</v>
      </c>
      <c r="D7" s="43"/>
      <c r="E7" s="43"/>
      <c r="F7" s="43"/>
      <c r="G7" s="43"/>
      <c r="H7" s="43"/>
      <c r="I7" s="43" t="s">
        <v>51</v>
      </c>
      <c r="J7" s="43"/>
      <c r="K7" s="43"/>
      <c r="L7" s="43"/>
      <c r="M7" s="43"/>
      <c r="N7" s="43"/>
      <c r="O7" s="43"/>
      <c r="P7" s="43"/>
      <c r="Q7" s="43" t="s">
        <v>51</v>
      </c>
      <c r="R7" s="43"/>
      <c r="S7" s="43"/>
      <c r="T7" s="43"/>
      <c r="U7" s="43"/>
      <c r="V7" s="43" t="s">
        <v>51</v>
      </c>
      <c r="W7" s="43"/>
      <c r="X7" s="43"/>
      <c r="Y7" s="43"/>
      <c r="Z7" s="43"/>
      <c r="AA7" s="43"/>
      <c r="AB7" s="43" t="s">
        <v>51</v>
      </c>
      <c r="AC7" s="43"/>
      <c r="AD7" s="43"/>
      <c r="AE7" s="43" t="s">
        <v>51</v>
      </c>
      <c r="AF7" s="43"/>
      <c r="AG7" s="43"/>
      <c r="AH7" s="43" t="s">
        <v>51</v>
      </c>
      <c r="AI7" s="43"/>
      <c r="AJ7" s="43" t="s">
        <v>51</v>
      </c>
      <c r="AK7" s="43" t="s">
        <v>51</v>
      </c>
      <c r="AL7" s="43" t="s">
        <v>51</v>
      </c>
      <c r="AM7" s="43"/>
      <c r="AN7" s="43"/>
      <c r="AO7" s="43" t="s">
        <v>51</v>
      </c>
      <c r="AP7" s="43"/>
      <c r="AQ7" s="5"/>
      <c r="AR7" s="5"/>
      <c r="AS7" s="5"/>
      <c r="AT7" s="6"/>
    </row>
    <row r="8" spans="1:52" ht="24" x14ac:dyDescent="0.25">
      <c r="A8" s="24" t="s">
        <v>57</v>
      </c>
      <c r="B8" s="17" t="s">
        <v>58</v>
      </c>
      <c r="C8" s="3">
        <v>15</v>
      </c>
      <c r="D8" s="43"/>
      <c r="E8" s="43"/>
      <c r="F8" s="43"/>
      <c r="G8" s="43"/>
      <c r="H8" s="43"/>
      <c r="I8" s="44" t="s">
        <v>53</v>
      </c>
      <c r="J8" s="43"/>
      <c r="K8" s="43"/>
      <c r="L8" s="43"/>
      <c r="M8" s="43"/>
      <c r="N8" s="43"/>
      <c r="O8" s="43"/>
      <c r="P8" s="43"/>
      <c r="Q8" s="44" t="s">
        <v>53</v>
      </c>
      <c r="R8" s="43"/>
      <c r="S8" s="43"/>
      <c r="T8" s="43"/>
      <c r="U8" s="43"/>
      <c r="V8" s="44" t="s">
        <v>53</v>
      </c>
      <c r="W8" s="43"/>
      <c r="X8" s="43"/>
      <c r="Y8" s="43"/>
      <c r="Z8" s="43"/>
      <c r="AA8" s="43"/>
      <c r="AB8" s="44" t="s">
        <v>53</v>
      </c>
      <c r="AC8" s="43"/>
      <c r="AD8" s="43"/>
      <c r="AE8" s="43" t="s">
        <v>54</v>
      </c>
      <c r="AF8" s="43"/>
      <c r="AG8" s="43"/>
      <c r="AH8" s="44" t="s">
        <v>53</v>
      </c>
      <c r="AI8" s="43"/>
      <c r="AJ8" s="44" t="s">
        <v>53</v>
      </c>
      <c r="AK8" s="44" t="s">
        <v>53</v>
      </c>
      <c r="AL8" s="43" t="s">
        <v>54</v>
      </c>
      <c r="AM8" s="43"/>
      <c r="AN8" s="43"/>
      <c r="AO8" s="43" t="s">
        <v>54</v>
      </c>
      <c r="AP8" s="43"/>
      <c r="AQ8" s="7">
        <f>+COUNTIF(D8:AO8,"a")</f>
        <v>7</v>
      </c>
      <c r="AR8" s="7">
        <f>+COUNTIF(E8:AP8,"b")</f>
        <v>3</v>
      </c>
      <c r="AS8" s="5">
        <f>+AQ8+AR8</f>
        <v>10</v>
      </c>
      <c r="AT8" s="9">
        <f>+AR8/AS8</f>
        <v>0.3</v>
      </c>
    </row>
    <row r="9" spans="1:52" ht="15" customHeight="1" x14ac:dyDescent="0.25">
      <c r="A9" s="23" t="s">
        <v>59</v>
      </c>
      <c r="B9" s="16" t="s">
        <v>50</v>
      </c>
      <c r="C9" s="3">
        <v>15</v>
      </c>
      <c r="D9" s="43"/>
      <c r="E9" s="43"/>
      <c r="F9" s="43"/>
      <c r="G9" s="43"/>
      <c r="H9" s="43"/>
      <c r="I9" s="43" t="s">
        <v>51</v>
      </c>
      <c r="J9" s="43"/>
      <c r="K9" s="43"/>
      <c r="L9" s="43"/>
      <c r="M9" s="43"/>
      <c r="N9" s="43"/>
      <c r="O9" s="43"/>
      <c r="P9" s="43"/>
      <c r="Q9" s="43" t="s">
        <v>51</v>
      </c>
      <c r="R9" s="43"/>
      <c r="S9" s="43"/>
      <c r="T9" s="43"/>
      <c r="U9" s="43"/>
      <c r="V9" s="43" t="s">
        <v>51</v>
      </c>
      <c r="W9" s="43" t="s">
        <v>51</v>
      </c>
      <c r="X9" s="43"/>
      <c r="Y9" s="43"/>
      <c r="Z9" s="43"/>
      <c r="AA9" s="43"/>
      <c r="AB9" s="43"/>
      <c r="AC9" s="43"/>
      <c r="AD9" s="43"/>
      <c r="AE9" s="43" t="s">
        <v>51</v>
      </c>
      <c r="AF9" s="43"/>
      <c r="AG9" s="43"/>
      <c r="AH9" s="43" t="s">
        <v>51</v>
      </c>
      <c r="AI9" s="43"/>
      <c r="AJ9" s="43" t="s">
        <v>51</v>
      </c>
      <c r="AK9" s="43" t="s">
        <v>51</v>
      </c>
      <c r="AL9" s="43" t="s">
        <v>51</v>
      </c>
      <c r="AM9" s="43"/>
      <c r="AN9" s="43"/>
      <c r="AO9" s="43" t="s">
        <v>51</v>
      </c>
      <c r="AP9" s="43"/>
      <c r="AQ9" s="5"/>
      <c r="AR9" s="5"/>
      <c r="AS9" s="5"/>
      <c r="AT9" s="6"/>
    </row>
    <row r="10" spans="1:52" ht="24" x14ac:dyDescent="0.25">
      <c r="A10" s="24" t="s">
        <v>59</v>
      </c>
      <c r="B10" s="17" t="s">
        <v>60</v>
      </c>
      <c r="C10" s="3"/>
      <c r="D10" s="43"/>
      <c r="E10" s="43"/>
      <c r="F10" s="43"/>
      <c r="G10" s="43"/>
      <c r="H10" s="43"/>
      <c r="I10" s="44" t="s">
        <v>53</v>
      </c>
      <c r="J10" s="43"/>
      <c r="K10" s="43"/>
      <c r="L10" s="43"/>
      <c r="M10" s="43"/>
      <c r="N10" s="43"/>
      <c r="O10" s="43"/>
      <c r="P10" s="43"/>
      <c r="Q10" s="43" t="s">
        <v>54</v>
      </c>
      <c r="R10" s="43"/>
      <c r="S10" s="43"/>
      <c r="T10" s="43"/>
      <c r="U10" s="43"/>
      <c r="V10" s="44" t="s">
        <v>53</v>
      </c>
      <c r="W10" s="44" t="s">
        <v>53</v>
      </c>
      <c r="X10" s="43"/>
      <c r="Y10" s="43"/>
      <c r="Z10" s="43"/>
      <c r="AA10" s="43"/>
      <c r="AB10" s="43"/>
      <c r="AC10" s="43"/>
      <c r="AD10" s="43"/>
      <c r="AE10" s="44" t="s">
        <v>53</v>
      </c>
      <c r="AF10" s="43"/>
      <c r="AG10" s="43"/>
      <c r="AH10" s="43" t="s">
        <v>54</v>
      </c>
      <c r="AI10" s="43"/>
      <c r="AJ10" s="44" t="s">
        <v>53</v>
      </c>
      <c r="AK10" s="44" t="s">
        <v>53</v>
      </c>
      <c r="AL10" s="43" t="s">
        <v>54</v>
      </c>
      <c r="AM10" s="43"/>
      <c r="AN10" s="43"/>
      <c r="AO10" s="43" t="s">
        <v>54</v>
      </c>
      <c r="AP10" s="43"/>
      <c r="AQ10" s="7">
        <f>+COUNTIF(D10:AO10,"a")</f>
        <v>6</v>
      </c>
      <c r="AR10" s="7">
        <f>+COUNTIF(E10:AP10,"b")</f>
        <v>4</v>
      </c>
      <c r="AS10" s="5">
        <f>+AQ10+AR10</f>
        <v>10</v>
      </c>
      <c r="AT10" s="9">
        <f>+AR10/AS10</f>
        <v>0.4</v>
      </c>
    </row>
    <row r="11" spans="1:52" x14ac:dyDescent="0.25">
      <c r="A11" s="23" t="s">
        <v>61</v>
      </c>
      <c r="B11" s="16" t="s">
        <v>50</v>
      </c>
      <c r="C11" s="3">
        <v>10</v>
      </c>
      <c r="D11" s="43" t="s">
        <v>51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 t="s">
        <v>51</v>
      </c>
      <c r="Q11" s="43" t="s">
        <v>51</v>
      </c>
      <c r="R11" s="43" t="s">
        <v>51</v>
      </c>
      <c r="S11" s="43"/>
      <c r="T11" s="43"/>
      <c r="U11" s="43" t="s">
        <v>51</v>
      </c>
      <c r="V11" s="43" t="s">
        <v>51</v>
      </c>
      <c r="W11" s="43" t="s">
        <v>51</v>
      </c>
      <c r="X11" s="43" t="s">
        <v>51</v>
      </c>
      <c r="Y11" s="43" t="s">
        <v>51</v>
      </c>
      <c r="Z11" s="43"/>
      <c r="AA11" s="43"/>
      <c r="AB11" s="43" t="s">
        <v>51</v>
      </c>
      <c r="AC11" s="43" t="s">
        <v>51</v>
      </c>
      <c r="AD11" s="43" t="s">
        <v>51</v>
      </c>
      <c r="AE11" s="43" t="s">
        <v>51</v>
      </c>
      <c r="AF11" s="43" t="s">
        <v>51</v>
      </c>
      <c r="AG11" s="43" t="s">
        <v>51</v>
      </c>
      <c r="AH11" s="43" t="s">
        <v>51</v>
      </c>
      <c r="AI11" s="43"/>
      <c r="AJ11" s="43" t="s">
        <v>51</v>
      </c>
      <c r="AK11" s="43" t="s">
        <v>51</v>
      </c>
      <c r="AL11" s="43" t="s">
        <v>51</v>
      </c>
      <c r="AM11" s="43"/>
      <c r="AN11" s="43"/>
      <c r="AO11" s="43" t="s">
        <v>51</v>
      </c>
      <c r="AP11" s="43"/>
      <c r="AQ11" s="5"/>
      <c r="AR11" s="5"/>
      <c r="AS11" s="5"/>
      <c r="AT11" s="6"/>
    </row>
    <row r="12" spans="1:52" x14ac:dyDescent="0.25">
      <c r="A12" s="24" t="s">
        <v>61</v>
      </c>
      <c r="B12" s="17" t="s">
        <v>62</v>
      </c>
      <c r="C12" s="3">
        <v>10</v>
      </c>
      <c r="D12" s="44" t="s">
        <v>53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4" t="s">
        <v>53</v>
      </c>
      <c r="Q12" s="44" t="s">
        <v>53</v>
      </c>
      <c r="R12" s="44" t="s">
        <v>53</v>
      </c>
      <c r="S12" s="43"/>
      <c r="T12" s="43"/>
      <c r="U12" s="43" t="s">
        <v>54</v>
      </c>
      <c r="V12" s="44" t="s">
        <v>53</v>
      </c>
      <c r="W12" s="44" t="s">
        <v>53</v>
      </c>
      <c r="X12" s="43" t="s">
        <v>54</v>
      </c>
      <c r="Y12" s="43" t="s">
        <v>54</v>
      </c>
      <c r="Z12" s="43"/>
      <c r="AA12" s="43"/>
      <c r="AB12" s="44" t="s">
        <v>53</v>
      </c>
      <c r="AC12" s="44" t="s">
        <v>53</v>
      </c>
      <c r="AD12" s="44" t="s">
        <v>53</v>
      </c>
      <c r="AE12" s="44" t="s">
        <v>53</v>
      </c>
      <c r="AF12" s="44" t="s">
        <v>53</v>
      </c>
      <c r="AG12" s="44" t="s">
        <v>53</v>
      </c>
      <c r="AH12" s="44" t="s">
        <v>53</v>
      </c>
      <c r="AI12" s="43"/>
      <c r="AJ12" s="44" t="s">
        <v>53</v>
      </c>
      <c r="AK12" s="44" t="s">
        <v>53</v>
      </c>
      <c r="AL12" s="44" t="s">
        <v>53</v>
      </c>
      <c r="AM12" s="43"/>
      <c r="AN12" s="43"/>
      <c r="AO12" s="44" t="s">
        <v>53</v>
      </c>
      <c r="AP12" s="43"/>
      <c r="AQ12" s="7">
        <f>+COUNTIF(D12:AO12,"a")</f>
        <v>17</v>
      </c>
      <c r="AR12" s="7">
        <f>+COUNTIF(E12:AP12,"b")</f>
        <v>3</v>
      </c>
      <c r="AS12" s="5">
        <f>+AQ12+AR12</f>
        <v>20</v>
      </c>
      <c r="AT12" s="9">
        <f>+AR12/AS12</f>
        <v>0.15</v>
      </c>
    </row>
    <row r="13" spans="1:52" ht="15" customHeight="1" x14ac:dyDescent="0.25">
      <c r="A13" s="23" t="s">
        <v>63</v>
      </c>
      <c r="B13" s="16" t="s">
        <v>50</v>
      </c>
      <c r="C13" s="3">
        <v>4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51</v>
      </c>
      <c r="O13" s="43"/>
      <c r="P13" s="43"/>
      <c r="Q13" s="43"/>
      <c r="R13" s="43"/>
      <c r="S13" s="43"/>
      <c r="T13" s="43"/>
      <c r="U13" s="43" t="s">
        <v>51</v>
      </c>
      <c r="V13" s="43"/>
      <c r="W13" s="43"/>
      <c r="X13" s="43"/>
      <c r="Y13" s="43" t="s">
        <v>51</v>
      </c>
      <c r="Z13" s="43" t="s">
        <v>51</v>
      </c>
      <c r="AA13" s="43" t="s">
        <v>51</v>
      </c>
      <c r="AB13" s="43" t="s">
        <v>51</v>
      </c>
      <c r="AC13" s="43"/>
      <c r="AD13" s="43"/>
      <c r="AE13" s="43" t="s">
        <v>51</v>
      </c>
      <c r="AF13" s="43"/>
      <c r="AG13" s="43" t="s">
        <v>51</v>
      </c>
      <c r="AH13" s="43" t="s">
        <v>51</v>
      </c>
      <c r="AI13" s="43"/>
      <c r="AJ13" s="43" t="s">
        <v>51</v>
      </c>
      <c r="AK13" s="43"/>
      <c r="AL13" s="43"/>
      <c r="AM13" s="43"/>
      <c r="AN13" s="43"/>
      <c r="AO13" s="43"/>
      <c r="AP13" s="43" t="s">
        <v>51</v>
      </c>
      <c r="AQ13" s="5"/>
      <c r="AR13" s="5"/>
      <c r="AS13" s="5"/>
      <c r="AT13" s="6"/>
    </row>
    <row r="14" spans="1:52" ht="24" x14ac:dyDescent="0.25">
      <c r="A14" s="24" t="s">
        <v>63</v>
      </c>
      <c r="B14" s="17" t="s">
        <v>64</v>
      </c>
      <c r="C14" s="3">
        <v>6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 t="s">
        <v>53</v>
      </c>
      <c r="O14" s="43"/>
      <c r="P14" s="43"/>
      <c r="Q14" s="43"/>
      <c r="R14" s="43"/>
      <c r="S14" s="43"/>
      <c r="T14" s="43"/>
      <c r="U14" s="43" t="s">
        <v>54</v>
      </c>
      <c r="V14" s="43"/>
      <c r="W14" s="43"/>
      <c r="X14" s="43"/>
      <c r="Y14" s="44" t="s">
        <v>53</v>
      </c>
      <c r="Z14" s="44" t="s">
        <v>53</v>
      </c>
      <c r="AA14" s="44" t="s">
        <v>53</v>
      </c>
      <c r="AB14" s="43" t="s">
        <v>54</v>
      </c>
      <c r="AC14" s="43"/>
      <c r="AD14" s="43"/>
      <c r="AE14" s="43" t="s">
        <v>54</v>
      </c>
      <c r="AF14" s="43"/>
      <c r="AG14" s="44" t="s">
        <v>53</v>
      </c>
      <c r="AH14" s="44" t="s">
        <v>53</v>
      </c>
      <c r="AI14" s="43"/>
      <c r="AJ14" s="44" t="s">
        <v>53</v>
      </c>
      <c r="AK14" s="43"/>
      <c r="AL14" s="43"/>
      <c r="AM14" s="43"/>
      <c r="AN14" s="43"/>
      <c r="AO14" s="43"/>
      <c r="AP14" s="44" t="s">
        <v>53</v>
      </c>
      <c r="AQ14" s="7">
        <f>+COUNTIF(D14:AO14,"a")</f>
        <v>7</v>
      </c>
      <c r="AR14" s="7">
        <f>+COUNTIF(E14:AP14,"b")</f>
        <v>3</v>
      </c>
      <c r="AS14" s="5">
        <f>+AQ14+AR14</f>
        <v>10</v>
      </c>
      <c r="AT14" s="9">
        <f>+AR14/AS14</f>
        <v>0.3</v>
      </c>
    </row>
    <row r="15" spans="1:52" ht="15" customHeight="1" x14ac:dyDescent="0.25">
      <c r="A15" s="23" t="s">
        <v>65</v>
      </c>
      <c r="B15" s="16" t="s">
        <v>50</v>
      </c>
      <c r="C15" s="3">
        <v>4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 t="s">
        <v>51</v>
      </c>
      <c r="O15" s="43"/>
      <c r="P15" s="43"/>
      <c r="Q15" s="43"/>
      <c r="R15" s="43"/>
      <c r="S15" s="43"/>
      <c r="T15" s="43"/>
      <c r="U15" s="43" t="s">
        <v>51</v>
      </c>
      <c r="V15" s="43"/>
      <c r="W15" s="43"/>
      <c r="X15" s="43"/>
      <c r="Y15" s="43" t="s">
        <v>51</v>
      </c>
      <c r="Z15" s="43" t="s">
        <v>51</v>
      </c>
      <c r="AA15" s="43" t="s">
        <v>51</v>
      </c>
      <c r="AB15" s="43" t="s">
        <v>51</v>
      </c>
      <c r="AC15" s="43"/>
      <c r="AD15" s="43"/>
      <c r="AE15" s="43" t="s">
        <v>51</v>
      </c>
      <c r="AF15" s="43"/>
      <c r="AG15" s="43" t="s">
        <v>51</v>
      </c>
      <c r="AH15" s="43" t="s">
        <v>51</v>
      </c>
      <c r="AI15" s="43"/>
      <c r="AJ15" s="43" t="s">
        <v>51</v>
      </c>
      <c r="AK15" s="43"/>
      <c r="AL15" s="43"/>
      <c r="AM15" s="43"/>
      <c r="AN15" s="43"/>
      <c r="AO15" s="43"/>
      <c r="AP15" s="43" t="s">
        <v>51</v>
      </c>
      <c r="AQ15" s="5"/>
      <c r="AR15" s="5"/>
      <c r="AS15" s="5"/>
      <c r="AT15" s="6"/>
    </row>
    <row r="16" spans="1:52" ht="24" x14ac:dyDescent="0.25">
      <c r="A16" s="24" t="s">
        <v>65</v>
      </c>
      <c r="B16" s="17" t="s">
        <v>66</v>
      </c>
      <c r="C16" s="3">
        <v>6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53</v>
      </c>
      <c r="O16" s="43"/>
      <c r="P16" s="43"/>
      <c r="Q16" s="43"/>
      <c r="R16" s="43"/>
      <c r="S16" s="43"/>
      <c r="T16" s="43"/>
      <c r="U16" s="44" t="s">
        <v>53</v>
      </c>
      <c r="V16" s="43"/>
      <c r="W16" s="43"/>
      <c r="X16" s="43"/>
      <c r="Y16" s="44" t="s">
        <v>53</v>
      </c>
      <c r="Z16" s="44" t="s">
        <v>53</v>
      </c>
      <c r="AA16" s="44" t="s">
        <v>53</v>
      </c>
      <c r="AB16" s="44" t="s">
        <v>53</v>
      </c>
      <c r="AC16" s="43"/>
      <c r="AD16" s="43"/>
      <c r="AE16" s="43" t="s">
        <v>54</v>
      </c>
      <c r="AF16" s="43"/>
      <c r="AG16" s="44" t="s">
        <v>53</v>
      </c>
      <c r="AH16" s="44" t="s">
        <v>53</v>
      </c>
      <c r="AI16" s="43"/>
      <c r="AJ16" s="44" t="s">
        <v>53</v>
      </c>
      <c r="AK16" s="43"/>
      <c r="AL16" s="43"/>
      <c r="AM16" s="43"/>
      <c r="AN16" s="43"/>
      <c r="AO16" s="43"/>
      <c r="AP16" s="44" t="s">
        <v>53</v>
      </c>
      <c r="AQ16" s="7">
        <f>+COUNTIF(D16:AO16,"a")</f>
        <v>9</v>
      </c>
      <c r="AR16" s="7">
        <f>+COUNTIF(E16:AP16,"b")</f>
        <v>1</v>
      </c>
      <c r="AS16" s="5">
        <f>+AQ16+AR16</f>
        <v>10</v>
      </c>
      <c r="AT16" s="9">
        <f>+AR16/AS16</f>
        <v>0.1</v>
      </c>
    </row>
    <row r="17" spans="1:46" ht="15" customHeight="1" x14ac:dyDescent="0.25">
      <c r="A17" s="23" t="s">
        <v>67</v>
      </c>
      <c r="B17" s="16" t="s">
        <v>50</v>
      </c>
      <c r="C17" s="2"/>
      <c r="D17" s="45"/>
      <c r="E17" s="45"/>
      <c r="F17" s="45"/>
      <c r="G17" s="45" t="s">
        <v>51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 t="s">
        <v>51</v>
      </c>
      <c r="W17" s="45" t="s">
        <v>51</v>
      </c>
      <c r="X17" s="45" t="s">
        <v>51</v>
      </c>
      <c r="Y17" s="45" t="s">
        <v>51</v>
      </c>
      <c r="Z17" s="45" t="s">
        <v>51</v>
      </c>
      <c r="AA17" s="45" t="s">
        <v>51</v>
      </c>
      <c r="AB17" s="45" t="s">
        <v>51</v>
      </c>
      <c r="AC17" s="45" t="s">
        <v>51</v>
      </c>
      <c r="AD17" s="45" t="s">
        <v>51</v>
      </c>
      <c r="AE17" s="45"/>
      <c r="AF17" s="45" t="s">
        <v>51</v>
      </c>
      <c r="AG17" s="45" t="s">
        <v>51</v>
      </c>
      <c r="AH17" s="45" t="s">
        <v>51</v>
      </c>
      <c r="AI17" s="45" t="s">
        <v>51</v>
      </c>
      <c r="AJ17" s="45" t="s">
        <v>51</v>
      </c>
      <c r="AK17" s="45"/>
      <c r="AL17" s="45"/>
      <c r="AM17" s="45" t="s">
        <v>51</v>
      </c>
      <c r="AN17" s="45"/>
      <c r="AO17" s="45"/>
      <c r="AP17" s="45" t="s">
        <v>51</v>
      </c>
      <c r="AQ17" s="5"/>
      <c r="AR17" s="5"/>
      <c r="AS17" s="5"/>
      <c r="AT17" s="6"/>
    </row>
    <row r="18" spans="1:46" ht="24" x14ac:dyDescent="0.25">
      <c r="A18" s="24" t="s">
        <v>67</v>
      </c>
      <c r="B18" s="17" t="s">
        <v>68</v>
      </c>
      <c r="C18" s="2">
        <v>1</v>
      </c>
      <c r="D18" s="43"/>
      <c r="E18" s="43"/>
      <c r="F18" s="43"/>
      <c r="G18" s="44" t="s">
        <v>53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4" t="s">
        <v>53</v>
      </c>
      <c r="W18" s="43" t="s">
        <v>54</v>
      </c>
      <c r="X18" s="43" t="s">
        <v>54</v>
      </c>
      <c r="Y18" s="44" t="s">
        <v>53</v>
      </c>
      <c r="Z18" s="44" t="s">
        <v>53</v>
      </c>
      <c r="AA18" s="44" t="s">
        <v>53</v>
      </c>
      <c r="AB18" s="44" t="s">
        <v>53</v>
      </c>
      <c r="AC18" s="44" t="s">
        <v>53</v>
      </c>
      <c r="AD18" s="44" t="s">
        <v>53</v>
      </c>
      <c r="AE18" s="43"/>
      <c r="AF18" s="43" t="s">
        <v>54</v>
      </c>
      <c r="AG18" s="44" t="s">
        <v>53</v>
      </c>
      <c r="AH18" s="44" t="s">
        <v>53</v>
      </c>
      <c r="AI18" s="44" t="s">
        <v>53</v>
      </c>
      <c r="AJ18" s="44" t="s">
        <v>53</v>
      </c>
      <c r="AK18" s="43"/>
      <c r="AL18" s="43"/>
      <c r="AM18" s="44" t="s">
        <v>53</v>
      </c>
      <c r="AN18" s="43"/>
      <c r="AO18" s="43"/>
      <c r="AP18" s="43" t="s">
        <v>54</v>
      </c>
      <c r="AQ18" s="7">
        <f>+COUNTIF(D18:AO18,"a")</f>
        <v>13</v>
      </c>
      <c r="AR18" s="7">
        <f>+COUNTIF(E18:AP18,"b")</f>
        <v>4</v>
      </c>
      <c r="AS18" s="5">
        <f>+AQ18+AR18</f>
        <v>17</v>
      </c>
      <c r="AT18" s="9">
        <f>+AR18/AS18</f>
        <v>0.23529411764705882</v>
      </c>
    </row>
    <row r="19" spans="1:46" ht="15" customHeight="1" x14ac:dyDescent="0.25">
      <c r="A19" s="23" t="s">
        <v>69</v>
      </c>
      <c r="B19" s="16" t="s">
        <v>50</v>
      </c>
      <c r="C19" s="3">
        <v>2</v>
      </c>
      <c r="D19" s="43"/>
      <c r="E19" s="43"/>
      <c r="F19" s="43"/>
      <c r="G19" s="43" t="s">
        <v>51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 t="s">
        <v>51</v>
      </c>
      <c r="W19" s="43" t="s">
        <v>51</v>
      </c>
      <c r="X19" s="43" t="s">
        <v>51</v>
      </c>
      <c r="Y19" s="43" t="s">
        <v>51</v>
      </c>
      <c r="Z19" s="43" t="s">
        <v>51</v>
      </c>
      <c r="AA19" s="43" t="s">
        <v>51</v>
      </c>
      <c r="AB19" s="43" t="s">
        <v>51</v>
      </c>
      <c r="AC19" s="43" t="s">
        <v>51</v>
      </c>
      <c r="AD19" s="43" t="s">
        <v>51</v>
      </c>
      <c r="AE19" s="43"/>
      <c r="AF19" s="43" t="s">
        <v>51</v>
      </c>
      <c r="AG19" s="43" t="s">
        <v>51</v>
      </c>
      <c r="AH19" s="43" t="s">
        <v>51</v>
      </c>
      <c r="AI19" s="43"/>
      <c r="AJ19" s="43" t="s">
        <v>51</v>
      </c>
      <c r="AK19" s="43"/>
      <c r="AL19" s="43"/>
      <c r="AM19" s="43" t="s">
        <v>51</v>
      </c>
      <c r="AN19" s="43"/>
      <c r="AO19" s="43"/>
      <c r="AP19" s="43" t="s">
        <v>51</v>
      </c>
      <c r="AQ19" s="5"/>
      <c r="AR19" s="5"/>
      <c r="AS19" s="5"/>
      <c r="AT19" s="6"/>
    </row>
    <row r="20" spans="1:46" ht="24" x14ac:dyDescent="0.25">
      <c r="A20" s="24" t="s">
        <v>69</v>
      </c>
      <c r="B20" s="17" t="s">
        <v>70</v>
      </c>
      <c r="C20" s="3">
        <v>7</v>
      </c>
      <c r="D20" s="44" t="s">
        <v>53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4" t="s">
        <v>53</v>
      </c>
      <c r="W20" s="44" t="s">
        <v>53</v>
      </c>
      <c r="X20" s="43" t="s">
        <v>54</v>
      </c>
      <c r="Y20" s="44" t="s">
        <v>53</v>
      </c>
      <c r="Z20" s="44" t="s">
        <v>53</v>
      </c>
      <c r="AA20" s="44" t="s">
        <v>53</v>
      </c>
      <c r="AB20" s="44" t="s">
        <v>53</v>
      </c>
      <c r="AC20" s="44" t="s">
        <v>53</v>
      </c>
      <c r="AD20" s="44" t="s">
        <v>53</v>
      </c>
      <c r="AE20" s="43"/>
      <c r="AF20" s="43" t="s">
        <v>54</v>
      </c>
      <c r="AG20" s="44" t="s">
        <v>53</v>
      </c>
      <c r="AH20" s="44" t="s">
        <v>53</v>
      </c>
      <c r="AI20" s="43"/>
      <c r="AJ20" s="44" t="s">
        <v>53</v>
      </c>
      <c r="AK20" s="43"/>
      <c r="AL20" s="43"/>
      <c r="AM20" s="44" t="s">
        <v>53</v>
      </c>
      <c r="AN20" s="43"/>
      <c r="AO20" s="43"/>
      <c r="AP20" s="43" t="s">
        <v>54</v>
      </c>
      <c r="AQ20" s="7">
        <f>+COUNTIF(D20:AO20,"a")</f>
        <v>13</v>
      </c>
      <c r="AR20" s="7">
        <f>+COUNTIF(E20:AP20,"b")</f>
        <v>3</v>
      </c>
      <c r="AS20" s="5">
        <f>+AQ20+AR20</f>
        <v>16</v>
      </c>
      <c r="AT20" s="9">
        <f>+AR20/AS20</f>
        <v>0.1875</v>
      </c>
    </row>
    <row r="21" spans="1:46" x14ac:dyDescent="0.25">
      <c r="A21" s="23" t="s">
        <v>71</v>
      </c>
      <c r="B21" s="16" t="s">
        <v>50</v>
      </c>
      <c r="C21" s="3">
        <v>10</v>
      </c>
      <c r="D21" s="45" t="s">
        <v>51</v>
      </c>
      <c r="E21" s="45" t="s">
        <v>51</v>
      </c>
      <c r="F21" s="45" t="s">
        <v>51</v>
      </c>
      <c r="G21" s="45"/>
      <c r="H21" s="45" t="s">
        <v>51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 t="s">
        <v>51</v>
      </c>
      <c r="T21" s="45"/>
      <c r="U21" s="45" t="s">
        <v>51</v>
      </c>
      <c r="V21" s="45" t="s">
        <v>51</v>
      </c>
      <c r="W21" s="45" t="s">
        <v>51</v>
      </c>
      <c r="X21" s="45"/>
      <c r="Y21" s="45"/>
      <c r="Z21" s="45" t="s">
        <v>51</v>
      </c>
      <c r="AA21" s="45"/>
      <c r="AB21" s="45" t="s">
        <v>51</v>
      </c>
      <c r="AC21" s="45" t="s">
        <v>51</v>
      </c>
      <c r="AD21" s="45" t="s">
        <v>51</v>
      </c>
      <c r="AE21" s="45" t="s">
        <v>51</v>
      </c>
      <c r="AF21" s="45" t="s">
        <v>51</v>
      </c>
      <c r="AG21" s="45"/>
      <c r="AH21" s="45" t="s">
        <v>51</v>
      </c>
      <c r="AI21" s="45"/>
      <c r="AJ21" s="45" t="s">
        <v>51</v>
      </c>
      <c r="AK21" s="45" t="s">
        <v>51</v>
      </c>
      <c r="AL21" s="45" t="s">
        <v>51</v>
      </c>
      <c r="AM21" s="45"/>
      <c r="AN21" s="45"/>
      <c r="AO21" s="45" t="s">
        <v>51</v>
      </c>
      <c r="AP21" s="45"/>
      <c r="AQ21" s="5"/>
      <c r="AR21" s="5"/>
      <c r="AS21" s="5"/>
      <c r="AT21" s="6"/>
    </row>
    <row r="22" spans="1:46" x14ac:dyDescent="0.25">
      <c r="A22" s="25" t="s">
        <v>71</v>
      </c>
      <c r="B22" s="17" t="s">
        <v>72</v>
      </c>
      <c r="C22" s="3">
        <v>10</v>
      </c>
      <c r="D22" s="43"/>
      <c r="E22" s="43"/>
      <c r="F22" s="44" t="s">
        <v>53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 t="s">
        <v>54</v>
      </c>
      <c r="T22" s="43"/>
      <c r="U22" s="43" t="s">
        <v>54</v>
      </c>
      <c r="V22" s="43" t="s">
        <v>54</v>
      </c>
      <c r="W22" s="43" t="s">
        <v>54</v>
      </c>
      <c r="X22" s="43"/>
      <c r="Y22" s="43"/>
      <c r="Z22" s="44" t="s">
        <v>53</v>
      </c>
      <c r="AA22" s="43"/>
      <c r="AB22" s="44" t="s">
        <v>53</v>
      </c>
      <c r="AC22" s="44" t="s">
        <v>53</v>
      </c>
      <c r="AD22" s="44" t="s">
        <v>53</v>
      </c>
      <c r="AE22" s="43" t="s">
        <v>54</v>
      </c>
      <c r="AF22" s="43" t="s">
        <v>54</v>
      </c>
      <c r="AG22" s="43"/>
      <c r="AH22" s="44" t="s">
        <v>53</v>
      </c>
      <c r="AI22" s="43"/>
      <c r="AJ22" s="44" t="s">
        <v>53</v>
      </c>
      <c r="AK22" s="44" t="s">
        <v>53</v>
      </c>
      <c r="AL22" s="43" t="s">
        <v>54</v>
      </c>
      <c r="AM22" s="43"/>
      <c r="AN22" s="43"/>
      <c r="AO22" s="43" t="s">
        <v>54</v>
      </c>
      <c r="AP22" s="43"/>
      <c r="AQ22" s="7">
        <f t="shared" ref="AQ22:AQ23" si="0">+COUNTIF(D22:AO22,"a")</f>
        <v>8</v>
      </c>
      <c r="AR22" s="7">
        <f t="shared" ref="AR22:AR23" si="1">+COUNTIF(E22:AP22,"b")</f>
        <v>8</v>
      </c>
      <c r="AS22" s="5">
        <f t="shared" ref="AS22:AS23" si="2">+AQ22+AR22</f>
        <v>16</v>
      </c>
      <c r="AT22" s="9">
        <f t="shared" ref="AT22:AT23" si="3">+AR22/AS22</f>
        <v>0.5</v>
      </c>
    </row>
    <row r="23" spans="1:46" x14ac:dyDescent="0.25">
      <c r="A23" s="24" t="s">
        <v>71</v>
      </c>
      <c r="B23" s="17" t="s">
        <v>73</v>
      </c>
      <c r="C23" s="3">
        <v>7</v>
      </c>
      <c r="D23" s="43"/>
      <c r="E23" s="43"/>
      <c r="F23" s="43"/>
      <c r="G23" s="44" t="s">
        <v>53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 t="s">
        <v>54</v>
      </c>
      <c r="T23" s="43"/>
      <c r="U23" s="43" t="s">
        <v>54</v>
      </c>
      <c r="V23" s="43" t="s">
        <v>54</v>
      </c>
      <c r="W23" s="43" t="s">
        <v>54</v>
      </c>
      <c r="X23" s="43"/>
      <c r="Y23" s="43"/>
      <c r="Z23" s="44" t="s">
        <v>53</v>
      </c>
      <c r="AA23" s="43"/>
      <c r="AB23" s="44" t="s">
        <v>53</v>
      </c>
      <c r="AC23" s="44" t="s">
        <v>53</v>
      </c>
      <c r="AD23" s="44" t="s">
        <v>53</v>
      </c>
      <c r="AE23" s="43" t="s">
        <v>54</v>
      </c>
      <c r="AF23" s="43" t="s">
        <v>54</v>
      </c>
      <c r="AG23" s="43"/>
      <c r="AH23" s="44" t="s">
        <v>53</v>
      </c>
      <c r="AI23" s="43"/>
      <c r="AJ23" s="44" t="s">
        <v>53</v>
      </c>
      <c r="AK23" s="44" t="s">
        <v>53</v>
      </c>
      <c r="AL23" s="43" t="s">
        <v>54</v>
      </c>
      <c r="AM23" s="43"/>
      <c r="AN23" s="43"/>
      <c r="AO23" s="43" t="s">
        <v>54</v>
      </c>
      <c r="AP23" s="43"/>
      <c r="AQ23" s="7">
        <f t="shared" si="0"/>
        <v>8</v>
      </c>
      <c r="AR23" s="7">
        <f t="shared" si="1"/>
        <v>8</v>
      </c>
      <c r="AS23" s="5">
        <f t="shared" si="2"/>
        <v>16</v>
      </c>
      <c r="AT23" s="9">
        <f t="shared" si="3"/>
        <v>0.5</v>
      </c>
    </row>
    <row r="24" spans="1:46" x14ac:dyDescent="0.25">
      <c r="A24" s="23" t="s">
        <v>74</v>
      </c>
      <c r="B24" s="16" t="s">
        <v>50</v>
      </c>
      <c r="C24" s="3">
        <v>10</v>
      </c>
      <c r="D24" s="43" t="s">
        <v>51</v>
      </c>
      <c r="E24" s="43" t="s">
        <v>51</v>
      </c>
      <c r="F24" s="43" t="s">
        <v>51</v>
      </c>
      <c r="G24" s="43" t="s">
        <v>51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 t="s">
        <v>51</v>
      </c>
      <c r="T24" s="43"/>
      <c r="U24" s="43"/>
      <c r="V24" s="43" t="s">
        <v>51</v>
      </c>
      <c r="W24" s="43" t="s">
        <v>51</v>
      </c>
      <c r="X24" s="43" t="s">
        <v>51</v>
      </c>
      <c r="Y24" s="43"/>
      <c r="Z24" s="43" t="s">
        <v>51</v>
      </c>
      <c r="AA24" s="43"/>
      <c r="AB24" s="43" t="s">
        <v>51</v>
      </c>
      <c r="AC24" s="43" t="s">
        <v>51</v>
      </c>
      <c r="AD24" s="43" t="s">
        <v>51</v>
      </c>
      <c r="AE24" s="43" t="s">
        <v>51</v>
      </c>
      <c r="AF24" s="43" t="s">
        <v>51</v>
      </c>
      <c r="AG24" s="43"/>
      <c r="AH24" s="43" t="s">
        <v>51</v>
      </c>
      <c r="AI24" s="43" t="s">
        <v>51</v>
      </c>
      <c r="AJ24" s="43" t="s">
        <v>51</v>
      </c>
      <c r="AK24" s="43" t="s">
        <v>51</v>
      </c>
      <c r="AL24" s="43" t="s">
        <v>51</v>
      </c>
      <c r="AM24" s="43" t="s">
        <v>51</v>
      </c>
      <c r="AN24" s="43"/>
      <c r="AO24" s="43" t="s">
        <v>51</v>
      </c>
      <c r="AP24" s="43"/>
      <c r="AQ24" s="5"/>
      <c r="AR24" s="5"/>
      <c r="AS24" s="5"/>
      <c r="AT24" s="6"/>
    </row>
    <row r="25" spans="1:46" x14ac:dyDescent="0.25">
      <c r="A25" s="25" t="s">
        <v>74</v>
      </c>
      <c r="B25" s="17" t="s">
        <v>75</v>
      </c>
      <c r="C25" s="3">
        <v>4</v>
      </c>
      <c r="D25" s="44" t="s">
        <v>53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 t="s">
        <v>54</v>
      </c>
      <c r="T25" s="43"/>
      <c r="U25" s="43"/>
      <c r="V25" s="43" t="s">
        <v>54</v>
      </c>
      <c r="W25" s="43" t="s">
        <v>54</v>
      </c>
      <c r="X25" s="43" t="s">
        <v>54</v>
      </c>
      <c r="Y25" s="43"/>
      <c r="Z25" s="44" t="s">
        <v>53</v>
      </c>
      <c r="AA25" s="43"/>
      <c r="AB25" s="44" t="s">
        <v>53</v>
      </c>
      <c r="AC25" s="44" t="s">
        <v>53</v>
      </c>
      <c r="AD25" s="44" t="s">
        <v>53</v>
      </c>
      <c r="AE25" s="43" t="s">
        <v>54</v>
      </c>
      <c r="AF25" s="43" t="s">
        <v>54</v>
      </c>
      <c r="AG25" s="43"/>
      <c r="AH25" s="44" t="s">
        <v>53</v>
      </c>
      <c r="AI25" s="43" t="s">
        <v>54</v>
      </c>
      <c r="AJ25" s="44" t="s">
        <v>53</v>
      </c>
      <c r="AK25" s="44" t="s">
        <v>53</v>
      </c>
      <c r="AL25" s="43" t="s">
        <v>54</v>
      </c>
      <c r="AM25" s="44" t="s">
        <v>53</v>
      </c>
      <c r="AN25" s="43"/>
      <c r="AO25" s="43" t="s">
        <v>54</v>
      </c>
      <c r="AP25" s="43"/>
      <c r="AQ25" s="7">
        <f t="shared" ref="AQ25:AQ27" si="4">+COUNTIF(D25:AO25,"a")</f>
        <v>9</v>
      </c>
      <c r="AR25" s="7">
        <f t="shared" ref="AR25:AR27" si="5">+COUNTIF(E25:AP25,"b")</f>
        <v>9</v>
      </c>
      <c r="AS25" s="5">
        <f t="shared" ref="AS25:AS27" si="6">+AQ25+AR25</f>
        <v>18</v>
      </c>
      <c r="AT25" s="9">
        <f t="shared" ref="AT25:AT27" si="7">+AR25/AS25</f>
        <v>0.5</v>
      </c>
    </row>
    <row r="26" spans="1:46" x14ac:dyDescent="0.25">
      <c r="A26" s="25" t="s">
        <v>74</v>
      </c>
      <c r="B26" s="17" t="s">
        <v>76</v>
      </c>
      <c r="C26" s="3">
        <v>8</v>
      </c>
      <c r="D26" s="43"/>
      <c r="E26" s="43"/>
      <c r="F26" s="43"/>
      <c r="G26" s="44" t="s">
        <v>53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 t="s">
        <v>54</v>
      </c>
      <c r="T26" s="43"/>
      <c r="U26" s="43"/>
      <c r="V26" s="43" t="s">
        <v>54</v>
      </c>
      <c r="W26" s="43" t="s">
        <v>54</v>
      </c>
      <c r="X26" s="43" t="s">
        <v>54</v>
      </c>
      <c r="Y26" s="43"/>
      <c r="Z26" s="44" t="s">
        <v>53</v>
      </c>
      <c r="AA26" s="43"/>
      <c r="AB26" s="44" t="s">
        <v>53</v>
      </c>
      <c r="AC26" s="44" t="s">
        <v>53</v>
      </c>
      <c r="AD26" s="44" t="s">
        <v>53</v>
      </c>
      <c r="AE26" s="43" t="s">
        <v>54</v>
      </c>
      <c r="AF26" s="43" t="s">
        <v>54</v>
      </c>
      <c r="AG26" s="43"/>
      <c r="AH26" s="44" t="s">
        <v>53</v>
      </c>
      <c r="AI26" s="43" t="s">
        <v>54</v>
      </c>
      <c r="AJ26" s="44" t="s">
        <v>53</v>
      </c>
      <c r="AK26" s="44" t="s">
        <v>53</v>
      </c>
      <c r="AL26" s="43" t="s">
        <v>54</v>
      </c>
      <c r="AM26" s="44" t="s">
        <v>53</v>
      </c>
      <c r="AN26" s="43"/>
      <c r="AO26" s="43" t="s">
        <v>54</v>
      </c>
      <c r="AP26" s="43"/>
      <c r="AQ26" s="7">
        <f t="shared" si="4"/>
        <v>9</v>
      </c>
      <c r="AR26" s="7">
        <f t="shared" si="5"/>
        <v>9</v>
      </c>
      <c r="AS26" s="5">
        <f t="shared" si="6"/>
        <v>18</v>
      </c>
      <c r="AT26" s="9">
        <f t="shared" si="7"/>
        <v>0.5</v>
      </c>
    </row>
    <row r="27" spans="1:46" x14ac:dyDescent="0.25">
      <c r="A27" s="24" t="s">
        <v>74</v>
      </c>
      <c r="B27" s="17" t="s">
        <v>77</v>
      </c>
      <c r="C27" s="3">
        <v>6</v>
      </c>
      <c r="D27" s="44" t="s">
        <v>53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 t="s">
        <v>54</v>
      </c>
      <c r="T27" s="43"/>
      <c r="U27" s="43"/>
      <c r="V27" s="43" t="s">
        <v>54</v>
      </c>
      <c r="W27" s="43" t="s">
        <v>54</v>
      </c>
      <c r="X27" s="43" t="s">
        <v>54</v>
      </c>
      <c r="Y27" s="43"/>
      <c r="Z27" s="44" t="s">
        <v>53</v>
      </c>
      <c r="AA27" s="43"/>
      <c r="AB27" s="44" t="s">
        <v>53</v>
      </c>
      <c r="AC27" s="43" t="s">
        <v>54</v>
      </c>
      <c r="AD27" s="44" t="s">
        <v>53</v>
      </c>
      <c r="AE27" s="43" t="s">
        <v>54</v>
      </c>
      <c r="AF27" s="43" t="s">
        <v>54</v>
      </c>
      <c r="AG27" s="43"/>
      <c r="AH27" s="44" t="s">
        <v>53</v>
      </c>
      <c r="AI27" s="43" t="s">
        <v>54</v>
      </c>
      <c r="AJ27" s="44" t="s">
        <v>53</v>
      </c>
      <c r="AK27" s="44" t="s">
        <v>53</v>
      </c>
      <c r="AL27" s="43" t="s">
        <v>54</v>
      </c>
      <c r="AM27" s="44" t="s">
        <v>53</v>
      </c>
      <c r="AN27" s="43"/>
      <c r="AO27" s="43" t="s">
        <v>54</v>
      </c>
      <c r="AP27" s="43"/>
      <c r="AQ27" s="7">
        <f t="shared" si="4"/>
        <v>8</v>
      </c>
      <c r="AR27" s="7">
        <f t="shared" si="5"/>
        <v>10</v>
      </c>
      <c r="AS27" s="5">
        <f t="shared" si="6"/>
        <v>18</v>
      </c>
      <c r="AT27" s="9">
        <f t="shared" si="7"/>
        <v>0.55555555555555558</v>
      </c>
    </row>
    <row r="28" spans="1:46" ht="15" customHeight="1" x14ac:dyDescent="0.25">
      <c r="A28" s="23" t="s">
        <v>78</v>
      </c>
      <c r="B28" s="16" t="s">
        <v>50</v>
      </c>
      <c r="C28" s="3"/>
      <c r="D28" s="43" t="s">
        <v>51</v>
      </c>
      <c r="E28" s="43" t="s">
        <v>51</v>
      </c>
      <c r="F28" s="43" t="s">
        <v>51</v>
      </c>
      <c r="G28" s="43" t="s">
        <v>51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 t="s">
        <v>51</v>
      </c>
      <c r="W28" s="43" t="s">
        <v>51</v>
      </c>
      <c r="X28" s="43" t="s">
        <v>51</v>
      </c>
      <c r="Y28" s="43"/>
      <c r="Z28" s="43" t="s">
        <v>51</v>
      </c>
      <c r="AA28" s="43" t="s">
        <v>51</v>
      </c>
      <c r="AB28" s="43" t="s">
        <v>51</v>
      </c>
      <c r="AC28" s="43" t="s">
        <v>51</v>
      </c>
      <c r="AD28" s="43" t="s">
        <v>51</v>
      </c>
      <c r="AE28" s="43" t="s">
        <v>51</v>
      </c>
      <c r="AF28" s="43" t="s">
        <v>51</v>
      </c>
      <c r="AG28" s="43" t="s">
        <v>51</v>
      </c>
      <c r="AH28" s="43" t="s">
        <v>51</v>
      </c>
      <c r="AI28" s="43" t="s">
        <v>51</v>
      </c>
      <c r="AJ28" s="43" t="s">
        <v>51</v>
      </c>
      <c r="AK28" s="43" t="s">
        <v>51</v>
      </c>
      <c r="AL28" s="43"/>
      <c r="AM28" s="43" t="s">
        <v>51</v>
      </c>
      <c r="AN28" s="43"/>
      <c r="AO28" s="43" t="s">
        <v>51</v>
      </c>
      <c r="AP28" s="43"/>
      <c r="AQ28" s="5"/>
      <c r="AR28" s="5"/>
      <c r="AS28" s="5"/>
      <c r="AT28" s="6"/>
    </row>
    <row r="29" spans="1:46" ht="24" x14ac:dyDescent="0.25">
      <c r="A29" s="25" t="s">
        <v>78</v>
      </c>
      <c r="B29" s="17" t="s">
        <v>79</v>
      </c>
      <c r="C29" s="3">
        <v>3</v>
      </c>
      <c r="D29" s="43"/>
      <c r="E29" s="43"/>
      <c r="F29" s="43"/>
      <c r="G29" s="44" t="s">
        <v>53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 t="s">
        <v>54</v>
      </c>
      <c r="W29" s="43" t="s">
        <v>54</v>
      </c>
      <c r="X29" s="43" t="s">
        <v>54</v>
      </c>
      <c r="Y29" s="43"/>
      <c r="Z29" s="44" t="s">
        <v>53</v>
      </c>
      <c r="AA29" s="43"/>
      <c r="AB29" s="44" t="s">
        <v>53</v>
      </c>
      <c r="AC29" s="44" t="s">
        <v>53</v>
      </c>
      <c r="AD29" s="44" t="s">
        <v>53</v>
      </c>
      <c r="AE29" s="43" t="s">
        <v>54</v>
      </c>
      <c r="AF29" s="43"/>
      <c r="AG29" s="43"/>
      <c r="AH29" s="44" t="s">
        <v>53</v>
      </c>
      <c r="AI29" s="43" t="s">
        <v>54</v>
      </c>
      <c r="AJ29" s="44" t="s">
        <v>53</v>
      </c>
      <c r="AK29" s="44" t="s">
        <v>53</v>
      </c>
      <c r="AL29" s="43"/>
      <c r="AM29" s="44" t="s">
        <v>53</v>
      </c>
      <c r="AN29" s="43"/>
      <c r="AO29" s="43" t="s">
        <v>54</v>
      </c>
      <c r="AP29" s="43"/>
      <c r="AQ29" s="7">
        <f t="shared" ref="AQ29:AQ34" si="8">+COUNTIF(D29:AO29,"a")</f>
        <v>9</v>
      </c>
      <c r="AR29" s="7">
        <f t="shared" ref="AR29:AR34" si="9">+COUNTIF(E29:AP29,"b")</f>
        <v>6</v>
      </c>
      <c r="AS29" s="5">
        <f t="shared" ref="AS29:AS34" si="10">+AQ29+AR29</f>
        <v>15</v>
      </c>
      <c r="AT29" s="9">
        <f t="shared" ref="AT29:AT34" si="11">+AR29/AS29</f>
        <v>0.4</v>
      </c>
    </row>
    <row r="30" spans="1:46" ht="24" x14ac:dyDescent="0.25">
      <c r="A30" s="25" t="s">
        <v>78</v>
      </c>
      <c r="B30" s="17" t="s">
        <v>80</v>
      </c>
      <c r="C30" s="3">
        <v>3</v>
      </c>
      <c r="D30" s="43"/>
      <c r="E30" s="43"/>
      <c r="F30" s="44" t="s">
        <v>53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 t="s">
        <v>54</v>
      </c>
      <c r="W30" s="43" t="s">
        <v>54</v>
      </c>
      <c r="X30" s="43" t="s">
        <v>54</v>
      </c>
      <c r="Y30" s="43"/>
      <c r="Z30" s="44" t="s">
        <v>53</v>
      </c>
      <c r="AA30" s="43"/>
      <c r="AB30" s="44" t="s">
        <v>53</v>
      </c>
      <c r="AC30" s="44" t="s">
        <v>53</v>
      </c>
      <c r="AD30" s="44" t="s">
        <v>53</v>
      </c>
      <c r="AE30" s="43" t="s">
        <v>54</v>
      </c>
      <c r="AF30" s="43"/>
      <c r="AG30" s="43"/>
      <c r="AH30" s="44" t="s">
        <v>53</v>
      </c>
      <c r="AI30" s="43" t="s">
        <v>54</v>
      </c>
      <c r="AJ30" s="44" t="s">
        <v>53</v>
      </c>
      <c r="AK30" s="44" t="s">
        <v>53</v>
      </c>
      <c r="AL30" s="43"/>
      <c r="AM30" s="44" t="s">
        <v>53</v>
      </c>
      <c r="AN30" s="43"/>
      <c r="AO30" s="43" t="s">
        <v>54</v>
      </c>
      <c r="AP30" s="43"/>
      <c r="AQ30" s="7">
        <f t="shared" si="8"/>
        <v>9</v>
      </c>
      <c r="AR30" s="7">
        <f t="shared" si="9"/>
        <v>6</v>
      </c>
      <c r="AS30" s="5">
        <f t="shared" si="10"/>
        <v>15</v>
      </c>
      <c r="AT30" s="9">
        <f t="shared" si="11"/>
        <v>0.4</v>
      </c>
    </row>
    <row r="31" spans="1:46" ht="24" x14ac:dyDescent="0.25">
      <c r="A31" s="25" t="s">
        <v>78</v>
      </c>
      <c r="B31" s="17" t="s">
        <v>81</v>
      </c>
      <c r="C31" s="3">
        <v>4</v>
      </c>
      <c r="D31" s="44" t="s">
        <v>53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 t="s">
        <v>54</v>
      </c>
      <c r="W31" s="43" t="s">
        <v>54</v>
      </c>
      <c r="X31" s="43" t="s">
        <v>54</v>
      </c>
      <c r="Y31" s="43"/>
      <c r="Z31" s="44" t="s">
        <v>53</v>
      </c>
      <c r="AA31" s="43"/>
      <c r="AB31" s="44" t="s">
        <v>53</v>
      </c>
      <c r="AC31" s="44" t="s">
        <v>53</v>
      </c>
      <c r="AD31" s="44" t="s">
        <v>53</v>
      </c>
      <c r="AE31" s="43" t="s">
        <v>54</v>
      </c>
      <c r="AF31" s="43"/>
      <c r="AG31" s="43"/>
      <c r="AH31" s="44" t="s">
        <v>53</v>
      </c>
      <c r="AI31" s="43" t="s">
        <v>54</v>
      </c>
      <c r="AJ31" s="44" t="s">
        <v>53</v>
      </c>
      <c r="AK31" s="44" t="s">
        <v>53</v>
      </c>
      <c r="AL31" s="43"/>
      <c r="AM31" s="44" t="s">
        <v>53</v>
      </c>
      <c r="AN31" s="43"/>
      <c r="AO31" s="43" t="s">
        <v>54</v>
      </c>
      <c r="AP31" s="43"/>
      <c r="AQ31" s="7">
        <f t="shared" si="8"/>
        <v>9</v>
      </c>
      <c r="AR31" s="7">
        <f t="shared" si="9"/>
        <v>6</v>
      </c>
      <c r="AS31" s="5">
        <f t="shared" si="10"/>
        <v>15</v>
      </c>
      <c r="AT31" s="9">
        <f t="shared" si="11"/>
        <v>0.4</v>
      </c>
    </row>
    <row r="32" spans="1:46" ht="24" x14ac:dyDescent="0.25">
      <c r="A32" s="25" t="s">
        <v>78</v>
      </c>
      <c r="B32" s="17" t="s">
        <v>82</v>
      </c>
      <c r="C32" s="3">
        <v>2</v>
      </c>
      <c r="D32" s="44" t="s">
        <v>53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4" t="s">
        <v>53</v>
      </c>
      <c r="W32" s="43" t="s">
        <v>54</v>
      </c>
      <c r="X32" s="43" t="s">
        <v>54</v>
      </c>
      <c r="Y32" s="43"/>
      <c r="Z32" s="44" t="s">
        <v>53</v>
      </c>
      <c r="AA32" s="43"/>
      <c r="AB32" s="44" t="s">
        <v>53</v>
      </c>
      <c r="AC32" s="43" t="s">
        <v>54</v>
      </c>
      <c r="AD32" s="44" t="s">
        <v>53</v>
      </c>
      <c r="AE32" s="43" t="s">
        <v>54</v>
      </c>
      <c r="AF32" s="43"/>
      <c r="AG32" s="43"/>
      <c r="AH32" s="44" t="s">
        <v>53</v>
      </c>
      <c r="AI32" s="43" t="s">
        <v>54</v>
      </c>
      <c r="AJ32" s="44" t="s">
        <v>53</v>
      </c>
      <c r="AK32" s="44" t="s">
        <v>53</v>
      </c>
      <c r="AL32" s="43"/>
      <c r="AM32" s="44" t="s">
        <v>53</v>
      </c>
      <c r="AN32" s="43"/>
      <c r="AO32" s="43" t="s">
        <v>54</v>
      </c>
      <c r="AP32" s="43"/>
      <c r="AQ32" s="7">
        <f t="shared" si="8"/>
        <v>9</v>
      </c>
      <c r="AR32" s="7">
        <f t="shared" si="9"/>
        <v>6</v>
      </c>
      <c r="AS32" s="5">
        <f t="shared" si="10"/>
        <v>15</v>
      </c>
      <c r="AT32" s="9">
        <f t="shared" si="11"/>
        <v>0.4</v>
      </c>
    </row>
    <row r="33" spans="1:46" ht="24" x14ac:dyDescent="0.25">
      <c r="A33" s="25" t="s">
        <v>78</v>
      </c>
      <c r="B33" s="17" t="s">
        <v>83</v>
      </c>
      <c r="C33" s="3">
        <v>1</v>
      </c>
      <c r="D33" s="43"/>
      <c r="E33" s="43"/>
      <c r="F33" s="43"/>
      <c r="G33" s="44" t="s">
        <v>53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4" t="s">
        <v>53</v>
      </c>
      <c r="W33" s="43" t="s">
        <v>54</v>
      </c>
      <c r="X33" s="43" t="s">
        <v>54</v>
      </c>
      <c r="Y33" s="43"/>
      <c r="Z33" s="44" t="s">
        <v>53</v>
      </c>
      <c r="AA33" s="43"/>
      <c r="AB33" s="44" t="s">
        <v>53</v>
      </c>
      <c r="AC33" s="44" t="s">
        <v>53</v>
      </c>
      <c r="AD33" s="43" t="s">
        <v>54</v>
      </c>
      <c r="AE33" s="43" t="s">
        <v>54</v>
      </c>
      <c r="AF33" s="43"/>
      <c r="AG33" s="43"/>
      <c r="AH33" s="44" t="s">
        <v>53</v>
      </c>
      <c r="AI33" s="44" t="s">
        <v>53</v>
      </c>
      <c r="AJ33" s="44" t="s">
        <v>53</v>
      </c>
      <c r="AK33" s="44" t="s">
        <v>53</v>
      </c>
      <c r="AL33" s="43"/>
      <c r="AM33" s="44" t="s">
        <v>53</v>
      </c>
      <c r="AN33" s="43"/>
      <c r="AO33" s="43" t="s">
        <v>54</v>
      </c>
      <c r="AP33" s="43"/>
      <c r="AQ33" s="7">
        <f t="shared" si="8"/>
        <v>10</v>
      </c>
      <c r="AR33" s="7">
        <f t="shared" si="9"/>
        <v>5</v>
      </c>
      <c r="AS33" s="5">
        <f t="shared" si="10"/>
        <v>15</v>
      </c>
      <c r="AT33" s="9">
        <f t="shared" si="11"/>
        <v>0.33333333333333331</v>
      </c>
    </row>
    <row r="34" spans="1:46" ht="24" x14ac:dyDescent="0.25">
      <c r="A34" s="24" t="s">
        <v>78</v>
      </c>
      <c r="B34" s="17" t="s">
        <v>84</v>
      </c>
      <c r="C34" s="3">
        <v>1</v>
      </c>
      <c r="D34" s="43"/>
      <c r="E34" s="43"/>
      <c r="F34" s="44" t="s">
        <v>53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 t="s">
        <v>54</v>
      </c>
      <c r="W34" s="43" t="s">
        <v>54</v>
      </c>
      <c r="X34" s="43" t="s">
        <v>54</v>
      </c>
      <c r="Y34" s="43"/>
      <c r="Z34" s="44" t="s">
        <v>53</v>
      </c>
      <c r="AA34" s="43"/>
      <c r="AB34" s="44" t="s">
        <v>53</v>
      </c>
      <c r="AC34" s="44" t="s">
        <v>53</v>
      </c>
      <c r="AD34" s="44" t="s">
        <v>53</v>
      </c>
      <c r="AE34" s="43" t="s">
        <v>54</v>
      </c>
      <c r="AF34" s="43"/>
      <c r="AG34" s="43"/>
      <c r="AH34" s="44" t="s">
        <v>53</v>
      </c>
      <c r="AI34" s="43" t="s">
        <v>54</v>
      </c>
      <c r="AJ34" s="44" t="s">
        <v>53</v>
      </c>
      <c r="AK34" s="44" t="s">
        <v>53</v>
      </c>
      <c r="AL34" s="43"/>
      <c r="AM34" s="44" t="s">
        <v>53</v>
      </c>
      <c r="AN34" s="43"/>
      <c r="AO34" s="43" t="s">
        <v>54</v>
      </c>
      <c r="AP34" s="43"/>
      <c r="AQ34" s="7">
        <f t="shared" si="8"/>
        <v>9</v>
      </c>
      <c r="AR34" s="7">
        <f t="shared" si="9"/>
        <v>6</v>
      </c>
      <c r="AS34" s="5">
        <f t="shared" si="10"/>
        <v>15</v>
      </c>
      <c r="AT34" s="9">
        <f t="shared" si="11"/>
        <v>0.4</v>
      </c>
    </row>
    <row r="35" spans="1:46" x14ac:dyDescent="0.25">
      <c r="A35" s="23" t="s">
        <v>85</v>
      </c>
      <c r="B35" s="16" t="s">
        <v>50</v>
      </c>
      <c r="C35" s="3"/>
      <c r="D35" s="43" t="s">
        <v>51</v>
      </c>
      <c r="E35" s="43" t="s">
        <v>51</v>
      </c>
      <c r="F35" s="43"/>
      <c r="G35" s="43" t="s">
        <v>51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 t="s">
        <v>51</v>
      </c>
      <c r="AA35" s="43"/>
      <c r="AB35" s="43" t="s">
        <v>51</v>
      </c>
      <c r="AC35" s="43" t="s">
        <v>51</v>
      </c>
      <c r="AD35" s="43" t="s">
        <v>51</v>
      </c>
      <c r="AE35" s="43" t="s">
        <v>51</v>
      </c>
      <c r="AF35" s="43"/>
      <c r="AG35" s="43" t="s">
        <v>51</v>
      </c>
      <c r="AH35" s="43" t="s">
        <v>51</v>
      </c>
      <c r="AI35" s="43"/>
      <c r="AJ35" s="43" t="s">
        <v>51</v>
      </c>
      <c r="AK35" s="43" t="s">
        <v>51</v>
      </c>
      <c r="AL35" s="43" t="s">
        <v>51</v>
      </c>
      <c r="AM35" s="43" t="s">
        <v>51</v>
      </c>
      <c r="AN35" s="43"/>
      <c r="AO35" s="43" t="s">
        <v>51</v>
      </c>
      <c r="AP35" s="43"/>
      <c r="AQ35" s="5"/>
      <c r="AR35" s="5"/>
      <c r="AS35" s="5"/>
      <c r="AT35" s="6"/>
    </row>
    <row r="36" spans="1:46" x14ac:dyDescent="0.25">
      <c r="A36" s="24" t="s">
        <v>85</v>
      </c>
      <c r="B36" s="17" t="s">
        <v>86</v>
      </c>
      <c r="C36" s="3">
        <v>10</v>
      </c>
      <c r="D36" s="43"/>
      <c r="E36" s="43"/>
      <c r="F36" s="43"/>
      <c r="G36" s="44" t="s">
        <v>53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4" t="s">
        <v>53</v>
      </c>
      <c r="AA36" s="43"/>
      <c r="AB36" s="43" t="s">
        <v>54</v>
      </c>
      <c r="AC36" s="44" t="s">
        <v>53</v>
      </c>
      <c r="AD36" s="43" t="s">
        <v>54</v>
      </c>
      <c r="AE36" s="43" t="s">
        <v>54</v>
      </c>
      <c r="AF36" s="43"/>
      <c r="AG36" s="44" t="s">
        <v>53</v>
      </c>
      <c r="AH36" s="44" t="s">
        <v>53</v>
      </c>
      <c r="AI36" s="43"/>
      <c r="AJ36" s="44" t="s">
        <v>53</v>
      </c>
      <c r="AK36" s="44" t="s">
        <v>53</v>
      </c>
      <c r="AL36" s="43" t="s">
        <v>54</v>
      </c>
      <c r="AM36" s="44" t="s">
        <v>53</v>
      </c>
      <c r="AN36" s="43"/>
      <c r="AO36" s="43" t="s">
        <v>54</v>
      </c>
      <c r="AP36" s="43"/>
      <c r="AQ36" s="7">
        <f>+COUNTIF(D36:AO36,"a")</f>
        <v>8</v>
      </c>
      <c r="AR36" s="7">
        <f>+COUNTIF(E36:AP36,"b")</f>
        <v>5</v>
      </c>
      <c r="AS36" s="5">
        <f>+AQ36+AR36</f>
        <v>13</v>
      </c>
      <c r="AT36" s="9">
        <f>+AR36/AS36</f>
        <v>0.38461538461538464</v>
      </c>
    </row>
    <row r="37" spans="1:46" x14ac:dyDescent="0.25">
      <c r="A37" s="18" t="s">
        <v>87</v>
      </c>
      <c r="B37" s="16" t="s">
        <v>50</v>
      </c>
      <c r="C37" s="3">
        <v>5</v>
      </c>
      <c r="D37" s="43" t="s">
        <v>51</v>
      </c>
      <c r="E37" s="43" t="s">
        <v>51</v>
      </c>
      <c r="F37" s="43"/>
      <c r="G37" s="43" t="s">
        <v>51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 t="s">
        <v>51</v>
      </c>
      <c r="AA37" s="43"/>
      <c r="AB37" s="43" t="s">
        <v>51</v>
      </c>
      <c r="AC37" s="43" t="s">
        <v>51</v>
      </c>
      <c r="AD37" s="43" t="s">
        <v>51</v>
      </c>
      <c r="AE37" s="43" t="s">
        <v>51</v>
      </c>
      <c r="AF37" s="43" t="s">
        <v>51</v>
      </c>
      <c r="AG37" s="43" t="s">
        <v>51</v>
      </c>
      <c r="AH37" s="43" t="s">
        <v>51</v>
      </c>
      <c r="AI37" s="43" t="s">
        <v>51</v>
      </c>
      <c r="AJ37" s="43" t="s">
        <v>51</v>
      </c>
      <c r="AK37" s="43" t="s">
        <v>51</v>
      </c>
      <c r="AL37" s="43" t="s">
        <v>51</v>
      </c>
      <c r="AM37" s="43" t="s">
        <v>51</v>
      </c>
      <c r="AN37" s="43"/>
      <c r="AO37" s="43" t="s">
        <v>51</v>
      </c>
      <c r="AP37" s="43"/>
      <c r="AQ37" s="5"/>
      <c r="AR37" s="5"/>
      <c r="AS37" s="5"/>
      <c r="AT37" s="6"/>
    </row>
    <row r="38" spans="1:46" x14ac:dyDescent="0.25">
      <c r="A38" s="4" t="s">
        <v>87</v>
      </c>
      <c r="B38" s="17" t="s">
        <v>88</v>
      </c>
      <c r="C38" s="3">
        <v>5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 t="s">
        <v>53</v>
      </c>
      <c r="AA38" s="43"/>
      <c r="AB38" s="44" t="s">
        <v>53</v>
      </c>
      <c r="AC38" s="44" t="s">
        <v>53</v>
      </c>
      <c r="AD38" s="44" t="s">
        <v>53</v>
      </c>
      <c r="AE38" s="43" t="s">
        <v>54</v>
      </c>
      <c r="AF38" s="43" t="s">
        <v>54</v>
      </c>
      <c r="AG38" s="43"/>
      <c r="AH38" s="44" t="s">
        <v>53</v>
      </c>
      <c r="AI38" s="43" t="s">
        <v>54</v>
      </c>
      <c r="AJ38" s="44" t="s">
        <v>53</v>
      </c>
      <c r="AK38" s="44" t="s">
        <v>53</v>
      </c>
      <c r="AL38" s="43" t="s">
        <v>54</v>
      </c>
      <c r="AM38" s="44" t="s">
        <v>53</v>
      </c>
      <c r="AN38" s="43"/>
      <c r="AO38" s="43" t="s">
        <v>54</v>
      </c>
      <c r="AP38" s="43"/>
      <c r="AQ38" s="7">
        <f t="shared" ref="AQ38:AQ40" si="12">+COUNTIF(D38:AO38,"a")</f>
        <v>8</v>
      </c>
      <c r="AR38" s="7">
        <f t="shared" ref="AR38:AR40" si="13">+COUNTIF(E38:AP38,"b")</f>
        <v>5</v>
      </c>
      <c r="AS38" s="5">
        <f t="shared" ref="AS38:AS40" si="14">+AQ38+AR38</f>
        <v>13</v>
      </c>
      <c r="AT38" s="9">
        <f t="shared" ref="AT38:AT40" si="15">+AR38/AS38</f>
        <v>0.38461538461538464</v>
      </c>
    </row>
    <row r="39" spans="1:46" x14ac:dyDescent="0.25">
      <c r="A39" s="4" t="s">
        <v>87</v>
      </c>
      <c r="B39" s="17" t="s">
        <v>89</v>
      </c>
      <c r="C39" s="3">
        <v>5</v>
      </c>
      <c r="D39" s="44" t="s">
        <v>53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4" t="s">
        <v>53</v>
      </c>
      <c r="AA39" s="43"/>
      <c r="AB39" s="44" t="s">
        <v>53</v>
      </c>
      <c r="AC39" s="44" t="s">
        <v>53</v>
      </c>
      <c r="AD39" s="44" t="s">
        <v>53</v>
      </c>
      <c r="AE39" s="43" t="s">
        <v>54</v>
      </c>
      <c r="AF39" s="43" t="s">
        <v>54</v>
      </c>
      <c r="AG39" s="44" t="s">
        <v>53</v>
      </c>
      <c r="AH39" s="44" t="s">
        <v>53</v>
      </c>
      <c r="AI39" s="43" t="s">
        <v>54</v>
      </c>
      <c r="AJ39" s="44" t="s">
        <v>53</v>
      </c>
      <c r="AK39" s="44" t="s">
        <v>53</v>
      </c>
      <c r="AL39" s="43" t="s">
        <v>54</v>
      </c>
      <c r="AM39" s="44" t="s">
        <v>53</v>
      </c>
      <c r="AN39" s="43"/>
      <c r="AO39" s="43" t="s">
        <v>54</v>
      </c>
      <c r="AP39" s="43"/>
      <c r="AQ39" s="7">
        <f t="shared" si="12"/>
        <v>10</v>
      </c>
      <c r="AR39" s="7">
        <f t="shared" si="13"/>
        <v>5</v>
      </c>
      <c r="AS39" s="5">
        <f t="shared" si="14"/>
        <v>15</v>
      </c>
      <c r="AT39" s="9">
        <f t="shared" si="15"/>
        <v>0.33333333333333331</v>
      </c>
    </row>
    <row r="40" spans="1:46" x14ac:dyDescent="0.25">
      <c r="A40" s="4" t="s">
        <v>87</v>
      </c>
      <c r="B40" s="17" t="s">
        <v>90</v>
      </c>
      <c r="C40" s="3">
        <v>14</v>
      </c>
      <c r="D40" s="43"/>
      <c r="E40" s="43"/>
      <c r="F40" s="43"/>
      <c r="G40" s="44" t="s">
        <v>53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4" t="s">
        <v>53</v>
      </c>
      <c r="AA40" s="43"/>
      <c r="AB40" s="44" t="s">
        <v>53</v>
      </c>
      <c r="AC40" s="44" t="s">
        <v>53</v>
      </c>
      <c r="AD40" s="44" t="s">
        <v>53</v>
      </c>
      <c r="AE40" s="43" t="s">
        <v>54</v>
      </c>
      <c r="AF40" s="43" t="s">
        <v>54</v>
      </c>
      <c r="AG40" s="44" t="s">
        <v>53</v>
      </c>
      <c r="AH40" s="44" t="s">
        <v>53</v>
      </c>
      <c r="AI40" s="43" t="s">
        <v>54</v>
      </c>
      <c r="AJ40" s="44" t="s">
        <v>53</v>
      </c>
      <c r="AK40" s="44" t="s">
        <v>53</v>
      </c>
      <c r="AL40" s="43" t="s">
        <v>54</v>
      </c>
      <c r="AM40" s="44" t="s">
        <v>53</v>
      </c>
      <c r="AN40" s="43"/>
      <c r="AO40" s="43" t="s">
        <v>54</v>
      </c>
      <c r="AP40" s="43"/>
      <c r="AQ40" s="7">
        <f t="shared" si="12"/>
        <v>10</v>
      </c>
      <c r="AR40" s="7">
        <f t="shared" si="13"/>
        <v>5</v>
      </c>
      <c r="AS40" s="5">
        <f t="shared" si="14"/>
        <v>15</v>
      </c>
      <c r="AT40" s="9">
        <f t="shared" si="15"/>
        <v>0.33333333333333331</v>
      </c>
    </row>
    <row r="41" spans="1:46" ht="15" customHeight="1" x14ac:dyDescent="0.25">
      <c r="A41" s="23" t="s">
        <v>91</v>
      </c>
      <c r="B41" s="16" t="s">
        <v>50</v>
      </c>
      <c r="C41" s="3">
        <v>5</v>
      </c>
      <c r="D41" s="43"/>
      <c r="E41" s="43"/>
      <c r="F41" s="43" t="s">
        <v>51</v>
      </c>
      <c r="G41" s="43" t="s">
        <v>51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 t="s">
        <v>51</v>
      </c>
      <c r="AA41" s="43"/>
      <c r="AB41" s="43" t="s">
        <v>51</v>
      </c>
      <c r="AC41" s="43" t="s">
        <v>51</v>
      </c>
      <c r="AD41" s="43" t="s">
        <v>51</v>
      </c>
      <c r="AE41" s="43" t="s">
        <v>51</v>
      </c>
      <c r="AF41" s="43" t="s">
        <v>51</v>
      </c>
      <c r="AG41" s="43"/>
      <c r="AH41" s="43" t="s">
        <v>51</v>
      </c>
      <c r="AI41" s="43"/>
      <c r="AJ41" s="43" t="s">
        <v>51</v>
      </c>
      <c r="AK41" s="43" t="s">
        <v>51</v>
      </c>
      <c r="AL41" s="43" t="s">
        <v>51</v>
      </c>
      <c r="AM41" s="43" t="s">
        <v>51</v>
      </c>
      <c r="AN41" s="43"/>
      <c r="AO41" s="43" t="s">
        <v>51</v>
      </c>
      <c r="AP41" s="43"/>
      <c r="AQ41" s="5"/>
      <c r="AR41" s="5"/>
      <c r="AS41" s="5"/>
      <c r="AT41" s="6"/>
    </row>
    <row r="42" spans="1:46" ht="24" x14ac:dyDescent="0.25">
      <c r="A42" s="24" t="s">
        <v>91</v>
      </c>
      <c r="B42" s="17" t="s">
        <v>92</v>
      </c>
      <c r="C42" s="3">
        <v>21</v>
      </c>
      <c r="D42" s="43"/>
      <c r="E42" s="43"/>
      <c r="F42" s="43"/>
      <c r="G42" s="44" t="s">
        <v>53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4" t="s">
        <v>53</v>
      </c>
      <c r="AA42" s="43"/>
      <c r="AB42" s="43" t="s">
        <v>54</v>
      </c>
      <c r="AC42" s="43" t="s">
        <v>54</v>
      </c>
      <c r="AD42" s="43" t="s">
        <v>54</v>
      </c>
      <c r="AE42" s="43" t="s">
        <v>54</v>
      </c>
      <c r="AF42" s="43" t="s">
        <v>54</v>
      </c>
      <c r="AG42" s="43"/>
      <c r="AH42" s="44" t="s">
        <v>53</v>
      </c>
      <c r="AI42" s="43"/>
      <c r="AJ42" s="44" t="s">
        <v>53</v>
      </c>
      <c r="AK42" s="44" t="s">
        <v>53</v>
      </c>
      <c r="AL42" s="43" t="s">
        <v>54</v>
      </c>
      <c r="AM42" s="44" t="s">
        <v>53</v>
      </c>
      <c r="AN42" s="43"/>
      <c r="AO42" s="43" t="s">
        <v>54</v>
      </c>
      <c r="AP42" s="43"/>
      <c r="AQ42" s="7">
        <f t="shared" ref="AQ42:AQ44" si="16">+COUNTIF(D42:AO42,"a")</f>
        <v>6</v>
      </c>
      <c r="AR42" s="7">
        <f t="shared" ref="AR42:AR44" si="17">+COUNTIF(E42:AP42,"b")</f>
        <v>7</v>
      </c>
      <c r="AS42" s="5">
        <f t="shared" ref="AS42:AS44" si="18">+AQ42+AR42</f>
        <v>13</v>
      </c>
      <c r="AT42" s="9">
        <f>+AR42/AS42</f>
        <v>0.53846153846153844</v>
      </c>
    </row>
    <row r="43" spans="1:46" ht="15" customHeight="1" x14ac:dyDescent="0.25">
      <c r="A43" s="23" t="s">
        <v>93</v>
      </c>
      <c r="B43" s="16" t="s">
        <v>50</v>
      </c>
      <c r="C43" s="3">
        <v>5</v>
      </c>
      <c r="D43" s="43"/>
      <c r="E43" s="43"/>
      <c r="F43" s="43"/>
      <c r="G43" s="43" t="s">
        <v>51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 t="s">
        <v>51</v>
      </c>
      <c r="AA43" s="43"/>
      <c r="AB43" s="43" t="s">
        <v>51</v>
      </c>
      <c r="AC43" s="43" t="s">
        <v>51</v>
      </c>
      <c r="AD43" s="43" t="s">
        <v>51</v>
      </c>
      <c r="AE43" s="43" t="s">
        <v>51</v>
      </c>
      <c r="AF43" s="43" t="s">
        <v>51</v>
      </c>
      <c r="AG43" s="43"/>
      <c r="AH43" s="43" t="s">
        <v>51</v>
      </c>
      <c r="AI43" s="43"/>
      <c r="AJ43" s="43" t="s">
        <v>51</v>
      </c>
      <c r="AK43" s="43" t="s">
        <v>51</v>
      </c>
      <c r="AL43" s="43" t="s">
        <v>51</v>
      </c>
      <c r="AM43" s="43" t="s">
        <v>51</v>
      </c>
      <c r="AN43" s="43"/>
      <c r="AO43" s="43" t="s">
        <v>51</v>
      </c>
      <c r="AP43" s="43"/>
      <c r="AQ43" s="7"/>
      <c r="AR43" s="7"/>
      <c r="AS43" s="5"/>
      <c r="AT43" s="6"/>
    </row>
    <row r="44" spans="1:46" ht="24" x14ac:dyDescent="0.25">
      <c r="A44" s="24" t="s">
        <v>93</v>
      </c>
      <c r="B44" s="17" t="s">
        <v>94</v>
      </c>
      <c r="C44" s="3">
        <v>2</v>
      </c>
      <c r="D44" s="44" t="s">
        <v>53</v>
      </c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4" t="s">
        <v>53</v>
      </c>
      <c r="AA44" s="43"/>
      <c r="AB44" s="44" t="s">
        <v>53</v>
      </c>
      <c r="AC44" s="44" t="s">
        <v>53</v>
      </c>
      <c r="AD44" s="44" t="s">
        <v>53</v>
      </c>
      <c r="AE44" s="43" t="s">
        <v>54</v>
      </c>
      <c r="AF44" s="43" t="s">
        <v>54</v>
      </c>
      <c r="AG44" s="43"/>
      <c r="AH44" s="44" t="s">
        <v>53</v>
      </c>
      <c r="AI44" s="43"/>
      <c r="AJ44" s="44" t="s">
        <v>53</v>
      </c>
      <c r="AK44" s="44" t="s">
        <v>53</v>
      </c>
      <c r="AL44" s="43" t="s">
        <v>54</v>
      </c>
      <c r="AM44" s="44" t="s">
        <v>53</v>
      </c>
      <c r="AN44" s="43"/>
      <c r="AO44" s="43" t="s">
        <v>54</v>
      </c>
      <c r="AP44" s="43"/>
      <c r="AQ44" s="7">
        <f t="shared" si="16"/>
        <v>9</v>
      </c>
      <c r="AR44" s="7">
        <f t="shared" si="17"/>
        <v>4</v>
      </c>
      <c r="AS44" s="5">
        <f t="shared" si="18"/>
        <v>13</v>
      </c>
      <c r="AT44" s="9">
        <f>+AR44/AS44</f>
        <v>0.30769230769230771</v>
      </c>
    </row>
    <row r="45" spans="1:46" x14ac:dyDescent="0.25">
      <c r="A45" s="18" t="s">
        <v>95</v>
      </c>
      <c r="B45" s="16" t="s">
        <v>96</v>
      </c>
      <c r="C45" s="3">
        <v>5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 t="s">
        <v>51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 t="s">
        <v>51</v>
      </c>
      <c r="AA45" s="43"/>
      <c r="AB45" s="43"/>
      <c r="AC45" s="43"/>
      <c r="AD45" s="43"/>
      <c r="AE45" s="43" t="s">
        <v>51</v>
      </c>
      <c r="AF45" s="43"/>
      <c r="AG45" s="43"/>
      <c r="AH45" s="43" t="s">
        <v>51</v>
      </c>
      <c r="AI45" s="43"/>
      <c r="AJ45" s="43" t="s">
        <v>51</v>
      </c>
      <c r="AK45" s="43" t="s">
        <v>51</v>
      </c>
      <c r="AL45" s="43" t="s">
        <v>51</v>
      </c>
      <c r="AM45" s="43" t="s">
        <v>51</v>
      </c>
      <c r="AN45" s="43"/>
      <c r="AO45" s="43" t="s">
        <v>51</v>
      </c>
      <c r="AP45" s="43"/>
      <c r="AQ45" s="5"/>
      <c r="AR45" s="5"/>
      <c r="AS45" s="5"/>
      <c r="AT45" s="6"/>
    </row>
    <row r="46" spans="1:46" x14ac:dyDescent="0.25">
      <c r="A46" s="4" t="s">
        <v>95</v>
      </c>
      <c r="B46" s="17" t="s">
        <v>97</v>
      </c>
      <c r="C46" s="3">
        <v>29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4" t="s">
        <v>53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 t="s">
        <v>54</v>
      </c>
      <c r="AA46" s="43"/>
      <c r="AB46" s="43"/>
      <c r="AC46" s="43"/>
      <c r="AD46" s="43"/>
      <c r="AE46" s="43" t="s">
        <v>54</v>
      </c>
      <c r="AF46" s="43"/>
      <c r="AG46" s="43"/>
      <c r="AH46" s="43" t="s">
        <v>54</v>
      </c>
      <c r="AI46" s="43"/>
      <c r="AJ46" s="44" t="s">
        <v>53</v>
      </c>
      <c r="AK46" s="44" t="s">
        <v>53</v>
      </c>
      <c r="AL46" s="43" t="s">
        <v>54</v>
      </c>
      <c r="AM46" s="44" t="s">
        <v>53</v>
      </c>
      <c r="AN46" s="43"/>
      <c r="AO46" s="43" t="s">
        <v>54</v>
      </c>
      <c r="AP46" s="43"/>
      <c r="AQ46" s="7">
        <f t="shared" ref="AQ46:AQ50" si="19">+COUNTIF(D46:AO46,"a")</f>
        <v>4</v>
      </c>
      <c r="AR46" s="7">
        <f t="shared" ref="AR46:AR50" si="20">+COUNTIF(E46:AP46,"b")</f>
        <v>5</v>
      </c>
      <c r="AS46" s="5">
        <f t="shared" ref="AS46:AS50" si="21">+AQ46+AR46</f>
        <v>9</v>
      </c>
      <c r="AT46" s="9">
        <f t="shared" ref="AT46:AT50" si="22">+AR46/AS46</f>
        <v>0.55555555555555558</v>
      </c>
    </row>
    <row r="47" spans="1:46" x14ac:dyDescent="0.25">
      <c r="A47" s="4" t="s">
        <v>95</v>
      </c>
      <c r="B47" s="17" t="s">
        <v>98</v>
      </c>
      <c r="C47" s="3">
        <v>4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 t="s">
        <v>54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 t="s">
        <v>54</v>
      </c>
      <c r="AA47" s="43"/>
      <c r="AB47" s="43"/>
      <c r="AC47" s="43"/>
      <c r="AD47" s="43"/>
      <c r="AE47" s="43" t="s">
        <v>54</v>
      </c>
      <c r="AF47" s="43"/>
      <c r="AG47" s="43"/>
      <c r="AH47" s="44" t="s">
        <v>53</v>
      </c>
      <c r="AI47" s="43"/>
      <c r="AJ47" s="44" t="s">
        <v>53</v>
      </c>
      <c r="AK47" s="44" t="s">
        <v>53</v>
      </c>
      <c r="AL47" s="43" t="s">
        <v>54</v>
      </c>
      <c r="AM47" s="44" t="s">
        <v>53</v>
      </c>
      <c r="AN47" s="43"/>
      <c r="AO47" s="43" t="s">
        <v>54</v>
      </c>
      <c r="AP47" s="43"/>
      <c r="AQ47" s="7">
        <f t="shared" si="19"/>
        <v>4</v>
      </c>
      <c r="AR47" s="7">
        <f t="shared" si="20"/>
        <v>5</v>
      </c>
      <c r="AS47" s="5">
        <f t="shared" si="21"/>
        <v>9</v>
      </c>
      <c r="AT47" s="9">
        <f t="shared" si="22"/>
        <v>0.55555555555555558</v>
      </c>
    </row>
    <row r="48" spans="1:46" x14ac:dyDescent="0.25">
      <c r="A48" s="4" t="s">
        <v>95</v>
      </c>
      <c r="B48" s="17" t="s">
        <v>99</v>
      </c>
      <c r="C48" s="3">
        <v>10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 t="s">
        <v>54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 t="s">
        <v>54</v>
      </c>
      <c r="AA48" s="43"/>
      <c r="AB48" s="43"/>
      <c r="AC48" s="43"/>
      <c r="AD48" s="43"/>
      <c r="AE48" s="43" t="s">
        <v>54</v>
      </c>
      <c r="AF48" s="43"/>
      <c r="AG48" s="43"/>
      <c r="AH48" s="43" t="s">
        <v>54</v>
      </c>
      <c r="AI48" s="43"/>
      <c r="AJ48" s="44" t="s">
        <v>53</v>
      </c>
      <c r="AK48" s="44" t="s">
        <v>53</v>
      </c>
      <c r="AL48" s="43" t="s">
        <v>54</v>
      </c>
      <c r="AM48" s="44" t="s">
        <v>53</v>
      </c>
      <c r="AN48" s="43"/>
      <c r="AO48" s="43" t="s">
        <v>54</v>
      </c>
      <c r="AP48" s="43"/>
      <c r="AQ48" s="7">
        <f t="shared" si="19"/>
        <v>3</v>
      </c>
      <c r="AR48" s="7">
        <f t="shared" si="20"/>
        <v>6</v>
      </c>
      <c r="AS48" s="5">
        <f t="shared" si="21"/>
        <v>9</v>
      </c>
      <c r="AT48" s="9">
        <f t="shared" si="22"/>
        <v>0.66666666666666663</v>
      </c>
    </row>
    <row r="49" spans="1:46" x14ac:dyDescent="0.25">
      <c r="A49" s="4" t="s">
        <v>95</v>
      </c>
      <c r="B49" s="17" t="s">
        <v>100</v>
      </c>
      <c r="C49" s="3">
        <v>15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4" t="s">
        <v>53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 t="s">
        <v>54</v>
      </c>
      <c r="AA49" s="43"/>
      <c r="AB49" s="43"/>
      <c r="AC49" s="43"/>
      <c r="AD49" s="43"/>
      <c r="AE49" s="43" t="s">
        <v>54</v>
      </c>
      <c r="AF49" s="43"/>
      <c r="AG49" s="43"/>
      <c r="AH49" s="44" t="s">
        <v>53</v>
      </c>
      <c r="AI49" s="43"/>
      <c r="AJ49" s="44" t="s">
        <v>53</v>
      </c>
      <c r="AK49" s="44" t="s">
        <v>53</v>
      </c>
      <c r="AL49" s="43" t="s">
        <v>54</v>
      </c>
      <c r="AM49" s="44" t="s">
        <v>53</v>
      </c>
      <c r="AN49" s="43"/>
      <c r="AO49" s="43" t="s">
        <v>54</v>
      </c>
      <c r="AP49" s="43"/>
      <c r="AQ49" s="7">
        <f t="shared" si="19"/>
        <v>5</v>
      </c>
      <c r="AR49" s="7">
        <f t="shared" si="20"/>
        <v>4</v>
      </c>
      <c r="AS49" s="5">
        <f t="shared" si="21"/>
        <v>9</v>
      </c>
      <c r="AT49" s="9">
        <f t="shared" si="22"/>
        <v>0.44444444444444442</v>
      </c>
    </row>
    <row r="50" spans="1:46" x14ac:dyDescent="0.25">
      <c r="A50" s="4" t="s">
        <v>95</v>
      </c>
      <c r="B50" s="17" t="s">
        <v>101</v>
      </c>
      <c r="C50" s="3">
        <v>15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 t="s">
        <v>54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 t="s">
        <v>54</v>
      </c>
      <c r="AA50" s="43"/>
      <c r="AB50" s="43"/>
      <c r="AC50" s="43"/>
      <c r="AD50" s="43"/>
      <c r="AE50" s="43" t="s">
        <v>54</v>
      </c>
      <c r="AF50" s="43"/>
      <c r="AG50" s="43"/>
      <c r="AH50" s="43" t="s">
        <v>54</v>
      </c>
      <c r="AI50" s="43"/>
      <c r="AJ50" s="44" t="s">
        <v>53</v>
      </c>
      <c r="AK50" s="44" t="s">
        <v>53</v>
      </c>
      <c r="AL50" s="43" t="s">
        <v>54</v>
      </c>
      <c r="AM50" s="44" t="s">
        <v>53</v>
      </c>
      <c r="AN50" s="43"/>
      <c r="AO50" s="43" t="s">
        <v>54</v>
      </c>
      <c r="AP50" s="43"/>
      <c r="AQ50" s="7">
        <f t="shared" si="19"/>
        <v>3</v>
      </c>
      <c r="AR50" s="7">
        <f t="shared" si="20"/>
        <v>6</v>
      </c>
      <c r="AS50" s="5">
        <f t="shared" si="21"/>
        <v>9</v>
      </c>
      <c r="AT50" s="9">
        <f t="shared" si="22"/>
        <v>0.66666666666666663</v>
      </c>
    </row>
    <row r="51" spans="1:46" x14ac:dyDescent="0.25">
      <c r="A51" s="4" t="s">
        <v>95</v>
      </c>
      <c r="B51" s="17" t="s">
        <v>102</v>
      </c>
      <c r="C51" s="3">
        <v>24</v>
      </c>
      <c r="D51" s="43"/>
      <c r="E51" s="43"/>
      <c r="F51" s="43"/>
      <c r="G51" s="44" t="s">
        <v>53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4" t="s">
        <v>53</v>
      </c>
      <c r="AA51" s="43"/>
      <c r="AB51" s="43"/>
      <c r="AC51" s="43"/>
      <c r="AD51" s="43"/>
      <c r="AE51" s="43" t="s">
        <v>54</v>
      </c>
      <c r="AF51" s="43"/>
      <c r="AG51" s="44" t="s">
        <v>53</v>
      </c>
      <c r="AH51" s="44" t="s">
        <v>53</v>
      </c>
      <c r="AI51" s="43"/>
      <c r="AJ51" s="44" t="s">
        <v>53</v>
      </c>
      <c r="AK51" s="44" t="s">
        <v>53</v>
      </c>
      <c r="AL51" s="43" t="s">
        <v>54</v>
      </c>
      <c r="AM51" s="44" t="s">
        <v>53</v>
      </c>
      <c r="AN51" s="43"/>
      <c r="AO51" s="44" t="s">
        <v>53</v>
      </c>
      <c r="AP51" s="43"/>
      <c r="AQ51" s="7">
        <f t="shared" ref="AQ51" si="23">+COUNTIF(D51:AO51,"a")</f>
        <v>8</v>
      </c>
      <c r="AR51" s="7">
        <f t="shared" ref="AR51" si="24">+COUNTIF(E51:AP51,"b")</f>
        <v>2</v>
      </c>
      <c r="AS51" s="5">
        <f t="shared" ref="AS51" si="25">+AQ51+AR51</f>
        <v>10</v>
      </c>
      <c r="AT51" s="9">
        <f t="shared" ref="AT51" si="26">+AR51/AS51</f>
        <v>0.2</v>
      </c>
    </row>
    <row r="52" spans="1:46" ht="15" customHeight="1" x14ac:dyDescent="0.25">
      <c r="A52" s="23" t="s">
        <v>103</v>
      </c>
      <c r="B52" s="16" t="s">
        <v>50</v>
      </c>
      <c r="C52" s="3">
        <v>4</v>
      </c>
      <c r="D52" s="43"/>
      <c r="E52" s="43"/>
      <c r="F52" s="43"/>
      <c r="G52" s="43" t="s">
        <v>51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 t="s">
        <v>51</v>
      </c>
      <c r="AA52" s="43"/>
      <c r="AB52" s="43"/>
      <c r="AC52" s="43"/>
      <c r="AD52" s="43" t="s">
        <v>51</v>
      </c>
      <c r="AE52" s="43" t="s">
        <v>51</v>
      </c>
      <c r="AF52" s="43" t="s">
        <v>51</v>
      </c>
      <c r="AG52" s="43"/>
      <c r="AH52" s="43" t="s">
        <v>51</v>
      </c>
      <c r="AI52" s="43"/>
      <c r="AJ52" s="43" t="s">
        <v>51</v>
      </c>
      <c r="AK52" s="43" t="s">
        <v>51</v>
      </c>
      <c r="AL52" s="43" t="s">
        <v>51</v>
      </c>
      <c r="AM52" s="43" t="s">
        <v>51</v>
      </c>
      <c r="AN52" s="43"/>
      <c r="AO52" s="43" t="s">
        <v>51</v>
      </c>
      <c r="AP52" s="43"/>
      <c r="AQ52" s="7"/>
      <c r="AR52" s="7"/>
      <c r="AS52" s="5"/>
      <c r="AT52" s="9"/>
    </row>
    <row r="53" spans="1:46" ht="24" x14ac:dyDescent="0.25">
      <c r="A53" s="25" t="s">
        <v>103</v>
      </c>
      <c r="B53" s="17" t="s">
        <v>104</v>
      </c>
      <c r="C53" s="3">
        <v>19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4" t="s">
        <v>53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4" t="s">
        <v>53</v>
      </c>
      <c r="AA53" s="43"/>
      <c r="AB53" s="43"/>
      <c r="AC53" s="43"/>
      <c r="AD53" s="43" t="s">
        <v>54</v>
      </c>
      <c r="AE53" s="43" t="s">
        <v>54</v>
      </c>
      <c r="AF53" s="43" t="s">
        <v>54</v>
      </c>
      <c r="AG53" s="43"/>
      <c r="AH53" s="43" t="s">
        <v>54</v>
      </c>
      <c r="AI53" s="43"/>
      <c r="AJ53" s="44" t="s">
        <v>53</v>
      </c>
      <c r="AK53" s="44" t="s">
        <v>53</v>
      </c>
      <c r="AL53" s="43" t="s">
        <v>54</v>
      </c>
      <c r="AM53" s="44" t="s">
        <v>53</v>
      </c>
      <c r="AN53" s="43"/>
      <c r="AO53" s="44" t="s">
        <v>53</v>
      </c>
      <c r="AP53" s="43"/>
      <c r="AQ53" s="7">
        <f t="shared" ref="AQ53:AQ54" si="27">+COUNTIF(D53:AO53,"a")</f>
        <v>6</v>
      </c>
      <c r="AR53" s="7">
        <f t="shared" ref="AR53:AR54" si="28">+COUNTIF(E53:AP53,"b")</f>
        <v>5</v>
      </c>
      <c r="AS53" s="5">
        <f t="shared" ref="AS53:AS54" si="29">+AQ53+AR53</f>
        <v>11</v>
      </c>
      <c r="AT53" s="9">
        <f t="shared" ref="AT53:AT54" si="30">+AR53/AS53</f>
        <v>0.45454545454545453</v>
      </c>
    </row>
    <row r="54" spans="1:46" ht="24" x14ac:dyDescent="0.25">
      <c r="A54" s="24" t="s">
        <v>103</v>
      </c>
      <c r="B54" s="17" t="s">
        <v>105</v>
      </c>
      <c r="C54" s="3">
        <v>16</v>
      </c>
      <c r="D54" s="43"/>
      <c r="E54" s="43"/>
      <c r="F54" s="43"/>
      <c r="G54" s="44" t="s">
        <v>53</v>
      </c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4" t="s">
        <v>53</v>
      </c>
      <c r="AA54" s="43"/>
      <c r="AB54" s="43"/>
      <c r="AC54" s="43"/>
      <c r="AD54" s="43" t="s">
        <v>54</v>
      </c>
      <c r="AE54" s="43" t="s">
        <v>54</v>
      </c>
      <c r="AF54" s="43" t="s">
        <v>54</v>
      </c>
      <c r="AG54" s="43"/>
      <c r="AH54" s="43" t="s">
        <v>54</v>
      </c>
      <c r="AI54" s="43"/>
      <c r="AJ54" s="44" t="s">
        <v>53</v>
      </c>
      <c r="AK54" s="44" t="s">
        <v>53</v>
      </c>
      <c r="AL54" s="43" t="s">
        <v>54</v>
      </c>
      <c r="AM54" s="44" t="s">
        <v>53</v>
      </c>
      <c r="AN54" s="43"/>
      <c r="AO54" s="43" t="s">
        <v>54</v>
      </c>
      <c r="AP54" s="43"/>
      <c r="AQ54" s="7">
        <f t="shared" si="27"/>
        <v>5</v>
      </c>
      <c r="AR54" s="7">
        <f t="shared" si="28"/>
        <v>6</v>
      </c>
      <c r="AS54" s="5">
        <f t="shared" si="29"/>
        <v>11</v>
      </c>
      <c r="AT54" s="9">
        <f t="shared" si="30"/>
        <v>0.54545454545454541</v>
      </c>
    </row>
    <row r="55" spans="1:46" x14ac:dyDescent="0.25">
      <c r="A55" s="23" t="s">
        <v>106</v>
      </c>
      <c r="B55" s="16" t="s">
        <v>50</v>
      </c>
      <c r="C55" s="3">
        <v>2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 t="s">
        <v>51</v>
      </c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 t="s">
        <v>51</v>
      </c>
      <c r="AA55" s="43" t="s">
        <v>51</v>
      </c>
      <c r="AB55" s="43"/>
      <c r="AC55" s="43"/>
      <c r="AD55" s="43"/>
      <c r="AE55" s="43"/>
      <c r="AF55" s="43"/>
      <c r="AG55" s="43"/>
      <c r="AH55" s="43" t="s">
        <v>51</v>
      </c>
      <c r="AI55" s="43"/>
      <c r="AJ55" s="43" t="s">
        <v>51</v>
      </c>
      <c r="AK55" s="43" t="s">
        <v>51</v>
      </c>
      <c r="AL55" s="43"/>
      <c r="AM55" s="43" t="s">
        <v>51</v>
      </c>
      <c r="AN55" s="43" t="s">
        <v>51</v>
      </c>
      <c r="AO55" s="43"/>
      <c r="AP55" s="43"/>
      <c r="AQ55" s="5"/>
      <c r="AR55" s="5"/>
      <c r="AS55" s="5"/>
      <c r="AT55" s="6"/>
    </row>
    <row r="56" spans="1:46" x14ac:dyDescent="0.25">
      <c r="A56" s="25" t="s">
        <v>106</v>
      </c>
      <c r="B56" s="17" t="s">
        <v>107</v>
      </c>
      <c r="C56" s="3">
        <v>2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 t="s">
        <v>54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4" t="s">
        <v>53</v>
      </c>
      <c r="AA56" s="44" t="s">
        <v>53</v>
      </c>
      <c r="AB56" s="43"/>
      <c r="AC56" s="43"/>
      <c r="AD56" s="43"/>
      <c r="AE56" s="43"/>
      <c r="AF56" s="43"/>
      <c r="AG56" s="43"/>
      <c r="AH56" s="44" t="s">
        <v>53</v>
      </c>
      <c r="AI56" s="43"/>
      <c r="AJ56" s="44" t="s">
        <v>53</v>
      </c>
      <c r="AK56" s="44" t="s">
        <v>53</v>
      </c>
      <c r="AL56" s="43"/>
      <c r="AM56" s="43" t="s">
        <v>54</v>
      </c>
      <c r="AN56" s="44" t="s">
        <v>53</v>
      </c>
      <c r="AO56" s="43"/>
      <c r="AP56" s="43"/>
      <c r="AQ56" s="7">
        <f t="shared" ref="AQ56:AQ60" si="31">+COUNTIF(D56:AO56,"a")</f>
        <v>6</v>
      </c>
      <c r="AR56" s="7">
        <f t="shared" ref="AR56:AR60" si="32">+COUNTIF(E56:AP56,"b")</f>
        <v>2</v>
      </c>
      <c r="AS56" s="5">
        <f t="shared" ref="AS56:AS60" si="33">+AQ56+AR56</f>
        <v>8</v>
      </c>
      <c r="AT56" s="9">
        <f t="shared" ref="AT56:AT60" si="34">+AR56/AS56</f>
        <v>0.25</v>
      </c>
    </row>
    <row r="57" spans="1:46" x14ac:dyDescent="0.25">
      <c r="A57" s="25" t="s">
        <v>106</v>
      </c>
      <c r="B57" s="17" t="s">
        <v>108</v>
      </c>
      <c r="C57" s="3">
        <v>11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4" t="s">
        <v>53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 t="s">
        <v>54</v>
      </c>
      <c r="AA57" s="43" t="s">
        <v>54</v>
      </c>
      <c r="AB57" s="43"/>
      <c r="AC57" s="43"/>
      <c r="AD57" s="43"/>
      <c r="AE57" s="43"/>
      <c r="AF57" s="43"/>
      <c r="AG57" s="43"/>
      <c r="AH57" s="43" t="s">
        <v>54</v>
      </c>
      <c r="AI57" s="43"/>
      <c r="AJ57" s="44" t="s">
        <v>53</v>
      </c>
      <c r="AK57" s="44" t="s">
        <v>53</v>
      </c>
      <c r="AL57" s="43"/>
      <c r="AM57" s="43" t="s">
        <v>54</v>
      </c>
      <c r="AN57" s="43" t="s">
        <v>54</v>
      </c>
      <c r="AO57" s="43"/>
      <c r="AP57" s="43"/>
      <c r="AQ57" s="7">
        <f t="shared" si="31"/>
        <v>3</v>
      </c>
      <c r="AR57" s="7">
        <f t="shared" si="32"/>
        <v>5</v>
      </c>
      <c r="AS57" s="5">
        <f t="shared" si="33"/>
        <v>8</v>
      </c>
      <c r="AT57" s="9">
        <f t="shared" si="34"/>
        <v>0.625</v>
      </c>
    </row>
    <row r="58" spans="1:46" x14ac:dyDescent="0.25">
      <c r="A58" s="25" t="s">
        <v>106</v>
      </c>
      <c r="B58" s="17" t="s">
        <v>109</v>
      </c>
      <c r="C58" s="3">
        <v>2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4" t="s">
        <v>53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 t="s">
        <v>54</v>
      </c>
      <c r="AA58" s="43" t="s">
        <v>54</v>
      </c>
      <c r="AB58" s="43"/>
      <c r="AC58" s="43"/>
      <c r="AD58" s="43"/>
      <c r="AE58" s="43"/>
      <c r="AF58" s="43"/>
      <c r="AG58" s="43"/>
      <c r="AH58" s="43" t="s">
        <v>54</v>
      </c>
      <c r="AI58" s="43"/>
      <c r="AJ58" s="44" t="s">
        <v>53</v>
      </c>
      <c r="AK58" s="44" t="s">
        <v>53</v>
      </c>
      <c r="AL58" s="43"/>
      <c r="AM58" s="43" t="s">
        <v>54</v>
      </c>
      <c r="AN58" s="43" t="s">
        <v>54</v>
      </c>
      <c r="AO58" s="43"/>
      <c r="AP58" s="43"/>
      <c r="AQ58" s="7">
        <f t="shared" si="31"/>
        <v>3</v>
      </c>
      <c r="AR58" s="7">
        <f t="shared" si="32"/>
        <v>5</v>
      </c>
      <c r="AS58" s="5">
        <f t="shared" si="33"/>
        <v>8</v>
      </c>
      <c r="AT58" s="9">
        <f t="shared" si="34"/>
        <v>0.625</v>
      </c>
    </row>
    <row r="59" spans="1:46" x14ac:dyDescent="0.25">
      <c r="A59" s="25" t="s">
        <v>106</v>
      </c>
      <c r="B59" s="17" t="s">
        <v>110</v>
      </c>
      <c r="C59" s="3">
        <v>2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4" t="s">
        <v>53</v>
      </c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4" t="s">
        <v>53</v>
      </c>
      <c r="AA59" s="44" t="s">
        <v>53</v>
      </c>
      <c r="AB59" s="43"/>
      <c r="AC59" s="43"/>
      <c r="AD59" s="43"/>
      <c r="AE59" s="43"/>
      <c r="AF59" s="43"/>
      <c r="AG59" s="43"/>
      <c r="AH59" s="44" t="s">
        <v>53</v>
      </c>
      <c r="AI59" s="43"/>
      <c r="AJ59" s="44" t="s">
        <v>53</v>
      </c>
      <c r="AK59" s="44" t="s">
        <v>53</v>
      </c>
      <c r="AL59" s="43"/>
      <c r="AM59" s="43" t="s">
        <v>54</v>
      </c>
      <c r="AN59" s="44" t="s">
        <v>53</v>
      </c>
      <c r="AO59" s="43"/>
      <c r="AP59" s="43"/>
      <c r="AQ59" s="7">
        <f t="shared" si="31"/>
        <v>7</v>
      </c>
      <c r="AR59" s="7">
        <f t="shared" si="32"/>
        <v>1</v>
      </c>
      <c r="AS59" s="5">
        <f t="shared" si="33"/>
        <v>8</v>
      </c>
      <c r="AT59" s="9">
        <f t="shared" si="34"/>
        <v>0.125</v>
      </c>
    </row>
    <row r="60" spans="1:46" x14ac:dyDescent="0.25">
      <c r="A60" s="24" t="s">
        <v>106</v>
      </c>
      <c r="B60" s="17" t="s">
        <v>111</v>
      </c>
      <c r="C60" s="3">
        <v>9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4" t="s">
        <v>53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 t="s">
        <v>54</v>
      </c>
      <c r="AA60" s="43" t="s">
        <v>54</v>
      </c>
      <c r="AB60" s="43"/>
      <c r="AC60" s="43"/>
      <c r="AD60" s="43"/>
      <c r="AE60" s="43"/>
      <c r="AF60" s="43"/>
      <c r="AG60" s="43"/>
      <c r="AH60" s="44" t="s">
        <v>53</v>
      </c>
      <c r="AI60" s="43"/>
      <c r="AJ60" s="44" t="s">
        <v>53</v>
      </c>
      <c r="AK60" s="44" t="s">
        <v>53</v>
      </c>
      <c r="AL60" s="43"/>
      <c r="AM60" s="43" t="s">
        <v>54</v>
      </c>
      <c r="AN60" s="43" t="s">
        <v>54</v>
      </c>
      <c r="AO60" s="43"/>
      <c r="AP60" s="43"/>
      <c r="AQ60" s="7">
        <f t="shared" si="31"/>
        <v>4</v>
      </c>
      <c r="AR60" s="7">
        <f t="shared" si="32"/>
        <v>4</v>
      </c>
      <c r="AS60" s="5">
        <f t="shared" si="33"/>
        <v>8</v>
      </c>
      <c r="AT60" s="9">
        <f t="shared" si="34"/>
        <v>0.5</v>
      </c>
    </row>
    <row r="61" spans="1:46" x14ac:dyDescent="0.25">
      <c r="A61" s="23" t="s">
        <v>112</v>
      </c>
      <c r="B61" s="16" t="s">
        <v>50</v>
      </c>
      <c r="C61" s="3">
        <v>3</v>
      </c>
      <c r="D61" s="43"/>
      <c r="E61" s="43"/>
      <c r="F61" s="43"/>
      <c r="G61" s="43"/>
      <c r="H61" s="43"/>
      <c r="I61" s="43"/>
      <c r="J61" s="43"/>
      <c r="K61" s="43"/>
      <c r="L61" s="43"/>
      <c r="M61" s="43" t="s">
        <v>51</v>
      </c>
      <c r="N61" s="43"/>
      <c r="O61" s="43"/>
      <c r="P61" s="43"/>
      <c r="Q61" s="43"/>
      <c r="R61" s="43"/>
      <c r="S61" s="43"/>
      <c r="T61" s="43"/>
      <c r="U61" s="43"/>
      <c r="V61" s="43" t="s">
        <v>51</v>
      </c>
      <c r="W61" s="43" t="s">
        <v>51</v>
      </c>
      <c r="X61" s="43"/>
      <c r="Y61" s="43"/>
      <c r="Z61" s="43" t="s">
        <v>51</v>
      </c>
      <c r="AA61" s="43" t="s">
        <v>51</v>
      </c>
      <c r="AB61" s="43"/>
      <c r="AC61" s="43"/>
      <c r="AD61" s="43" t="s">
        <v>51</v>
      </c>
      <c r="AE61" s="43" t="s">
        <v>51</v>
      </c>
      <c r="AF61" s="43" t="s">
        <v>51</v>
      </c>
      <c r="AG61" s="43" t="s">
        <v>51</v>
      </c>
      <c r="AH61" s="43" t="s">
        <v>51</v>
      </c>
      <c r="AI61" s="43"/>
      <c r="AJ61" s="43" t="s">
        <v>51</v>
      </c>
      <c r="AK61" s="43" t="s">
        <v>51</v>
      </c>
      <c r="AL61" s="43" t="s">
        <v>51</v>
      </c>
      <c r="AM61" s="43"/>
      <c r="AN61" s="43"/>
      <c r="AO61" s="43"/>
      <c r="AP61" s="43" t="s">
        <v>51</v>
      </c>
      <c r="AQ61" s="5"/>
      <c r="AR61" s="5"/>
      <c r="AS61" s="5"/>
      <c r="AT61" s="6"/>
    </row>
    <row r="62" spans="1:46" x14ac:dyDescent="0.25">
      <c r="A62" s="25" t="s">
        <v>112</v>
      </c>
      <c r="B62" s="17" t="s">
        <v>113</v>
      </c>
      <c r="C62" s="3">
        <v>3</v>
      </c>
      <c r="D62" s="43"/>
      <c r="E62" s="43"/>
      <c r="F62" s="43"/>
      <c r="G62" s="43"/>
      <c r="H62" s="43"/>
      <c r="I62" s="43"/>
      <c r="J62" s="43"/>
      <c r="K62" s="43"/>
      <c r="L62" s="43"/>
      <c r="M62" s="44" t="s">
        <v>53</v>
      </c>
      <c r="N62" s="43"/>
      <c r="O62" s="43"/>
      <c r="P62" s="43"/>
      <c r="Q62" s="43"/>
      <c r="R62" s="43"/>
      <c r="S62" s="43"/>
      <c r="T62" s="43"/>
      <c r="U62" s="43"/>
      <c r="V62" s="43" t="s">
        <v>54</v>
      </c>
      <c r="W62" s="43" t="s">
        <v>54</v>
      </c>
      <c r="X62" s="43"/>
      <c r="Y62" s="43"/>
      <c r="Z62" s="44" t="s">
        <v>53</v>
      </c>
      <c r="AA62" s="44" t="s">
        <v>53</v>
      </c>
      <c r="AB62" s="43"/>
      <c r="AC62" s="43"/>
      <c r="AD62" s="43"/>
      <c r="AE62" s="43" t="s">
        <v>54</v>
      </c>
      <c r="AF62" s="43"/>
      <c r="AG62" s="43"/>
      <c r="AH62" s="44" t="s">
        <v>53</v>
      </c>
      <c r="AI62" s="43"/>
      <c r="AJ62" s="44" t="s">
        <v>53</v>
      </c>
      <c r="AK62" s="44" t="s">
        <v>53</v>
      </c>
      <c r="AL62" s="43" t="s">
        <v>54</v>
      </c>
      <c r="AM62" s="43"/>
      <c r="AN62" s="43"/>
      <c r="AO62" s="43"/>
      <c r="AP62" s="43" t="s">
        <v>54</v>
      </c>
      <c r="AQ62" s="7">
        <f t="shared" ref="AQ62:AQ64" si="35">+COUNTIF(D62:AO62,"a")</f>
        <v>6</v>
      </c>
      <c r="AR62" s="7">
        <f t="shared" ref="AR62:AR64" si="36">+COUNTIF(E62:AP62,"b")</f>
        <v>5</v>
      </c>
      <c r="AS62" s="5">
        <f t="shared" ref="AS62:AS64" si="37">+AQ62+AR62</f>
        <v>11</v>
      </c>
      <c r="AT62" s="9">
        <f>+AR62/AS62</f>
        <v>0.45454545454545453</v>
      </c>
    </row>
    <row r="63" spans="1:46" x14ac:dyDescent="0.25">
      <c r="A63" s="25" t="s">
        <v>112</v>
      </c>
      <c r="B63" s="17" t="s">
        <v>114</v>
      </c>
      <c r="C63" s="3">
        <v>3</v>
      </c>
      <c r="D63" s="43"/>
      <c r="E63" s="43"/>
      <c r="F63" s="43"/>
      <c r="G63" s="43"/>
      <c r="H63" s="43"/>
      <c r="I63" s="43"/>
      <c r="J63" s="43"/>
      <c r="K63" s="43"/>
      <c r="L63" s="43"/>
      <c r="M63" s="44" t="s">
        <v>53</v>
      </c>
      <c r="N63" s="43"/>
      <c r="O63" s="43"/>
      <c r="P63" s="43"/>
      <c r="Q63" s="43"/>
      <c r="R63" s="43"/>
      <c r="S63" s="43"/>
      <c r="T63" s="43"/>
      <c r="U63" s="43"/>
      <c r="V63" s="43" t="s">
        <v>54</v>
      </c>
      <c r="W63" s="43" t="s">
        <v>54</v>
      </c>
      <c r="X63" s="43"/>
      <c r="Y63" s="43"/>
      <c r="Z63" s="44" t="s">
        <v>53</v>
      </c>
      <c r="AA63" s="44" t="s">
        <v>53</v>
      </c>
      <c r="AB63" s="43"/>
      <c r="AC63" s="43"/>
      <c r="AD63" s="43"/>
      <c r="AE63" s="43" t="s">
        <v>54</v>
      </c>
      <c r="AF63" s="43"/>
      <c r="AG63" s="43"/>
      <c r="AH63" s="43" t="s">
        <v>54</v>
      </c>
      <c r="AI63" s="43"/>
      <c r="AJ63" s="44" t="s">
        <v>53</v>
      </c>
      <c r="AK63" s="44" t="s">
        <v>53</v>
      </c>
      <c r="AL63" s="43" t="s">
        <v>54</v>
      </c>
      <c r="AM63" s="43"/>
      <c r="AN63" s="43"/>
      <c r="AO63" s="43"/>
      <c r="AP63" s="43" t="s">
        <v>54</v>
      </c>
      <c r="AQ63" s="7">
        <f t="shared" si="35"/>
        <v>5</v>
      </c>
      <c r="AR63" s="7">
        <f t="shared" si="36"/>
        <v>6</v>
      </c>
      <c r="AS63" s="5">
        <f t="shared" si="37"/>
        <v>11</v>
      </c>
      <c r="AT63" s="9">
        <f>+AR63/AS63</f>
        <v>0.54545454545454541</v>
      </c>
    </row>
    <row r="64" spans="1:46" x14ac:dyDescent="0.25">
      <c r="A64" s="24" t="s">
        <v>112</v>
      </c>
      <c r="B64" s="17" t="s">
        <v>115</v>
      </c>
      <c r="C64" s="3">
        <v>11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4" t="s">
        <v>53</v>
      </c>
      <c r="P64" s="43"/>
      <c r="Q64" s="43"/>
      <c r="R64" s="43"/>
      <c r="S64" s="43"/>
      <c r="T64" s="43"/>
      <c r="U64" s="43"/>
      <c r="V64" s="43" t="s">
        <v>54</v>
      </c>
      <c r="W64" s="43" t="s">
        <v>54</v>
      </c>
      <c r="X64" s="43"/>
      <c r="Y64" s="43"/>
      <c r="Z64" s="44" t="s">
        <v>53</v>
      </c>
      <c r="AA64" s="44" t="s">
        <v>53</v>
      </c>
      <c r="AB64" s="43"/>
      <c r="AC64" s="43"/>
      <c r="AD64" s="43"/>
      <c r="AE64" s="43" t="s">
        <v>54</v>
      </c>
      <c r="AF64" s="43"/>
      <c r="AG64" s="43"/>
      <c r="AH64" s="44" t="s">
        <v>53</v>
      </c>
      <c r="AI64" s="43"/>
      <c r="AJ64" s="44" t="s">
        <v>53</v>
      </c>
      <c r="AK64" s="44" t="s">
        <v>53</v>
      </c>
      <c r="AL64" s="44" t="s">
        <v>53</v>
      </c>
      <c r="AM64" s="43"/>
      <c r="AN64" s="43"/>
      <c r="AO64" s="43"/>
      <c r="AP64" s="43" t="s">
        <v>54</v>
      </c>
      <c r="AQ64" s="7">
        <f t="shared" si="35"/>
        <v>7</v>
      </c>
      <c r="AR64" s="7">
        <f t="shared" si="36"/>
        <v>4</v>
      </c>
      <c r="AS64" s="5">
        <f t="shared" si="37"/>
        <v>11</v>
      </c>
      <c r="AT64" s="9">
        <f>+AR64/AS64</f>
        <v>0.36363636363636365</v>
      </c>
    </row>
    <row r="65" spans="1:46" x14ac:dyDescent="0.25">
      <c r="A65" s="23" t="s">
        <v>116</v>
      </c>
      <c r="B65" s="16" t="s">
        <v>50</v>
      </c>
      <c r="C65" s="3">
        <v>3</v>
      </c>
      <c r="D65" s="43"/>
      <c r="E65" s="43"/>
      <c r="F65" s="43"/>
      <c r="G65" s="43"/>
      <c r="H65" s="43"/>
      <c r="I65" s="43"/>
      <c r="J65" s="43" t="s">
        <v>51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 t="s">
        <v>51</v>
      </c>
      <c r="W65" s="43" t="s">
        <v>51</v>
      </c>
      <c r="X65" s="43"/>
      <c r="Y65" s="43"/>
      <c r="Z65" s="43" t="s">
        <v>51</v>
      </c>
      <c r="AA65" s="43" t="s">
        <v>51</v>
      </c>
      <c r="AB65" s="43" t="s">
        <v>51</v>
      </c>
      <c r="AC65" s="43" t="s">
        <v>51</v>
      </c>
      <c r="AD65" s="43" t="s">
        <v>51</v>
      </c>
      <c r="AE65" s="43" t="s">
        <v>51</v>
      </c>
      <c r="AF65" s="43"/>
      <c r="AG65" s="43"/>
      <c r="AH65" s="43" t="s">
        <v>51</v>
      </c>
      <c r="AI65" s="43"/>
      <c r="AJ65" s="43" t="s">
        <v>51</v>
      </c>
      <c r="AK65" s="43" t="s">
        <v>51</v>
      </c>
      <c r="AL65" s="43" t="s">
        <v>51</v>
      </c>
      <c r="AM65" s="43"/>
      <c r="AN65" s="43"/>
      <c r="AO65" s="43" t="s">
        <v>51</v>
      </c>
      <c r="AP65" s="43"/>
      <c r="AQ65" s="5"/>
      <c r="AR65" s="5"/>
      <c r="AS65" s="5"/>
      <c r="AT65" s="6"/>
    </row>
    <row r="66" spans="1:46" x14ac:dyDescent="0.25">
      <c r="A66" s="25" t="s">
        <v>116</v>
      </c>
      <c r="B66" s="17" t="s">
        <v>117</v>
      </c>
      <c r="C66" s="3">
        <v>3</v>
      </c>
      <c r="D66" s="43"/>
      <c r="E66" s="43"/>
      <c r="F66" s="43"/>
      <c r="G66" s="43"/>
      <c r="H66" s="43"/>
      <c r="I66" s="43"/>
      <c r="J66" s="44" t="s">
        <v>53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 t="s">
        <v>54</v>
      </c>
      <c r="W66" s="43" t="s">
        <v>54</v>
      </c>
      <c r="X66" s="43"/>
      <c r="Y66" s="43"/>
      <c r="Z66" s="43" t="s">
        <v>54</v>
      </c>
      <c r="AA66" s="43" t="s">
        <v>54</v>
      </c>
      <c r="AB66" s="43" t="s">
        <v>54</v>
      </c>
      <c r="AC66" s="43" t="s">
        <v>54</v>
      </c>
      <c r="AD66" s="43" t="s">
        <v>54</v>
      </c>
      <c r="AE66" s="43" t="s">
        <v>54</v>
      </c>
      <c r="AF66" s="43"/>
      <c r="AG66" s="43"/>
      <c r="AH66" s="44" t="s">
        <v>53</v>
      </c>
      <c r="AI66" s="43"/>
      <c r="AJ66" s="44" t="s">
        <v>53</v>
      </c>
      <c r="AK66" s="44" t="s">
        <v>53</v>
      </c>
      <c r="AL66" s="43" t="s">
        <v>54</v>
      </c>
      <c r="AM66" s="43"/>
      <c r="AN66" s="43"/>
      <c r="AO66" s="43" t="s">
        <v>54</v>
      </c>
      <c r="AP66" s="43"/>
      <c r="AQ66" s="7">
        <f>+COUNTIF(D66:AO66,"a")</f>
        <v>4</v>
      </c>
      <c r="AR66" s="7">
        <f>+COUNTIF(E66:AP66,"b")</f>
        <v>10</v>
      </c>
      <c r="AS66" s="5">
        <f t="shared" ref="AS66:AS67" si="38">+AQ66+AR66</f>
        <v>14</v>
      </c>
      <c r="AT66" s="9">
        <f t="shared" ref="AT66:AT67" si="39">+AR66/AS66</f>
        <v>0.7142857142857143</v>
      </c>
    </row>
    <row r="67" spans="1:46" x14ac:dyDescent="0.25">
      <c r="A67" s="24" t="s">
        <v>116</v>
      </c>
      <c r="B67" s="17" t="s">
        <v>118</v>
      </c>
      <c r="C67" s="3">
        <v>5</v>
      </c>
      <c r="D67" s="43"/>
      <c r="E67" s="43"/>
      <c r="F67" s="43"/>
      <c r="G67" s="43"/>
      <c r="H67" s="43"/>
      <c r="I67" s="43"/>
      <c r="J67" s="44" t="s">
        <v>53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 t="s">
        <v>54</v>
      </c>
      <c r="W67" s="43" t="s">
        <v>54</v>
      </c>
      <c r="X67" s="43"/>
      <c r="Y67" s="43"/>
      <c r="Z67" s="44" t="s">
        <v>53</v>
      </c>
      <c r="AA67" s="43" t="s">
        <v>54</v>
      </c>
      <c r="AB67" s="43" t="s">
        <v>54</v>
      </c>
      <c r="AC67" s="43" t="s">
        <v>54</v>
      </c>
      <c r="AD67" s="43" t="s">
        <v>54</v>
      </c>
      <c r="AE67" s="43" t="s">
        <v>54</v>
      </c>
      <c r="AF67" s="43"/>
      <c r="AG67" s="43"/>
      <c r="AH67" s="44" t="s">
        <v>53</v>
      </c>
      <c r="AI67" s="43"/>
      <c r="AJ67" s="44" t="s">
        <v>53</v>
      </c>
      <c r="AK67" s="44" t="s">
        <v>53</v>
      </c>
      <c r="AL67" s="43" t="s">
        <v>54</v>
      </c>
      <c r="AM67" s="43"/>
      <c r="AN67" s="43"/>
      <c r="AO67" s="43" t="s">
        <v>54</v>
      </c>
      <c r="AP67" s="43"/>
      <c r="AQ67" s="7">
        <f>+COUNTIF(D67:AO67,"a")</f>
        <v>5</v>
      </c>
      <c r="AR67" s="7">
        <f>+COUNTIF(E67:AP67,"b")</f>
        <v>9</v>
      </c>
      <c r="AS67" s="5">
        <f t="shared" si="38"/>
        <v>14</v>
      </c>
      <c r="AT67" s="9">
        <f t="shared" si="39"/>
        <v>0.6428571428571429</v>
      </c>
    </row>
    <row r="68" spans="1:46" x14ac:dyDescent="0.25">
      <c r="A68" s="23" t="s">
        <v>119</v>
      </c>
      <c r="B68" s="16" t="s">
        <v>50</v>
      </c>
      <c r="C68" s="2">
        <v>5</v>
      </c>
      <c r="D68" s="45"/>
      <c r="E68" s="45"/>
      <c r="F68" s="45"/>
      <c r="G68" s="45"/>
      <c r="H68" s="45"/>
      <c r="I68" s="45"/>
      <c r="J68" s="45"/>
      <c r="K68" s="45"/>
      <c r="L68" s="45" t="s">
        <v>51</v>
      </c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 t="s">
        <v>51</v>
      </c>
      <c r="AA68" s="45" t="s">
        <v>51</v>
      </c>
      <c r="AB68" s="45"/>
      <c r="AC68" s="45"/>
      <c r="AD68" s="45" t="s">
        <v>51</v>
      </c>
      <c r="AE68" s="45" t="s">
        <v>51</v>
      </c>
      <c r="AF68" s="43"/>
      <c r="AG68" s="43"/>
      <c r="AH68" s="43" t="s">
        <v>51</v>
      </c>
      <c r="AI68" s="45"/>
      <c r="AJ68" s="45" t="s">
        <v>51</v>
      </c>
      <c r="AK68" s="45" t="s">
        <v>51</v>
      </c>
      <c r="AL68" s="45"/>
      <c r="AM68" s="45" t="s">
        <v>51</v>
      </c>
      <c r="AN68" s="45"/>
      <c r="AO68" s="45"/>
      <c r="AP68" s="45" t="s">
        <v>51</v>
      </c>
      <c r="AQ68" s="5"/>
      <c r="AR68" s="5"/>
      <c r="AS68" s="5"/>
      <c r="AT68" s="6"/>
    </row>
    <row r="69" spans="1:46" x14ac:dyDescent="0.25">
      <c r="A69" s="24" t="s">
        <v>119</v>
      </c>
      <c r="B69" s="17" t="s">
        <v>120</v>
      </c>
      <c r="C69" s="2">
        <v>18</v>
      </c>
      <c r="D69" s="45"/>
      <c r="E69" s="45"/>
      <c r="F69" s="45"/>
      <c r="G69" s="45"/>
      <c r="H69" s="45"/>
      <c r="I69" s="45"/>
      <c r="J69" s="45"/>
      <c r="K69" s="45"/>
      <c r="L69" s="46" t="s">
        <v>53</v>
      </c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6" t="s">
        <v>53</v>
      </c>
      <c r="AA69" s="46" t="s">
        <v>53</v>
      </c>
      <c r="AB69" s="45"/>
      <c r="AC69" s="45"/>
      <c r="AD69" s="45" t="s">
        <v>54</v>
      </c>
      <c r="AE69" s="45" t="s">
        <v>54</v>
      </c>
      <c r="AF69" s="45"/>
      <c r="AG69" s="43"/>
      <c r="AH69" s="44" t="s">
        <v>53</v>
      </c>
      <c r="AI69" s="45"/>
      <c r="AJ69" s="46" t="s">
        <v>53</v>
      </c>
      <c r="AK69" s="46" t="s">
        <v>53</v>
      </c>
      <c r="AL69" s="45"/>
      <c r="AM69" s="46" t="s">
        <v>53</v>
      </c>
      <c r="AN69" s="45"/>
      <c r="AO69" s="45"/>
      <c r="AP69" s="45" t="s">
        <v>54</v>
      </c>
      <c r="AQ69" s="7">
        <f>+COUNTIF(D69:AO69,"a")</f>
        <v>7</v>
      </c>
      <c r="AR69" s="7">
        <f>+COUNTIF(E69:AP69,"b")</f>
        <v>3</v>
      </c>
      <c r="AS69" s="5">
        <f>+AQ69+AR69</f>
        <v>10</v>
      </c>
      <c r="AT69" s="9">
        <f>+AR69/AS69</f>
        <v>0.3</v>
      </c>
    </row>
    <row r="70" spans="1:46" ht="24" customHeight="1" x14ac:dyDescent="0.25">
      <c r="A70" s="23" t="s">
        <v>121</v>
      </c>
      <c r="B70" s="16" t="s">
        <v>50</v>
      </c>
      <c r="C70" s="2"/>
      <c r="D70" s="45"/>
      <c r="E70" s="45"/>
      <c r="F70" s="45"/>
      <c r="G70" s="45"/>
      <c r="H70" s="45"/>
      <c r="I70" s="45"/>
      <c r="J70" s="45"/>
      <c r="K70" s="45"/>
      <c r="L70" s="45"/>
      <c r="M70" s="45" t="s">
        <v>51</v>
      </c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 t="s">
        <v>51</v>
      </c>
      <c r="AA70" s="45" t="s">
        <v>51</v>
      </c>
      <c r="AB70" s="45"/>
      <c r="AC70" s="45"/>
      <c r="AD70" s="45"/>
      <c r="AE70" s="45" t="s">
        <v>51</v>
      </c>
      <c r="AF70" s="43"/>
      <c r="AG70" s="43"/>
      <c r="AH70" s="43" t="s">
        <v>51</v>
      </c>
      <c r="AI70" s="45"/>
      <c r="AJ70" s="45" t="s">
        <v>51</v>
      </c>
      <c r="AK70" s="45" t="s">
        <v>51</v>
      </c>
      <c r="AL70" s="45" t="s">
        <v>51</v>
      </c>
      <c r="AM70" s="45"/>
      <c r="AN70" s="45"/>
      <c r="AO70" s="45"/>
      <c r="AP70" s="45" t="s">
        <v>51</v>
      </c>
      <c r="AQ70" s="5"/>
      <c r="AR70" s="5"/>
      <c r="AS70" s="5"/>
      <c r="AT70" s="6"/>
    </row>
    <row r="71" spans="1:46" ht="24" x14ac:dyDescent="0.25">
      <c r="A71" s="23" t="s">
        <v>121</v>
      </c>
      <c r="B71" s="30" t="s">
        <v>122</v>
      </c>
      <c r="C71" s="31">
        <v>3</v>
      </c>
      <c r="D71" s="47"/>
      <c r="E71" s="47"/>
      <c r="F71" s="47"/>
      <c r="G71" s="47"/>
      <c r="H71" s="47"/>
      <c r="I71" s="47"/>
      <c r="J71" s="47"/>
      <c r="K71" s="47"/>
      <c r="L71" s="47"/>
      <c r="M71" s="48" t="s">
        <v>53</v>
      </c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8" t="s">
        <v>53</v>
      </c>
      <c r="AA71" s="48" t="s">
        <v>53</v>
      </c>
      <c r="AB71" s="47"/>
      <c r="AC71" s="47"/>
      <c r="AD71" s="47"/>
      <c r="AE71" s="47" t="s">
        <v>54</v>
      </c>
      <c r="AF71" s="47"/>
      <c r="AG71" s="49"/>
      <c r="AH71" s="50" t="s">
        <v>53</v>
      </c>
      <c r="AI71" s="47"/>
      <c r="AJ71" s="48" t="s">
        <v>53</v>
      </c>
      <c r="AK71" s="48" t="s">
        <v>53</v>
      </c>
      <c r="AL71" s="47" t="s">
        <v>54</v>
      </c>
      <c r="AM71" s="47"/>
      <c r="AN71" s="47"/>
      <c r="AO71" s="47"/>
      <c r="AP71" s="47" t="s">
        <v>54</v>
      </c>
      <c r="AQ71" s="32">
        <f>+COUNTIF(D71:AO71,"a")</f>
        <v>6</v>
      </c>
      <c r="AR71" s="32">
        <f>+COUNTIF(E71:AP71,"b")</f>
        <v>3</v>
      </c>
      <c r="AS71" s="33">
        <f>+AQ71+AR71</f>
        <v>9</v>
      </c>
      <c r="AT71" s="34">
        <f>+AR71/AS71</f>
        <v>0.33333333333333331</v>
      </c>
    </row>
    <row r="72" spans="1:46" s="36" customFormat="1" x14ac:dyDescent="0.25">
      <c r="A72" s="35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8">
        <f>+SUM(AQ3:AQ71)</f>
        <v>354</v>
      </c>
      <c r="AR72" s="38">
        <f>+SUM(AR3:AR71)</f>
        <v>236</v>
      </c>
      <c r="AS72" s="38">
        <f>+SUM(AS3:AS71)</f>
        <v>590</v>
      </c>
      <c r="AT72" s="39">
        <f>+AR72/AS72</f>
        <v>0.4</v>
      </c>
    </row>
  </sheetData>
  <mergeCells count="1">
    <mergeCell ref="AQ1:AT1"/>
  </mergeCells>
  <conditionalFormatting sqref="D3:AP71">
    <cfRule type="containsText" dxfId="12" priority="2" operator="containsText" text="A">
      <formula>NOT(ISERROR(SEARCH("A",D3)))</formula>
    </cfRule>
    <cfRule type="containsText" dxfId="11" priority="1" operator="containsText" text="B">
      <formula>NOT(ISERROR(SEARCH("B",D3)))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RowHeight="15" x14ac:dyDescent="0.25"/>
  <cols>
    <col min="1" max="1" width="19.140625" bestFit="1" customWidth="1"/>
    <col min="2" max="2" width="9.5703125" bestFit="1" customWidth="1"/>
    <col min="3" max="3" width="8.28515625" bestFit="1" customWidth="1"/>
  </cols>
  <sheetData>
    <row r="1" spans="1:3" x14ac:dyDescent="0.25">
      <c r="A1" s="21" t="s">
        <v>129</v>
      </c>
    </row>
    <row r="2" spans="1:3" x14ac:dyDescent="0.25">
      <c r="A2" s="22" t="s">
        <v>130</v>
      </c>
      <c r="B2" s="22" t="s">
        <v>131</v>
      </c>
      <c r="C2" s="22" t="s">
        <v>132</v>
      </c>
    </row>
    <row r="4" spans="1:3" x14ac:dyDescent="0.25">
      <c r="A4" s="21" t="s">
        <v>133</v>
      </c>
    </row>
    <row r="5" spans="1:3" x14ac:dyDescent="0.25">
      <c r="A5" s="22" t="s">
        <v>130</v>
      </c>
      <c r="B5" s="22" t="s">
        <v>134</v>
      </c>
      <c r="C5" s="22" t="s">
        <v>132</v>
      </c>
    </row>
    <row r="8" spans="1:3" x14ac:dyDescent="0.25">
      <c r="A8" s="21" t="s">
        <v>135</v>
      </c>
      <c r="B8" t="s">
        <v>136</v>
      </c>
    </row>
    <row r="9" spans="1:3" x14ac:dyDescent="0.25">
      <c r="B9" t="s">
        <v>137</v>
      </c>
    </row>
    <row r="11" spans="1:3" x14ac:dyDescent="0.25">
      <c r="B11" t="s">
        <v>138</v>
      </c>
    </row>
    <row r="12" spans="1:3" x14ac:dyDescent="0.25">
      <c r="B1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F38"/>
  <sheetViews>
    <sheetView showGridLines="0" topLeftCell="A7" workbookViewId="0">
      <selection activeCell="G10" sqref="G10"/>
    </sheetView>
  </sheetViews>
  <sheetFormatPr baseColWidth="10" defaultRowHeight="15" x14ac:dyDescent="0.25"/>
  <cols>
    <col min="2" max="2" width="40.28515625" customWidth="1"/>
    <col min="3" max="3" width="22.7109375" style="26" customWidth="1"/>
    <col min="4" max="4" width="16.140625" style="26" customWidth="1"/>
    <col min="5" max="5" width="29.42578125" style="26" customWidth="1"/>
    <col min="6" max="6" width="10.5703125" style="26" customWidth="1"/>
  </cols>
  <sheetData>
    <row r="4" spans="2:6" x14ac:dyDescent="0.25">
      <c r="B4" t="s">
        <v>125</v>
      </c>
      <c r="C4" s="26" t="s">
        <v>126</v>
      </c>
      <c r="D4" s="26" t="s">
        <v>127</v>
      </c>
    </row>
    <row r="5" spans="2:6" x14ac:dyDescent="0.25">
      <c r="B5" s="12">
        <v>354</v>
      </c>
      <c r="C5" s="27">
        <v>236</v>
      </c>
      <c r="D5" s="27">
        <v>590</v>
      </c>
      <c r="E5" s="28">
        <f>+GETPIVOTDATA("Suma de BRECHA",$B$4)/GETPIVOTDATA("Suma de TOTAL COMPETENCIAS",$B$4)</f>
        <v>0.4</v>
      </c>
    </row>
    <row r="7" spans="2:6" x14ac:dyDescent="0.25">
      <c r="B7" s="10" t="s">
        <v>5</v>
      </c>
      <c r="C7" s="26" t="s">
        <v>141</v>
      </c>
    </row>
    <row r="9" spans="2:6" x14ac:dyDescent="0.25">
      <c r="B9" s="10" t="s">
        <v>123</v>
      </c>
      <c r="C9" s="26" t="s">
        <v>125</v>
      </c>
      <c r="D9" s="26" t="s">
        <v>126</v>
      </c>
      <c r="E9" s="26" t="s">
        <v>127</v>
      </c>
      <c r="F9" s="26" t="s">
        <v>140</v>
      </c>
    </row>
    <row r="10" spans="2:6" x14ac:dyDescent="0.25">
      <c r="B10" s="11" t="s">
        <v>116</v>
      </c>
      <c r="C10" s="27">
        <v>9</v>
      </c>
      <c r="D10" s="27">
        <v>19</v>
      </c>
      <c r="E10" s="27">
        <v>28</v>
      </c>
      <c r="F10" s="29">
        <v>0.6785714285714286</v>
      </c>
    </row>
    <row r="11" spans="2:6" x14ac:dyDescent="0.25">
      <c r="B11" s="11" t="s">
        <v>91</v>
      </c>
      <c r="C11" s="27">
        <v>6</v>
      </c>
      <c r="D11" s="27">
        <v>7</v>
      </c>
      <c r="E11" s="27">
        <v>13</v>
      </c>
      <c r="F11" s="29">
        <v>0.53846153846153844</v>
      </c>
    </row>
    <row r="12" spans="2:6" x14ac:dyDescent="0.25">
      <c r="B12" s="11" t="s">
        <v>74</v>
      </c>
      <c r="C12" s="27">
        <v>26</v>
      </c>
      <c r="D12" s="27">
        <v>28</v>
      </c>
      <c r="E12" s="27">
        <v>54</v>
      </c>
      <c r="F12" s="29">
        <v>0.51851851851851849</v>
      </c>
    </row>
    <row r="13" spans="2:6" x14ac:dyDescent="0.25">
      <c r="B13" s="11" t="s">
        <v>95</v>
      </c>
      <c r="C13" s="27">
        <v>27</v>
      </c>
      <c r="D13" s="27">
        <v>28</v>
      </c>
      <c r="E13" s="27">
        <v>55</v>
      </c>
      <c r="F13" s="29">
        <v>0.50909090909090904</v>
      </c>
    </row>
    <row r="14" spans="2:6" x14ac:dyDescent="0.25">
      <c r="B14" s="11" t="s">
        <v>103</v>
      </c>
      <c r="C14" s="27">
        <v>11</v>
      </c>
      <c r="D14" s="27">
        <v>11</v>
      </c>
      <c r="E14" s="27">
        <v>22</v>
      </c>
      <c r="F14" s="29">
        <v>0.5</v>
      </c>
    </row>
    <row r="15" spans="2:6" x14ac:dyDescent="0.25">
      <c r="B15" s="11" t="s">
        <v>71</v>
      </c>
      <c r="C15" s="27">
        <v>16</v>
      </c>
      <c r="D15" s="27">
        <v>16</v>
      </c>
      <c r="E15" s="27">
        <v>32</v>
      </c>
      <c r="F15" s="29">
        <v>0.5</v>
      </c>
    </row>
    <row r="16" spans="2:6" x14ac:dyDescent="0.25">
      <c r="B16" s="11" t="s">
        <v>112</v>
      </c>
      <c r="C16" s="27">
        <v>18</v>
      </c>
      <c r="D16" s="27">
        <v>15</v>
      </c>
      <c r="E16" s="27">
        <v>33</v>
      </c>
      <c r="F16" s="29">
        <v>0.45454545454545453</v>
      </c>
    </row>
    <row r="17" spans="2:6" x14ac:dyDescent="0.25">
      <c r="B17" s="11" t="s">
        <v>106</v>
      </c>
      <c r="C17" s="27">
        <v>23</v>
      </c>
      <c r="D17" s="27">
        <v>17</v>
      </c>
      <c r="E17" s="27">
        <v>40</v>
      </c>
      <c r="F17" s="29">
        <v>0.42499999999999999</v>
      </c>
    </row>
    <row r="18" spans="2:6" x14ac:dyDescent="0.25">
      <c r="B18" s="11" t="s">
        <v>59</v>
      </c>
      <c r="C18" s="27">
        <v>6</v>
      </c>
      <c r="D18" s="27">
        <v>4</v>
      </c>
      <c r="E18" s="27">
        <v>10</v>
      </c>
      <c r="F18" s="29">
        <v>0.4</v>
      </c>
    </row>
    <row r="19" spans="2:6" x14ac:dyDescent="0.25">
      <c r="B19" s="11" t="s">
        <v>78</v>
      </c>
      <c r="C19" s="27">
        <v>55</v>
      </c>
      <c r="D19" s="27">
        <v>35</v>
      </c>
      <c r="E19" s="27">
        <v>90</v>
      </c>
      <c r="F19" s="29">
        <v>0.3888888888888889</v>
      </c>
    </row>
    <row r="20" spans="2:6" x14ac:dyDescent="0.25">
      <c r="B20" s="11" t="s">
        <v>85</v>
      </c>
      <c r="C20" s="27">
        <v>8</v>
      </c>
      <c r="D20" s="27">
        <v>5</v>
      </c>
      <c r="E20" s="27">
        <v>13</v>
      </c>
      <c r="F20" s="29">
        <v>0.38461538461538464</v>
      </c>
    </row>
    <row r="21" spans="2:6" x14ac:dyDescent="0.25">
      <c r="B21" s="11" t="s">
        <v>49</v>
      </c>
      <c r="C21" s="27">
        <v>13</v>
      </c>
      <c r="D21" s="27">
        <v>7</v>
      </c>
      <c r="E21" s="27">
        <v>20</v>
      </c>
      <c r="F21" s="29">
        <v>0.35</v>
      </c>
    </row>
    <row r="22" spans="2:6" x14ac:dyDescent="0.25">
      <c r="B22" s="11" t="s">
        <v>87</v>
      </c>
      <c r="C22" s="27">
        <v>28</v>
      </c>
      <c r="D22" s="27">
        <v>15</v>
      </c>
      <c r="E22" s="27">
        <v>43</v>
      </c>
      <c r="F22" s="29">
        <v>0.34883720930232559</v>
      </c>
    </row>
    <row r="23" spans="2:6" x14ac:dyDescent="0.25">
      <c r="B23" s="11" t="s">
        <v>121</v>
      </c>
      <c r="C23" s="27">
        <v>6</v>
      </c>
      <c r="D23" s="27">
        <v>3</v>
      </c>
      <c r="E23" s="27">
        <v>9</v>
      </c>
      <c r="F23" s="29">
        <v>0.33333333333333331</v>
      </c>
    </row>
    <row r="24" spans="2:6" x14ac:dyDescent="0.25">
      <c r="B24" s="11" t="s">
        <v>93</v>
      </c>
      <c r="C24" s="27">
        <v>9</v>
      </c>
      <c r="D24" s="27">
        <v>4</v>
      </c>
      <c r="E24" s="27">
        <v>13</v>
      </c>
      <c r="F24" s="29">
        <v>0.30769230769230771</v>
      </c>
    </row>
    <row r="25" spans="2:6" x14ac:dyDescent="0.25">
      <c r="B25" s="11" t="s">
        <v>63</v>
      </c>
      <c r="C25" s="27">
        <v>7</v>
      </c>
      <c r="D25" s="27">
        <v>3</v>
      </c>
      <c r="E25" s="27">
        <v>10</v>
      </c>
      <c r="F25" s="29">
        <v>0.3</v>
      </c>
    </row>
    <row r="26" spans="2:6" x14ac:dyDescent="0.25">
      <c r="B26" s="11" t="s">
        <v>119</v>
      </c>
      <c r="C26" s="27">
        <v>7</v>
      </c>
      <c r="D26" s="27">
        <v>3</v>
      </c>
      <c r="E26" s="27">
        <v>10</v>
      </c>
      <c r="F26" s="29">
        <v>0.3</v>
      </c>
    </row>
    <row r="27" spans="2:6" x14ac:dyDescent="0.25">
      <c r="B27" s="11" t="s">
        <v>57</v>
      </c>
      <c r="C27" s="27">
        <v>7</v>
      </c>
      <c r="D27" s="27">
        <v>3</v>
      </c>
      <c r="E27" s="27">
        <v>10</v>
      </c>
      <c r="F27" s="29">
        <v>0.3</v>
      </c>
    </row>
    <row r="28" spans="2:6" x14ac:dyDescent="0.25">
      <c r="B28" s="11" t="s">
        <v>67</v>
      </c>
      <c r="C28" s="27">
        <v>13</v>
      </c>
      <c r="D28" s="27">
        <v>4</v>
      </c>
      <c r="E28" s="27">
        <v>17</v>
      </c>
      <c r="F28" s="29">
        <v>0.23529411764705882</v>
      </c>
    </row>
    <row r="29" spans="2:6" x14ac:dyDescent="0.25">
      <c r="B29" s="11" t="s">
        <v>69</v>
      </c>
      <c r="C29" s="27">
        <v>13</v>
      </c>
      <c r="D29" s="27">
        <v>3</v>
      </c>
      <c r="E29" s="27">
        <v>16</v>
      </c>
      <c r="F29" s="29">
        <v>0.1875</v>
      </c>
    </row>
    <row r="30" spans="2:6" x14ac:dyDescent="0.25">
      <c r="B30" s="11" t="s">
        <v>61</v>
      </c>
      <c r="C30" s="27">
        <v>17</v>
      </c>
      <c r="D30" s="27">
        <v>3</v>
      </c>
      <c r="E30" s="27">
        <v>20</v>
      </c>
      <c r="F30" s="29">
        <v>0.15</v>
      </c>
    </row>
    <row r="31" spans="2:6" x14ac:dyDescent="0.25">
      <c r="B31" s="11" t="s">
        <v>65</v>
      </c>
      <c r="C31" s="27">
        <v>9</v>
      </c>
      <c r="D31" s="27">
        <v>1</v>
      </c>
      <c r="E31" s="27">
        <v>10</v>
      </c>
      <c r="F31" s="29">
        <v>0.1</v>
      </c>
    </row>
    <row r="32" spans="2:6" x14ac:dyDescent="0.25">
      <c r="B32" s="11" t="s">
        <v>55</v>
      </c>
      <c r="C32" s="27">
        <v>20</v>
      </c>
      <c r="D32" s="27">
        <v>2</v>
      </c>
      <c r="E32" s="27">
        <v>22</v>
      </c>
      <c r="F32" s="29">
        <v>9.0909090909090912E-2</v>
      </c>
    </row>
    <row r="33" spans="2:6" x14ac:dyDescent="0.25">
      <c r="B33" s="11" t="s">
        <v>124</v>
      </c>
      <c r="C33" s="27">
        <v>354</v>
      </c>
      <c r="D33" s="27">
        <v>236</v>
      </c>
      <c r="E33" s="27">
        <v>590</v>
      </c>
      <c r="F33" s="29">
        <v>0.4</v>
      </c>
    </row>
    <row r="38" spans="2:6" x14ac:dyDescent="0.25">
      <c r="B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Gaete</dc:creator>
  <cp:lastModifiedBy>Humberto Gaete</cp:lastModifiedBy>
  <dcterms:created xsi:type="dcterms:W3CDTF">2017-05-26T19:57:43Z</dcterms:created>
  <dcterms:modified xsi:type="dcterms:W3CDTF">2021-09-25T16:12:19Z</dcterms:modified>
</cp:coreProperties>
</file>